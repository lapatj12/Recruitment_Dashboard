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botagroup-my.sharepoint.com/personal/lapat_j_kubota_com/Documents/Documents/Recruitment Tools/Dashboard Data Report/"/>
    </mc:Choice>
  </mc:AlternateContent>
  <xr:revisionPtr revIDLastSave="232" documentId="8_{8C7ADAE5-F919-4BCF-8D86-CB4F2FC4B2B7}" xr6:coauthVersionLast="47" xr6:coauthVersionMax="47" xr10:uidLastSave="{2B5ED4B7-7F85-4CDD-B1BB-478F3CE7FAC0}"/>
  <bookViews>
    <workbookView xWindow="-108" yWindow="-108" windowWidth="23256" windowHeight="12456" xr2:uid="{F7472FDA-5521-41CC-A627-063E341A84EB}"/>
  </bookViews>
  <sheets>
    <sheet name="Recruitment" sheetId="1" r:id="rId1"/>
    <sheet name="Turnover" sheetId="6" r:id="rId2"/>
    <sheet name="Turnover_Graph" sheetId="8" r:id="rId3"/>
    <sheet name="รายชื่อพนักงาน Manpower" sheetId="3" r:id="rId4"/>
    <sheet name="รายชื่อพนักงาน HRD" sheetId="5" r:id="rId5"/>
    <sheet name="Dropdown" sheetId="4" r:id="rId6"/>
  </sheets>
  <externalReferences>
    <externalReference r:id="rId7"/>
  </externalReferences>
  <definedNames>
    <definedName name="_xlnm._FilterDatabase" localSheetId="1" hidden="1">Turnover!$A$1:$M$74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5" i="8" l="1"/>
  <c r="Q15" i="8"/>
  <c r="R14" i="8"/>
  <c r="Q14" i="8"/>
  <c r="R13" i="8"/>
  <c r="Q13" i="8"/>
  <c r="U12" i="8"/>
  <c r="R12" i="8"/>
  <c r="Q12" i="8"/>
  <c r="S12" i="8" s="1"/>
  <c r="R11" i="8"/>
  <c r="Q11" i="8"/>
  <c r="R10" i="8"/>
  <c r="Q10" i="8"/>
  <c r="S10" i="8" s="1"/>
  <c r="X9" i="8"/>
  <c r="W9" i="8"/>
  <c r="R9" i="8"/>
  <c r="Q9" i="8"/>
  <c r="X8" i="8"/>
  <c r="W8" i="8"/>
  <c r="R8" i="8"/>
  <c r="Q8" i="8"/>
  <c r="S8" i="8" s="1"/>
  <c r="X7" i="8"/>
  <c r="W7" i="8"/>
  <c r="U7" i="8"/>
  <c r="T7" i="8"/>
  <c r="R7" i="8"/>
  <c r="Q7" i="8"/>
  <c r="X6" i="8"/>
  <c r="W6" i="8"/>
  <c r="R6" i="8"/>
  <c r="Q6" i="8"/>
  <c r="X5" i="8"/>
  <c r="Y5" i="8" s="1"/>
  <c r="W5" i="8"/>
  <c r="R5" i="8"/>
  <c r="Q5" i="8"/>
  <c r="X4" i="8"/>
  <c r="AA9" i="8" s="1"/>
  <c r="W4" i="8"/>
  <c r="Z8" i="8" s="1"/>
  <c r="U4" i="8"/>
  <c r="R4" i="8"/>
  <c r="R17" i="8" s="1"/>
  <c r="Q4" i="8"/>
  <c r="Z5" i="8" l="1"/>
  <c r="T10" i="8"/>
  <c r="Y9" i="8"/>
  <c r="Z7" i="8"/>
  <c r="Z4" i="8"/>
  <c r="U15" i="8"/>
  <c r="T14" i="8"/>
  <c r="T12" i="8"/>
  <c r="S13" i="8"/>
  <c r="T9" i="8"/>
  <c r="U14" i="8"/>
  <c r="S15" i="8"/>
  <c r="Z9" i="8"/>
  <c r="AB9" i="8" s="1"/>
  <c r="V14" i="8"/>
  <c r="S7" i="8"/>
  <c r="V7" i="8"/>
  <c r="S11" i="8"/>
  <c r="V12" i="8"/>
  <c r="Y8" i="8"/>
  <c r="S14" i="8"/>
  <c r="S9" i="8"/>
  <c r="U6" i="8"/>
  <c r="U10" i="8"/>
  <c r="Q16" i="8"/>
  <c r="AA7" i="8"/>
  <c r="AB7" i="8" s="1"/>
  <c r="U13" i="8"/>
  <c r="W16" i="8"/>
  <c r="U5" i="8"/>
  <c r="Y6" i="8"/>
  <c r="U9" i="8"/>
  <c r="V9" i="8" s="1"/>
  <c r="X16" i="8"/>
  <c r="Z6" i="8"/>
  <c r="T11" i="8"/>
  <c r="S4" i="8"/>
  <c r="AA6" i="8"/>
  <c r="U11" i="8"/>
  <c r="T4" i="8"/>
  <c r="V4" i="8" s="1"/>
  <c r="T8" i="8"/>
  <c r="X17" i="8"/>
  <c r="Y4" i="8"/>
  <c r="S6" i="8"/>
  <c r="Y7" i="8"/>
  <c r="T13" i="8"/>
  <c r="V13" i="8" s="1"/>
  <c r="T5" i="8"/>
  <c r="V5" i="8" s="1"/>
  <c r="T15" i="8"/>
  <c r="V15" i="8" s="1"/>
  <c r="AA4" i="8"/>
  <c r="AB4" i="8" s="1"/>
  <c r="AA8" i="8"/>
  <c r="AB8" i="8" s="1"/>
  <c r="T6" i="8"/>
  <c r="R16" i="8"/>
  <c r="S5" i="8"/>
  <c r="U8" i="8"/>
  <c r="AA5" i="8"/>
  <c r="V10" i="8" l="1"/>
  <c r="V8" i="8"/>
  <c r="AB5" i="8"/>
  <c r="V6" i="8"/>
  <c r="AB6" i="8"/>
  <c r="P19" i="8"/>
  <c r="AB16" i="8"/>
  <c r="P20" i="8"/>
  <c r="V16" i="8"/>
  <c r="P18" i="8"/>
  <c r="V11" i="8"/>
</calcChain>
</file>

<file path=xl/sharedStrings.xml><?xml version="1.0" encoding="utf-8"?>
<sst xmlns="http://schemas.openxmlformats.org/spreadsheetml/2006/main" count="4358" uniqueCount="1841">
  <si>
    <t>year</t>
  </si>
  <si>
    <t>company</t>
  </si>
  <si>
    <t>position</t>
  </si>
  <si>
    <t>businessLine</t>
  </si>
  <si>
    <t>interviewDate</t>
  </si>
  <si>
    <t>confirmDate</t>
  </si>
  <si>
    <t>startDate</t>
  </si>
  <si>
    <t>status</t>
  </si>
  <si>
    <t>Manpower</t>
  </si>
  <si>
    <t>ตำแหน่งเจ้าหน้าที่วางแผนการจัดเตรียมอะไหล่</t>
  </si>
  <si>
    <t>พัฒนางานขายผู้แทนจำหน่าย</t>
  </si>
  <si>
    <t>ส่วนพัฒนาและวางแผนอะไหล่</t>
  </si>
  <si>
    <t>ฝ่ายอะไหล่</t>
  </si>
  <si>
    <t>สายงานขาย การตลาดและบริการ</t>
  </si>
  <si>
    <t>เริ่มงานแล้ว</t>
  </si>
  <si>
    <t>นางสาวชานิดา ประหา</t>
  </si>
  <si>
    <t>พนักงานศูนย์กระจายอะไหล่</t>
  </si>
  <si>
    <t>โลจิสติกส์อะไหล่</t>
  </si>
  <si>
    <t>ส่วนกระจายอะไหล่</t>
  </si>
  <si>
    <t>นายนนทกร ทาระเวท</t>
  </si>
  <si>
    <t>พนักงานรับเหมาตำแหน่ง DMS Support</t>
  </si>
  <si>
    <t>Parts Sales Solutions</t>
  </si>
  <si>
    <t>Customer Success System Department</t>
  </si>
  <si>
    <t>Digital Technology Division</t>
  </si>
  <si>
    <t>Corporate</t>
  </si>
  <si>
    <t>นายธนวัฒน์ วงค์แก่นท้าว</t>
  </si>
  <si>
    <t>รับเหมาตำแหน่งพนักงานโลจิสติกส์อะไหล่ (สัญญา 4 เดือน) 6 ตำแหน่ง</t>
  </si>
  <si>
    <t>นายเมธา ชอบมี</t>
  </si>
  <si>
    <t>นายนฤมิตร อิศรัตน์</t>
  </si>
  <si>
    <t>นายพิษณุ ประพฤติชอบ</t>
  </si>
  <si>
    <t>นายยชนา มุ่งพันธ์</t>
  </si>
  <si>
    <t>นายธำรงกุล จุลยโชค</t>
  </si>
  <si>
    <t>นายภัทรพล ทองประไพ</t>
  </si>
  <si>
    <t>สรรหาตำแหน่งพนักงานศูนย์การจายอะไหล่</t>
  </si>
  <si>
    <t>นางสาวอมิตา รอดศัตรู</t>
  </si>
  <si>
    <t>ตำแหน่งพนักงานธุรการ - Customer service division</t>
  </si>
  <si>
    <t>Service Operation Excellence</t>
  </si>
  <si>
    <t>Overseas &amp; Service Operation Department</t>
  </si>
  <si>
    <t>ฝ่ายบริการลูกค้า</t>
  </si>
  <si>
    <t>นางสาวกรวรรณ มีมาก</t>
  </si>
  <si>
    <t>เจ้าหน้าที่วางแผนการจัดเตรียมอะไหล่</t>
  </si>
  <si>
    <t>นางสาวรัตนติการ์ แซ่ใจ</t>
  </si>
  <si>
    <t>ตำแหน่งพนักงานศูนย์กระจายอะไหล่ (พี่วิชา)</t>
  </si>
  <si>
    <t>นายธนภัทร์ นามเกตุ</t>
  </si>
  <si>
    <t>นายภราดร ศรีมุงคุณ</t>
  </si>
  <si>
    <t>นายธีรดนย์ ทั่งทองหลาง</t>
  </si>
  <si>
    <t>สรรหาตำแหน่งธุรการกฎหมาย</t>
  </si>
  <si>
    <t>Government &amp; Legal Affairs</t>
  </si>
  <si>
    <t>Legal &amp; Compliance Department</t>
  </si>
  <si>
    <t>ฝ่าย GRC และตรวจสอบภายใน</t>
  </si>
  <si>
    <t>ปาริชาติ อ่อนหอม</t>
  </si>
  <si>
    <t>นางสาวชลธิชา ศลีลาชัย</t>
  </si>
  <si>
    <t>ตำแหน่งพนักงานคลังอะไหล่</t>
  </si>
  <si>
    <t>บริหารคลังอะไหล่</t>
  </si>
  <si>
    <t>ส่วนบริหารคลังอะไหล่และนวัตกรรม</t>
  </si>
  <si>
    <t>นายวิชิต พาโฮม</t>
  </si>
  <si>
    <t>ตำแหน่งพนักงานจัดส่งอะไหล่</t>
  </si>
  <si>
    <t>Company</t>
  </si>
  <si>
    <t>HR Digest</t>
  </si>
  <si>
    <t>Status</t>
  </si>
  <si>
    <t>รอสรรหา</t>
  </si>
  <si>
    <t>นัดสัมภาษณ์</t>
  </si>
  <si>
    <t>รอเริ่มงาน</t>
  </si>
  <si>
    <t>HRD</t>
  </si>
  <si>
    <t>ช่างซ่อมบำรุง</t>
  </si>
  <si>
    <t>ซ่อมบำรุง</t>
  </si>
  <si>
    <t>ส่วนวิศวกรรมกระบวนการผลิต - นวนคร</t>
  </si>
  <si>
    <t>ฝ่ายวิศวกรรมการผลิต</t>
  </si>
  <si>
    <t>สายงานการผลิต</t>
  </si>
  <si>
    <t>ธนพล ขุนอาจ</t>
  </si>
  <si>
    <t>นายธนภัทร เสาร์พิมาย</t>
  </si>
  <si>
    <t>Work Unit</t>
  </si>
  <si>
    <t>Dept</t>
  </si>
  <si>
    <t>Division</t>
  </si>
  <si>
    <t>Send Requirement</t>
  </si>
  <si>
    <t>Return Date</t>
  </si>
  <si>
    <t>Diff Date</t>
  </si>
  <si>
    <t>Replace_ID</t>
  </si>
  <si>
    <t>Replace_Name</t>
  </si>
  <si>
    <t>วัชรากร ชาลีวงษ์</t>
  </si>
  <si>
    <t>จิลลาภัทร พรมสุวรรณ</t>
  </si>
  <si>
    <t>ทิพยารัตน์ ใจน้อย</t>
  </si>
  <si>
    <t>พิษณุ ประพฤติชอบ</t>
  </si>
  <si>
    <t xml:space="preserve">อดิศักดิ์ คันศร </t>
  </si>
  <si>
    <t>MAN064</t>
  </si>
  <si>
    <t>MAN043</t>
  </si>
  <si>
    <t xml:space="preserve">วิทยา วังมลหม่อม </t>
  </si>
  <si>
    <t>Hired_Age</t>
  </si>
  <si>
    <t>hired_Name</t>
  </si>
  <si>
    <t>ลำดับ</t>
  </si>
  <si>
    <t>Cost Center</t>
  </si>
  <si>
    <t>รหัสพนักงาน</t>
  </si>
  <si>
    <t>บริษัท</t>
  </si>
  <si>
    <t>คำนำหน้า</t>
  </si>
  <si>
    <t>ชื่อนาม-สกุล</t>
  </si>
  <si>
    <t>English</t>
  </si>
  <si>
    <t>ตำแหน่ง</t>
  </si>
  <si>
    <t>ฝ่าย</t>
  </si>
  <si>
    <t>ส่วน</t>
  </si>
  <si>
    <t>หน่วยงาน</t>
  </si>
  <si>
    <t>หน่วยงานย่อย</t>
  </si>
  <si>
    <t>สถานที่ทำงาน</t>
  </si>
  <si>
    <t>ชื่อเล่น</t>
  </si>
  <si>
    <t>เลขปชช</t>
  </si>
  <si>
    <t>Email</t>
  </si>
  <si>
    <t>Kobuta Email</t>
  </si>
  <si>
    <t>Tel</t>
  </si>
  <si>
    <t>รหัสพนักงานผู้อนุมัติขั้น 1</t>
  </si>
  <si>
    <t xml:space="preserve">ผู้อนุมัติขั้นที่ 1 </t>
  </si>
  <si>
    <t>รหัสพนักงานผู้อนุมัติขั้น 2</t>
  </si>
  <si>
    <t>ผู้อนุมัติขั้นที่ 2</t>
  </si>
  <si>
    <t>วันเริ่มงาน</t>
  </si>
  <si>
    <t>อายุตัว</t>
  </si>
  <si>
    <t>อายุงาน</t>
  </si>
  <si>
    <t>วันเกิด</t>
  </si>
  <si>
    <t>GPA.</t>
  </si>
  <si>
    <t>ปีจบ</t>
  </si>
  <si>
    <t>สถานศึกษา</t>
  </si>
  <si>
    <t>วุฒิการศึกษา</t>
  </si>
  <si>
    <t>DY75500300</t>
  </si>
  <si>
    <t>MAN001</t>
  </si>
  <si>
    <t>SKC</t>
  </si>
  <si>
    <t>น.ส.</t>
  </si>
  <si>
    <t>ศิริพร ทวีทรัพย์</t>
  </si>
  <si>
    <t>Miss Siriporn Taweesap</t>
  </si>
  <si>
    <t>พนักงานธุรการ</t>
  </si>
  <si>
    <t>ส่วนโซลูชั่นบริการด้านเทคนิค</t>
  </si>
  <si>
    <t>Farm Machinery Technical Service</t>
  </si>
  <si>
    <t>HQ</t>
  </si>
  <si>
    <t>องุ่น</t>
  </si>
  <si>
    <t>taweesap2012@gmail.com</t>
  </si>
  <si>
    <t>siriporn.ta@kubota.com</t>
  </si>
  <si>
    <t>064-538-9693</t>
  </si>
  <si>
    <t>วัชร น้อยมาลา</t>
  </si>
  <si>
    <t>วิทยาลัยเทคนิคชัยภูมิ</t>
  </si>
  <si>
    <t>ปวส.</t>
  </si>
  <si>
    <t>DY76040300</t>
  </si>
  <si>
    <t>MAN002</t>
  </si>
  <si>
    <t>นาย</t>
  </si>
  <si>
    <t>ปกรณ์ แสงไชยา</t>
  </si>
  <si>
    <t>Mr. Pakorn Saengchaiya</t>
  </si>
  <si>
    <t>พนักงานคลังอะไหล่</t>
  </si>
  <si>
    <t>บริหารคลังอะไหล่-1</t>
  </si>
  <si>
    <t>Parts</t>
  </si>
  <si>
    <t>จ่อย</t>
  </si>
  <si>
    <t>anuchs444@gmail.com</t>
  </si>
  <si>
    <t>ไม่มี Email</t>
  </si>
  <si>
    <t>092-255-2014</t>
  </si>
  <si>
    <t>ธนชัยภัทร์ นัจรัชต์นันต์</t>
  </si>
  <si>
    <t>ชนัดดา อารยเมธากร</t>
  </si>
  <si>
    <t>โรงเรียนบ้านด่านลานหอยวิทยา</t>
  </si>
  <si>
    <t>ม.6</t>
  </si>
  <si>
    <t>DY76010500</t>
  </si>
  <si>
    <t>MAN003</t>
  </si>
  <si>
    <t>จิราพร งามประสาท</t>
  </si>
  <si>
    <t>Miss Jiraporn Namprasat</t>
  </si>
  <si>
    <t>ส่วนขายและการตลาดอะไหล่ในประเทศ</t>
  </si>
  <si>
    <t>ธุรการขาย</t>
  </si>
  <si>
    <t>พลอย</t>
  </si>
  <si>
    <t>numploy1511@gmail.com</t>
  </si>
  <si>
    <t>jiraporn.n@kubota.com</t>
  </si>
  <si>
    <t>083-964-2476</t>
  </si>
  <si>
    <t>พรพรรษา ทนันชัยชมภู</t>
  </si>
  <si>
    <t>มหาวิทยาลัยเทคโนโลยีราชมงคลสุวรรณภูมิ</t>
  </si>
  <si>
    <t>DY74020200</t>
  </si>
  <si>
    <t>MAN004</t>
  </si>
  <si>
    <t>พิมณภา พรรณารัตน์</t>
  </si>
  <si>
    <t>Miss Pimnapa Panarat</t>
  </si>
  <si>
    <t>Distribution Network Development and Data-driven Business Division</t>
  </si>
  <si>
    <t>ส่วนบริหารลูกค้าสัมพันธ์</t>
  </si>
  <si>
    <t>ศูนย์ลูกค้าสัมพันธ์และสิทธิประโยชน์ในประเทศ</t>
  </si>
  <si>
    <t>เอื้องคำ</t>
  </si>
  <si>
    <t>Pimnapa.panarat789789@gmail.com</t>
  </si>
  <si>
    <t>Pimnapa.p@kubota.com</t>
  </si>
  <si>
    <t>065-278-8755</t>
  </si>
  <si>
    <t>วาสนา ทับแสง</t>
  </si>
  <si>
    <t>สุจินดา เจาประเสริฐ</t>
  </si>
  <si>
    <t>วิทยาลัยเทคโนโลยีแหลมทอง</t>
  </si>
  <si>
    <t>DY76050100</t>
  </si>
  <si>
    <t>MAN005</t>
  </si>
  <si>
    <t>ปรีชา ศาลาน้อย</t>
  </si>
  <si>
    <t>Mr. Preecha Salanol</t>
  </si>
  <si>
    <t>บิ๊ก</t>
  </si>
  <si>
    <t>096-114-3093</t>
  </si>
  <si>
    <t>นายทวีศักดิ์ มีเมือง</t>
  </si>
  <si>
    <t>วิชา ขาวเมฆ</t>
  </si>
  <si>
    <t>ศูนย์บริการศึกษานอกโรงเรียน อำเภอเมืองอุบลราชธานี</t>
  </si>
  <si>
    <t>DY75500200</t>
  </si>
  <si>
    <t>MAN006</t>
  </si>
  <si>
    <t>สุรกิติ ใจ๋ใจ</t>
  </si>
  <si>
    <t>Mr. Surakiti Jaiji</t>
  </si>
  <si>
    <t>Construction Machinery , Innovation Product &amp; Machinery Management</t>
  </si>
  <si>
    <t>MAX</t>
  </si>
  <si>
    <t>โอ</t>
  </si>
  <si>
    <t>Surkiti599@gmail.com</t>
  </si>
  <si>
    <t>Surakiti.j@kubota.com</t>
  </si>
  <si>
    <t>082-946-2726</t>
  </si>
  <si>
    <t>ณัฐวัตร มั่นคง</t>
  </si>
  <si>
    <t>โรงเรียนปายวิทยาคาร</t>
  </si>
  <si>
    <t>MAN007</t>
  </si>
  <si>
    <t>ขวัญธิดา ทาปง</t>
  </si>
  <si>
    <t>Mrs Khwanthida Tapong</t>
  </si>
  <si>
    <t>แพรว</t>
  </si>
  <si>
    <t>Khwanthida.t@kubota.com​</t>
  </si>
  <si>
    <t>080-239-7597</t>
  </si>
  <si>
    <t>วิทยาลัยอาชีวศึกษาแพร่</t>
  </si>
  <si>
    <t>DY76040100</t>
  </si>
  <si>
    <t>MAN008</t>
  </si>
  <si>
    <t>นราทิพย์ ณ อิ่น</t>
  </si>
  <si>
    <t>Ms. Naratip Nain</t>
  </si>
  <si>
    <t>Parts Production &amp; QC</t>
  </si>
  <si>
    <t>Parts Production &amp; QC-1</t>
  </si>
  <si>
    <t>เบียร์</t>
  </si>
  <si>
    <t>beernain@icloud.com</t>
  </si>
  <si>
    <t>Naratip.n@kubota.com</t>
  </si>
  <si>
    <t>091-726-6171</t>
  </si>
  <si>
    <t>นางสาวณัฐพิชญา โล่ขุนพรหม</t>
  </si>
  <si>
    <t>วิชาญ แก้วล้วน</t>
  </si>
  <si>
    <t>วิทยาลัยเทคโนโลยีเอ็น-เทค บริหารธุรกิจปากคาด</t>
  </si>
  <si>
    <t>DY75200400</t>
  </si>
  <si>
    <t>MAN009</t>
  </si>
  <si>
    <t>สุวิมล บุญเลิศ</t>
  </si>
  <si>
    <t>Miss Suwimon Boonlert</t>
  </si>
  <si>
    <t>Service Excellence</t>
  </si>
  <si>
    <t>เมย์</t>
  </si>
  <si>
    <t>Maymey3745374@gmail.com</t>
  </si>
  <si>
    <t>Suwimon.b@kubota.com</t>
  </si>
  <si>
    <t>061-446-2854</t>
  </si>
  <si>
    <t>รัชนี ทิพยสมเดช</t>
  </si>
  <si>
    <t>จินดาวรรณ จิตต์ชื่น</t>
  </si>
  <si>
    <t>วิทยาลัยบริหารธุรกิจและการท่องเที่ยวนครราชสีมา</t>
  </si>
  <si>
    <t>MAN010</t>
  </si>
  <si>
    <t>ณติพงษ์ อ่อนโพธา</t>
  </si>
  <si>
    <t>Mr. Natipong Onpota</t>
  </si>
  <si>
    <t>ฟลุ๊ค</t>
  </si>
  <si>
    <t>natipong2639@gmail.com</t>
  </si>
  <si>
    <t>natipong.o@kubota.com</t>
  </si>
  <si>
    <t>080-303-4978</t>
  </si>
  <si>
    <t>เทคโนโลยีบริหารธุรกิจสมุทรปราการ</t>
  </si>
  <si>
    <t>DY76050200</t>
  </si>
  <si>
    <t>MAN012</t>
  </si>
  <si>
    <t>พลพิทักษ์ ภูงาม</t>
  </si>
  <si>
    <t>Mr. Pholpitak Phugam</t>
  </si>
  <si>
    <t>ศูนย์กระจายอะไหล่ภูมิภาคRegional Parts Center Management"</t>
  </si>
  <si>
    <t>จ.นครราชสีมา</t>
  </si>
  <si>
    <t>ไมค์</t>
  </si>
  <si>
    <t>Dynamike580@gmail.com</t>
  </si>
  <si>
    <t>061-086-4758</t>
  </si>
  <si>
    <t>จักรี คาวะที</t>
  </si>
  <si>
    <t>อัศม์วุฒิ อมรศุภเศรษฐ์</t>
  </si>
  <si>
    <t>โรงเรียนภูริทัตต์วิทยา</t>
  </si>
  <si>
    <t>MAN013</t>
  </si>
  <si>
    <t>สมชาย บุศราคำ</t>
  </si>
  <si>
    <t>Mr. Somchay Busarakam</t>
  </si>
  <si>
    <t>เจ</t>
  </si>
  <si>
    <t>Somchayb90@gmail.com</t>
  </si>
  <si>
    <t>096-019-4018</t>
  </si>
  <si>
    <t>วิทยาลัยเทคโนโลยีและอุตสาหกรรมการต่อเรือพระนครศรีอยุธยา</t>
  </si>
  <si>
    <t>ปวช.</t>
  </si>
  <si>
    <t>DY52030200</t>
  </si>
  <si>
    <t>MAN015</t>
  </si>
  <si>
    <t>น้ำเพชร สุธางค์กรกุล</t>
  </si>
  <si>
    <t>Miss Numpet Sutangkornkun</t>
  </si>
  <si>
    <t>DMS Support</t>
  </si>
  <si>
    <t>Customer Experience System</t>
  </si>
  <si>
    <t>น้ำเพชร</t>
  </si>
  <si>
    <t>numpetsu@gmail.com</t>
  </si>
  <si>
    <t>numpet.s@kubota.com</t>
  </si>
  <si>
    <t>095-479-9441</t>
  </si>
  <si>
    <t>ณัชพร เข็มอนุสุข</t>
  </si>
  <si>
    <t>มหาวิทยาลัยรังสิต</t>
  </si>
  <si>
    <t>ป.ตรี</t>
  </si>
  <si>
    <t>MAN016</t>
  </si>
  <si>
    <t>ศศิภรณ์ เฉลิมวงศ์วิจิตร</t>
  </si>
  <si>
    <t>Miss Sasiporn Chalermwongwijit</t>
  </si>
  <si>
    <t>เอลฟ์</t>
  </si>
  <si>
    <t>Sasielf@gmail.com</t>
  </si>
  <si>
    <t>Sasiporn.c@kubota.com</t>
  </si>
  <si>
    <t>090-425-9040</t>
  </si>
  <si>
    <t>MAN017</t>
  </si>
  <si>
    <t>มลฤดี แสงโสม</t>
  </si>
  <si>
    <t>Miss Monrudi Sangsom</t>
  </si>
  <si>
    <t>มล</t>
  </si>
  <si>
    <t>Monrudi37@gmail.com</t>
  </si>
  <si>
    <t>Monrudi.s@kubota.com</t>
  </si>
  <si>
    <t>083-6465416</t>
  </si>
  <si>
    <t>DY76010400</t>
  </si>
  <si>
    <t>MAN018</t>
  </si>
  <si>
    <t>ฐิตาภรณ์ มีธรรม</t>
  </si>
  <si>
    <t>Miss Thitaporn Meetam</t>
  </si>
  <si>
    <t>Parts Sales Promotion</t>
  </si>
  <si>
    <t>การย์</t>
  </si>
  <si>
    <t>Thitaporn.m2533@gmail.com</t>
  </si>
  <si>
    <t>Thitaporn.m@kubota.com</t>
  </si>
  <si>
    <t>095-635-1939</t>
  </si>
  <si>
    <t>ฐาปะนีย์ น้ำจันทร์เจริญ</t>
  </si>
  <si>
    <t>วิทยาลัยเทคนิคเพชรบูรณ์</t>
  </si>
  <si>
    <t>DY15060300</t>
  </si>
  <si>
    <t>MAN019</t>
  </si>
  <si>
    <t>สิทธิพงษ์ ม่วงดี</t>
  </si>
  <si>
    <t>Mr. Sittipong Muangdee</t>
  </si>
  <si>
    <t>Sustainability Development Division</t>
  </si>
  <si>
    <t>Corporate Branding and Social Engagement Department</t>
  </si>
  <si>
    <t>Social Development</t>
  </si>
  <si>
    <t>จ.เพชรบูรณ์</t>
  </si>
  <si>
    <t>ออร์แกน</t>
  </si>
  <si>
    <t>sittipong_muangdee@hotmail.com</t>
  </si>
  <si>
    <t>095-524-6366</t>
  </si>
  <si>
    <t>พรรณรมณฑ์ สีกาหลง</t>
  </si>
  <si>
    <t>มหาวิทยาลัยเทคโนโลยีราชมงคลกรุงเทพ</t>
  </si>
  <si>
    <t>MAN020</t>
  </si>
  <si>
    <t>ณัฐชนน เหล่าสูง</t>
  </si>
  <si>
    <t>Mr Nutchanon Laosoong</t>
  </si>
  <si>
    <t>จ.แพร่</t>
  </si>
  <si>
    <t>เบลล์</t>
  </si>
  <si>
    <t>bellnutchanon@gmail.com</t>
  </si>
  <si>
    <t>093-189-6659</t>
  </si>
  <si>
    <t>มหาวิทยาลัยราชภัฏเชียงใหม่</t>
  </si>
  <si>
    <t>MAN021</t>
  </si>
  <si>
    <t>กฤษฎิ์ณิชา ปานปลอด</t>
  </si>
  <si>
    <t>Miss Kritnicha Panplod</t>
  </si>
  <si>
    <t>กุ๊กกิ๊ก</t>
  </si>
  <si>
    <t>kookkik.sk.kp@gmail.com</t>
  </si>
  <si>
    <t>kritnicha.p@kubota.com</t>
  </si>
  <si>
    <t>092-250-9051</t>
  </si>
  <si>
    <t>มหาวิทยาลัยราชภัฏพระนครศรีอยุธยา</t>
  </si>
  <si>
    <t>MAN022</t>
  </si>
  <si>
    <t>ทอฝัน กลมเกลียว</t>
  </si>
  <si>
    <t>Miss Thorphan Klomkleaw</t>
  </si>
  <si>
    <t>เบ็น</t>
  </si>
  <si>
    <t>thorphan789@gmail.com</t>
  </si>
  <si>
    <t>Thorphan.k@kubota.com</t>
  </si>
  <si>
    <t>096-019-6667</t>
  </si>
  <si>
    <t>วิทยาลัยเทคโนโลยีพณิชยการอยุธยา</t>
  </si>
  <si>
    <t>MAN023</t>
  </si>
  <si>
    <t>ธิติ อยู่เปีย</t>
  </si>
  <si>
    <t>Mr. Thiti Youpia</t>
  </si>
  <si>
    <t>ยุ</t>
  </si>
  <si>
    <t>thiti0917103658@gmail.com</t>
  </si>
  <si>
    <t>091-710-3658</t>
  </si>
  <si>
    <t>พูลจิตร์ ฝ่ายศูนย์</t>
  </si>
  <si>
    <t>วิทยาลัยเทคโนโลยียานยนต์</t>
  </si>
  <si>
    <t>DY74040200</t>
  </si>
  <si>
    <t>MAN024</t>
  </si>
  <si>
    <t>นัฐธิดา นามนัย</t>
  </si>
  <si>
    <t>Miss Natthida Namnai</t>
  </si>
  <si>
    <t>ส่วนบริหารงานขายในประเทศ และวางแผนขาย</t>
  </si>
  <si>
    <t>สนับสนุนงานขายในประเทศ</t>
  </si>
  <si>
    <t>นัท</t>
  </si>
  <si>
    <t>nutthida04094@gmail.com</t>
  </si>
  <si>
    <t>nutthida.n@kubota.com</t>
  </si>
  <si>
    <t>093-438-3664</t>
  </si>
  <si>
    <t>จรินดา เหลืองประเสริฐ</t>
  </si>
  <si>
    <t>วิทยาลัยอาชีวศึกษาร้อยเอ็ด</t>
  </si>
  <si>
    <t>MAN025</t>
  </si>
  <si>
    <t>ธฤษณุ ไทยสุริยะ</t>
  </si>
  <si>
    <t>Mr. Thrisanu Thaisuriya</t>
  </si>
  <si>
    <t>ณุ</t>
  </si>
  <si>
    <t>thrisanu.th@gmail.com</t>
  </si>
  <si>
    <t>thrisanu.t@kubota.com</t>
  </si>
  <si>
    <t>087-580-9614</t>
  </si>
  <si>
    <t>MAN026</t>
  </si>
  <si>
    <t>เพชรพิษณุ สุพัฒสร</t>
  </si>
  <si>
    <t>Mr. Phrtphitsanu Suphatson</t>
  </si>
  <si>
    <t>เอส</t>
  </si>
  <si>
    <t>063-154-0319</t>
  </si>
  <si>
    <t>วิทยาลัยเทคโนโลยีบริหารธุรกิจพิษณุโลก</t>
  </si>
  <si>
    <t>MAN027</t>
  </si>
  <si>
    <t>สิทธิพงศ์ วงษ์เณร</t>
  </si>
  <si>
    <t>Mr. Sitthipong Wongnen</t>
  </si>
  <si>
    <t>อาม</t>
  </si>
  <si>
    <t>armmarine458@gmail.com</t>
  </si>
  <si>
    <t>099-114-0517</t>
  </si>
  <si>
    <t>โรงเรียนผู้ใหญ่ยุวบัณฑิตวิทยา</t>
  </si>
  <si>
    <t>MAN028</t>
  </si>
  <si>
    <t>อานนท์ หอมขจร</t>
  </si>
  <si>
    <t>Mr. Arnon Homkajor</t>
  </si>
  <si>
    <t>นนท์</t>
  </si>
  <si>
    <t>arnon.nok2020@gmail.com</t>
  </si>
  <si>
    <t>064-965-3272</t>
  </si>
  <si>
    <t>โรงเรียนท่าหลวงวิทยานุกูล</t>
  </si>
  <si>
    <t>DY75200300</t>
  </si>
  <si>
    <t>MAN030</t>
  </si>
  <si>
    <t>สุรศักดิ์ ช่างบุ</t>
  </si>
  <si>
    <t>Mr. Surasak Changbu</t>
  </si>
  <si>
    <t>Overseas Service Creativity</t>
  </si>
  <si>
    <t>โต้ง</t>
  </si>
  <si>
    <t>surasak.c@kubota.com</t>
  </si>
  <si>
    <t>087-242-9514</t>
  </si>
  <si>
    <t>ธนวิทย์ จิตต์บุญเรือง</t>
  </si>
  <si>
    <t>วิทยาลัยการอาชีพพิมาย</t>
  </si>
  <si>
    <t>MAN031</t>
  </si>
  <si>
    <t>สิทธิศักดิ์ มาธิปิไข</t>
  </si>
  <si>
    <t>Mr. Sitthisak Mathipikhai</t>
  </si>
  <si>
    <t>เบ้นซ์</t>
  </si>
  <si>
    <t>reexff344@gmail.com</t>
  </si>
  <si>
    <t>092-815-8507</t>
  </si>
  <si>
    <t>MAN032</t>
  </si>
  <si>
    <t>ยุทธนา วงศ์นันท์</t>
  </si>
  <si>
    <t>Mr. Yuttana Wongnan</t>
  </si>
  <si>
    <t>แมน</t>
  </si>
  <si>
    <t>yuttanawongnun9@gmail.com</t>
  </si>
  <si>
    <t>098-404-8452</t>
  </si>
  <si>
    <t>โรงเรียนบางปะอิน ราชานุเคราะห์ ๑</t>
  </si>
  <si>
    <t>MAN034</t>
  </si>
  <si>
    <t>วิชาญ ขุนาพรม</t>
  </si>
  <si>
    <t>Mr. Vichan Khunaprom</t>
  </si>
  <si>
    <t>น๊อต</t>
  </si>
  <si>
    <t>notty.n41@gmail.com</t>
  </si>
  <si>
    <t>063-440-3434</t>
  </si>
  <si>
    <t>วิทยาลัยเทคนิคร้อยเอ็ด</t>
  </si>
  <si>
    <t>MAN035</t>
  </si>
  <si>
    <t>คณิศร เปรมบำเรอ</t>
  </si>
  <si>
    <t>Mr. Kanisorn Prambumroe</t>
  </si>
  <si>
    <t>พีม</t>
  </si>
  <si>
    <t>uaask25490@gmail.com</t>
  </si>
  <si>
    <t>062-442-8309</t>
  </si>
  <si>
    <t>วิทยาลัยเทคโนโลยีบุญาวร</t>
  </si>
  <si>
    <t>DY74060100</t>
  </si>
  <si>
    <t>MAN036</t>
  </si>
  <si>
    <t>สริดา พิลาแสน</t>
  </si>
  <si>
    <t>Miss Sarida Philasaen</t>
  </si>
  <si>
    <t>Data-driven Business Department</t>
  </si>
  <si>
    <t>Marketing Research</t>
  </si>
  <si>
    <t>อ๋อมแอ๋ม</t>
  </si>
  <si>
    <t>Saridaphilasaen@gmail.com</t>
  </si>
  <si>
    <t>Sarida.p@kubota.com</t>
  </si>
  <si>
    <t>064-534-4325</t>
  </si>
  <si>
    <t>อิทธิพัทธ์ กัณหา</t>
  </si>
  <si>
    <t>รุ่ง นพชัยอนันต์</t>
  </si>
  <si>
    <t>วิทยาลัยการอาชีพหนองหาน</t>
  </si>
  <si>
    <t>MAN037</t>
  </si>
  <si>
    <t>เจวลิน บางชวด</t>
  </si>
  <si>
    <t>Miss Jelvalin Bangchaud</t>
  </si>
  <si>
    <t>เจล</t>
  </si>
  <si>
    <t>Jelvalinbch@gmail.com</t>
  </si>
  <si>
    <t>Jelvalin.b@kubota.com</t>
  </si>
  <si>
    <t>084-002-3825</t>
  </si>
  <si>
    <t>วิทยาลัยเทคโนโลยีบุญถาวร</t>
  </si>
  <si>
    <t>DY11040300</t>
  </si>
  <si>
    <t>MAN038</t>
  </si>
  <si>
    <t>นันทวัน ศรีพุทธา</t>
  </si>
  <si>
    <t>Miss Nantavan Sreeputtha</t>
  </si>
  <si>
    <t>ฝ่ายทรัพยากรบุคคลและบริหาร</t>
  </si>
  <si>
    <t>ส่วนบริหาร - นวนคร</t>
  </si>
  <si>
    <t>บริการโรงงาน</t>
  </si>
  <si>
    <t>บรีส</t>
  </si>
  <si>
    <t>nantavan.099@gmail.com</t>
  </si>
  <si>
    <t>Nantavan.s@kubota.com</t>
  </si>
  <si>
    <t>099-283-6691</t>
  </si>
  <si>
    <t>ปณิชา ศรีหนองโคตร</t>
  </si>
  <si>
    <t>วิทยาลัยการอาชีพขอนแก่น</t>
  </si>
  <si>
    <t>MAN039</t>
  </si>
  <si>
    <t>ศักดิ์พล คำนวน</t>
  </si>
  <si>
    <t>Mr. Sakpol Comnuan</t>
  </si>
  <si>
    <t>เท่</t>
  </si>
  <si>
    <t>sakpol.c@kubota.com</t>
  </si>
  <si>
    <t>065-069-6629</t>
  </si>
  <si>
    <t>วิทยาลัยการอาชีพชัยบาดาล</t>
  </si>
  <si>
    <t>MAN040</t>
  </si>
  <si>
    <t>อนุรักษ์ ด้วงเคน</t>
  </si>
  <si>
    <t>Mr. Anuruk Duangken</t>
  </si>
  <si>
    <t>จ.อุดรธานี</t>
  </si>
  <si>
    <t>นุ</t>
  </si>
  <si>
    <t>lampard888nu@gmail.com</t>
  </si>
  <si>
    <t>064-471-5213</t>
  </si>
  <si>
    <t>มหาวิทยาลัยแม่โจ้</t>
  </si>
  <si>
    <t>MAN041</t>
  </si>
  <si>
    <t>โคจร โชตแสง</t>
  </si>
  <si>
    <t>Mr. Khochon Chotsaeng</t>
  </si>
  <si>
    <t>อั๋น</t>
  </si>
  <si>
    <t>aun14052538@gmail.com</t>
  </si>
  <si>
    <t>093-367-7429</t>
  </si>
  <si>
    <t>ศูนย์การศึกษานอกระบบและการศึกษาตามอัธยาศัย อำเภอภูพาน</t>
  </si>
  <si>
    <t>DY11020000</t>
  </si>
  <si>
    <t>MAN042</t>
  </si>
  <si>
    <t>จารุวรรณ สุขนาแซง</t>
  </si>
  <si>
    <t>Miss Jaruwan Suknasaeng</t>
  </si>
  <si>
    <t>ส่วนทรัพยากรบุคคล - นวนคร</t>
  </si>
  <si>
    <t>การบริหารทรัพยากรบุคคลและสรรหา</t>
  </si>
  <si>
    <t>Donut022560@gmail.com</t>
  </si>
  <si>
    <t>Jaruwan.s@kubota.com</t>
  </si>
  <si>
    <t>095-993-3423</t>
  </si>
  <si>
    <t>อรุณวรรณ จำรัสศรี</t>
  </si>
  <si>
    <t>วิทยาลัยเทคโนโลยีนนทบุรี</t>
  </si>
  <si>
    <t>MAN045</t>
  </si>
  <si>
    <t>เชิดศักดิ์ พลเยี่ยม</t>
  </si>
  <si>
    <t>Mr. Choedsak Phonyiam</t>
  </si>
  <si>
    <t>เจมส์</t>
  </si>
  <si>
    <t>choedsak088729@gmail.com</t>
  </si>
  <si>
    <t>064-756-7953</t>
  </si>
  <si>
    <t>สำนักงานส่งเสริมการศึกษานอกระบบและการศึกษาตามอัธยาศัย จ.ลพบุรี</t>
  </si>
  <si>
    <t>DY74030300</t>
  </si>
  <si>
    <t>MAN047</t>
  </si>
  <si>
    <t>นาง</t>
  </si>
  <si>
    <t>อภิญญา มีเมือง</t>
  </si>
  <si>
    <t>Mrs. Apinya Meemuang</t>
  </si>
  <si>
    <t>ส่วนพัฒนาช่องทางจัดจำหน่ายสินค้า</t>
  </si>
  <si>
    <t>สนับสนุนเครือข่าย</t>
  </si>
  <si>
    <t>ญา</t>
  </si>
  <si>
    <t>apinya.polsena@gmail.com</t>
  </si>
  <si>
    <t>apinya.me@kubota.com</t>
  </si>
  <si>
    <t>084-490-4815</t>
  </si>
  <si>
    <t>เชี่ยวชาญ นิมิตรมงคล</t>
  </si>
  <si>
    <t>มหาวิทยาลัยราชภัฏเลย</t>
  </si>
  <si>
    <t>MAN048</t>
  </si>
  <si>
    <t>ชวัลรัตน์ ขำมณี</t>
  </si>
  <si>
    <t>Miss Chawanrat Kammanee</t>
  </si>
  <si>
    <t>การ์ตูน</t>
  </si>
  <si>
    <t>Chawanrat221@gmail.com</t>
  </si>
  <si>
    <t>Chawanrat.k@kubota.com</t>
  </si>
  <si>
    <t>096-825-6891</t>
  </si>
  <si>
    <t>มหาวิทยาลัยเทคโนโลยีราชมงคล ธัญบุรี</t>
  </si>
  <si>
    <t>MAN049</t>
  </si>
  <si>
    <t>วรรณวิสา สิงห์กุล</t>
  </si>
  <si>
    <t>Miss Wanwisa Singkul</t>
  </si>
  <si>
    <t>อ้อย</t>
  </si>
  <si>
    <t>wanwisa_aoy@hotmail.com</t>
  </si>
  <si>
    <t>wanwisa.si@kubota.com</t>
  </si>
  <si>
    <t>083-124-0145</t>
  </si>
  <si>
    <t>มหาวิทยาลัยราชภัฏนครราชสิมา</t>
  </si>
  <si>
    <t>MAN051</t>
  </si>
  <si>
    <t>ธีระศักดิ์ พวงไธสง</t>
  </si>
  <si>
    <t>Mr. Theerasak Phuangthaisong</t>
  </si>
  <si>
    <t>แม็ค</t>
  </si>
  <si>
    <t>maktheerasak1994@gmail.com</t>
  </si>
  <si>
    <t>097-204-6764</t>
  </si>
  <si>
    <t>โรงเรียนนาเชือกพิทยาสรรค์</t>
  </si>
  <si>
    <t>MAN052</t>
  </si>
  <si>
    <t>เสกสรรค์ บูรณะณัฏิ</t>
  </si>
  <si>
    <t>Mr. Seksan Boorananat</t>
  </si>
  <si>
    <t>เอก</t>
  </si>
  <si>
    <t>065-669-8348</t>
  </si>
  <si>
    <t>โรงเรียนวังสมบูรณ์วิทยาคม</t>
  </si>
  <si>
    <t>MAN055</t>
  </si>
  <si>
    <t>สหรัฐ อ่อนพุทธา</t>
  </si>
  <si>
    <t>Mr. Saharat Onputta</t>
  </si>
  <si>
    <t>นัย</t>
  </si>
  <si>
    <t>ao929080643@gmail.com</t>
  </si>
  <si>
    <t>Saharat.o@kubota.com</t>
  </si>
  <si>
    <t>064-419-9206</t>
  </si>
  <si>
    <t>วิทยาลัยเทคโนโลยีขอนแก่นบริหารธุรกิจ</t>
  </si>
  <si>
    <t>MAN056</t>
  </si>
  <si>
    <t>นาตยา เทียนเงิน</t>
  </si>
  <si>
    <t>Miss Nataya Tenngion</t>
  </si>
  <si>
    <t>แคท</t>
  </si>
  <si>
    <t>nataya9431@gmail.com</t>
  </si>
  <si>
    <t>Nattaya.t@kubota.com</t>
  </si>
  <si>
    <t>096-784-5934</t>
  </si>
  <si>
    <t>มหาวิทยาลัยราชภัฏนครสวรรค์</t>
  </si>
  <si>
    <t>MAN057</t>
  </si>
  <si>
    <t>ชาญชัย เดชพันธ์</t>
  </si>
  <si>
    <t>Mr. Chanchai Dachpan</t>
  </si>
  <si>
    <t>Parts Production &amp; QC-3</t>
  </si>
  <si>
    <t>จ.ฉะเชิงเทรา</t>
  </si>
  <si>
    <t>เอ็ม</t>
  </si>
  <si>
    <t>Charnchai.mmmmmm@gmail.com</t>
  </si>
  <si>
    <t>Chanchai.d@kubota.com</t>
  </si>
  <si>
    <t>061-213-8675</t>
  </si>
  <si>
    <t>อิสระ ทองชมภู</t>
  </si>
  <si>
    <t>วิทยาลัยเทคโนโลยีเอ็น-เทคอินเตอร์เนชั่นแนล</t>
  </si>
  <si>
    <t>DY11040200</t>
  </si>
  <si>
    <t>MAN058</t>
  </si>
  <si>
    <t>ระพีพรรณ์ พิมพ์หนู</t>
  </si>
  <si>
    <t>Miss Rapheepan Phimhnoo</t>
  </si>
  <si>
    <t>บริการสำนักงาน</t>
  </si>
  <si>
    <t>นุ๊ก</t>
  </si>
  <si>
    <t>nook.nrpp28@gmail.com</t>
  </si>
  <si>
    <t>rapheepan.p@kubota.com</t>
  </si>
  <si>
    <t>062-162-1732</t>
  </si>
  <si>
    <t>ปานทอง ปัญจมาลา</t>
  </si>
  <si>
    <t>วิทยาลัยอาชีวศึกษานครสวรรค์</t>
  </si>
  <si>
    <t>MAN059</t>
  </si>
  <si>
    <t>ธนกาญน์ คล้ายวิมุติ</t>
  </si>
  <si>
    <t>Mr. Thanakarn   Klaiwimut</t>
  </si>
  <si>
    <t>จ.ชัยนาท</t>
  </si>
  <si>
    <t>เฟิส</t>
  </si>
  <si>
    <t>thanakanfirst2841@gmail.com</t>
  </si>
  <si>
    <t>061-296-5742</t>
  </si>
  <si>
    <t>MAN060</t>
  </si>
  <si>
    <t>พรรณราย ทองสุข</t>
  </si>
  <si>
    <t>Miss Punnaray Tongsook</t>
  </si>
  <si>
    <t>ปาล์ม</t>
  </si>
  <si>
    <t>aboo1600@gmail.com</t>
  </si>
  <si>
    <t>punnaray.t@kubota.com</t>
  </si>
  <si>
    <t>082-727-9898</t>
  </si>
  <si>
    <t>มหาวิทยาลัยนอร์ทกรุงเทพ</t>
  </si>
  <si>
    <t>MAN061</t>
  </si>
  <si>
    <t>สุนทร หมื่นกล้า</t>
  </si>
  <si>
    <t>Mr. Sunthon Muenkla</t>
  </si>
  <si>
    <t>non26645@gmail.com</t>
  </si>
  <si>
    <t>sunthon.m@kubota.com</t>
  </si>
  <si>
    <t>082-557-5326</t>
  </si>
  <si>
    <t>MAN062</t>
  </si>
  <si>
    <t>นัฐพงษ์ เชียงคำ</t>
  </si>
  <si>
    <t>Mr. Nutthapong Chiangkom</t>
  </si>
  <si>
    <t>ตี๋</t>
  </si>
  <si>
    <t>Nutchiangkom1991@gmail.com</t>
  </si>
  <si>
    <t>Nutthapong.c@kubota.com</t>
  </si>
  <si>
    <t>097-361-9358</t>
  </si>
  <si>
    <t>โรงเรียนสามโคก</t>
  </si>
  <si>
    <t>MAN063</t>
  </si>
  <si>
    <t>ภัทรพล นระดี</t>
  </si>
  <si>
    <t>Mr. Phattharaphon Noradee</t>
  </si>
  <si>
    <t>เอ็กซ์</t>
  </si>
  <si>
    <t>netolovex002@gmail.com</t>
  </si>
  <si>
    <t>095-158-6801</t>
  </si>
  <si>
    <t>วิทยาลัยเทคโนโลยีภูเวียงพณิชยการ</t>
  </si>
  <si>
    <t>MAN065</t>
  </si>
  <si>
    <t>ศาศวัต วรเลิศ</t>
  </si>
  <si>
    <t>Mr. Satsawat Woralert</t>
  </si>
  <si>
    <t>ตาล</t>
  </si>
  <si>
    <t>tan_wo@hotmail.com</t>
  </si>
  <si>
    <t>satsawat.w@kubota.com</t>
  </si>
  <si>
    <t>088-103-2599</t>
  </si>
  <si>
    <t>มหาวิทยาลัยอุบลราชธานี</t>
  </si>
  <si>
    <t>MAN066</t>
  </si>
  <si>
    <t>ยุวดี ชื่นกมล</t>
  </si>
  <si>
    <t>Miss Yuvadee Chinkarmol</t>
  </si>
  <si>
    <t>ก้อย</t>
  </si>
  <si>
    <t>Yuvadee1990.koy@gmail.com</t>
  </si>
  <si>
    <t>yuvadee.c@kubota.com</t>
  </si>
  <si>
    <t>082-978-7024</t>
  </si>
  <si>
    <t>กัญจนา ศิริชาติ</t>
  </si>
  <si>
    <t>มหาวิทยาลัยศรีปทุม</t>
  </si>
  <si>
    <t>MAN067</t>
  </si>
  <si>
    <t>เกษมะณี หอมทรัพย์</t>
  </si>
  <si>
    <t>Miss Ketmanee Homsup</t>
  </si>
  <si>
    <t>น้ำผึ้ง</t>
  </si>
  <si>
    <t>Ketmanee37180@gmail.com</t>
  </si>
  <si>
    <t>ketmanee.h@kubota.com</t>
  </si>
  <si>
    <t>095-513-7180</t>
  </si>
  <si>
    <t>MAN068</t>
  </si>
  <si>
    <t>พรธิดา พงษ์โสภณ</t>
  </si>
  <si>
    <t>Miss Prontida Pongsopon</t>
  </si>
  <si>
    <t>เพื่อน</t>
  </si>
  <si>
    <t>Porntida.pong10@gmail.com</t>
  </si>
  <si>
    <t>Porntida.p@kubota.com</t>
  </si>
  <si>
    <t>095-714-8362</t>
  </si>
  <si>
    <t>มหาวิทยาลัยราชภัฏวไลยอลงกรณ์ในพระบรมราชูปถัมภ์</t>
  </si>
  <si>
    <t>MAN069</t>
  </si>
  <si>
    <t>โยติกา วงษ์สนิท</t>
  </si>
  <si>
    <t>Miss Yotika Wongsanit</t>
  </si>
  <si>
    <t>โย</t>
  </si>
  <si>
    <t>gerrard-yothekop@hotmail.co.th</t>
  </si>
  <si>
    <t>yotika.w@kubota.com</t>
  </si>
  <si>
    <t>093-302-2965</t>
  </si>
  <si>
    <t>มหาวิทยาลัยราชภัฏมหาสารคาม</t>
  </si>
  <si>
    <t>MAN070</t>
  </si>
  <si>
    <t>ศุภชัย ทองมาก</t>
  </si>
  <si>
    <t>Mr. Suppachai Thongmak</t>
  </si>
  <si>
    <t>จ.สุราษฏร์ธานี</t>
  </si>
  <si>
    <t>โจ้</t>
  </si>
  <si>
    <t>taaek1045@gmail.com</t>
  </si>
  <si>
    <t>063-618-1045</t>
  </si>
  <si>
    <t>โรงเรียนบ้านเสด็จพิทยาคม</t>
  </si>
  <si>
    <t>MAN071</t>
  </si>
  <si>
    <t>นิธิกร ศรีสวัสดิ์</t>
  </si>
  <si>
    <t>Mr. Nitikorn Srisawat</t>
  </si>
  <si>
    <t>Parts Production &amp; QC-2</t>
  </si>
  <si>
    <t>znitikorna@gmail.com</t>
  </si>
  <si>
    <t>nitikorn.s@kubota.com</t>
  </si>
  <si>
    <t>096-657-3529</t>
  </si>
  <si>
    <t>นายจิณณวัตร อุ่นหล้า</t>
  </si>
  <si>
    <t>วิทยาลัยเทคนิคขอนแก่น</t>
  </si>
  <si>
    <t>MAN072</t>
  </si>
  <si>
    <t>ณัฐพงษ์ สิงใส</t>
  </si>
  <si>
    <t>Mr. Nathapong Singsai</t>
  </si>
  <si>
    <t>เต้ย</t>
  </si>
  <si>
    <t>Nuttapong.singsia1312@gmail.com</t>
  </si>
  <si>
    <t>nadthapong.s@kubota.com</t>
  </si>
  <si>
    <t>065-450-3205</t>
  </si>
  <si>
    <t>ศูนย์การศึกษานอกระบบและการศึกษาตามอัธยาศัย อำเภอสามเงา</t>
  </si>
  <si>
    <t>MAN073</t>
  </si>
  <si>
    <t>ภราดร ทะสร้อย</t>
  </si>
  <si>
    <t>Mr. Pharadon Thasroi</t>
  </si>
  <si>
    <t>บอม</t>
  </si>
  <si>
    <t>094-092-0391</t>
  </si>
  <si>
    <t>วิทยาลัยการอาชีพท่าตูม</t>
  </si>
  <si>
    <t>DY72010100</t>
  </si>
  <si>
    <t>MAN075</t>
  </si>
  <si>
    <t>สายสุดา นันเชียงเครือ</t>
  </si>
  <si>
    <t>Miss Saisuda Nanchiangkruea</t>
  </si>
  <si>
    <t>ฝ่ายกลยุทธ์การตลาด</t>
  </si>
  <si>
    <t>ส่วนบริหารการตลาด</t>
  </si>
  <si>
    <t>การตลาดแทรกเตอร์ในประเทศ</t>
  </si>
  <si>
    <t>อังกอร์</t>
  </si>
  <si>
    <t>sudanun89@gmail.com</t>
  </si>
  <si>
    <t>Saisuda.n@kubota.com</t>
  </si>
  <si>
    <t>098-219-8727</t>
  </si>
  <si>
    <t>สุพัตรา ธรรมารักษ์</t>
  </si>
  <si>
    <t>วิทยาลัยสารพัดช่างกาฬสินธุ์</t>
  </si>
  <si>
    <t>MAN076</t>
  </si>
  <si>
    <t>วงศ์ธร ประชุมชัย</t>
  </si>
  <si>
    <t>Mr. Wongthon Prachumchai</t>
  </si>
  <si>
    <t>เอ้</t>
  </si>
  <si>
    <t>sorer5700@gmail.com</t>
  </si>
  <si>
    <t>085-847-3781</t>
  </si>
  <si>
    <t>ศูนย์การศึกษานอกระบบและการศึกษาตามอัธยาศัย อำเภอภูเวียง</t>
  </si>
  <si>
    <t>MAN077</t>
  </si>
  <si>
    <t>บรรณวิชญ์ ใบบัว</t>
  </si>
  <si>
    <t>Mr. Bannawit Baibua</t>
  </si>
  <si>
    <t>โอม</t>
  </si>
  <si>
    <t>bannawit98@gmail.com</t>
  </si>
  <si>
    <t>bannawit.b@kubota.com</t>
  </si>
  <si>
    <t>092-458-5906</t>
  </si>
  <si>
    <t>นางสาววิไลลักษณ์ มั่นคง</t>
  </si>
  <si>
    <t>วิทยาลัยการอาชีพพิชัย</t>
  </si>
  <si>
    <t>MAN079</t>
  </si>
  <si>
    <t>ไตรภพ หักทะเล</t>
  </si>
  <si>
    <t>Mr. Triphob Hsktale</t>
  </si>
  <si>
    <t>หยก</t>
  </si>
  <si>
    <t>yoknaclub123123@gmail.com</t>
  </si>
  <si>
    <t>063-953-0517</t>
  </si>
  <si>
    <t>โรงเรียนหนองบัวพิทยาคม</t>
  </si>
  <si>
    <t>MAN080</t>
  </si>
  <si>
    <t>ชนแดนไทย สายแก้ว</t>
  </si>
  <si>
    <t>Mr. Chondaenthai Saikaeo</t>
  </si>
  <si>
    <t>โอเว่น</t>
  </si>
  <si>
    <t>chondanthai01@gmail.com</t>
  </si>
  <si>
    <t>064-464-6752</t>
  </si>
  <si>
    <t>โรงเรียนสว่างวีระวงศ์</t>
  </si>
  <si>
    <t>DY75400400</t>
  </si>
  <si>
    <t>MAN081</t>
  </si>
  <si>
    <t>วรรณชัย เที่ยงตรง</t>
  </si>
  <si>
    <t>Mr. Wannachai Thiangtong</t>
  </si>
  <si>
    <t>ศูนย์อบรมสยามคูโบต้า</t>
  </si>
  <si>
    <t>พัฒนาสื่อด้านบริการ</t>
  </si>
  <si>
    <t>ก๊อต</t>
  </si>
  <si>
    <t>wannachai0901@gmail.com</t>
  </si>
  <si>
    <t>064-714-5979</t>
  </si>
  <si>
    <t>ชวิน เหมชาติวิรุฬห์</t>
  </si>
  <si>
    <t>วิทยาลัยเทคโนโลยีพณิชยการบ้านม่วง</t>
  </si>
  <si>
    <t>MAN083</t>
  </si>
  <si>
    <t>มธุรส มาฆะมงคล</t>
  </si>
  <si>
    <t>Miss Maturod Maknamongkol</t>
  </si>
  <si>
    <t>บัว</t>
  </si>
  <si>
    <t>Mathurod.makhamongkol@gmail.com</t>
  </si>
  <si>
    <t>Mathurod.ma@kubota.com</t>
  </si>
  <si>
    <t>062-310-0874</t>
  </si>
  <si>
    <t>โรงเรียนสลกบาตรวิทยา</t>
  </si>
  <si>
    <t>DY76030300</t>
  </si>
  <si>
    <t>MAN084</t>
  </si>
  <si>
    <t>มนต์นภา พุ่มเรือง</t>
  </si>
  <si>
    <t>Miss Monnapha Phumrueang</t>
  </si>
  <si>
    <t>นุ้ย</t>
  </si>
  <si>
    <t>monnapha086@gmail.com</t>
  </si>
  <si>
    <t>monnapha.p@kubota.com</t>
  </si>
  <si>
    <t>062-674-5556</t>
  </si>
  <si>
    <t>มหาวิทยาลัยเทคโนโลยีราชมงคลสุวรรณภูมิ ศูนย์นนทบุรี</t>
  </si>
  <si>
    <t>MAN085</t>
  </si>
  <si>
    <t>เจษฎา ยงยืน</t>
  </si>
  <si>
    <t>Mr. Jessada Yongyeun</t>
  </si>
  <si>
    <t>ต้น</t>
  </si>
  <si>
    <t>jessada24yong@gmail.com</t>
  </si>
  <si>
    <t>095-101-9817</t>
  </si>
  <si>
    <t>โรงเรียนเขื่องในพิทยาคาร</t>
  </si>
  <si>
    <t>MAN086</t>
  </si>
  <si>
    <t>แพรววิลัย สีต่างคำ</t>
  </si>
  <si>
    <t>Miss Praewwilai Seetangkam</t>
  </si>
  <si>
    <t>praew04112101@gmail.com</t>
  </si>
  <si>
    <t>praewwilai.s@kubota.com</t>
  </si>
  <si>
    <t>068-838-1775</t>
  </si>
  <si>
    <t>วิทยาลัยอาชีวศึกษาเอกปัญญา</t>
  </si>
  <si>
    <t>MAN088</t>
  </si>
  <si>
    <t>กาญจนา  ปราบภัย</t>
  </si>
  <si>
    <t>Ms.Kanchana Pappai</t>
  </si>
  <si>
    <t>พนักงานOperator</t>
  </si>
  <si>
    <t>ส่วนLegal &amp; Compliance Department</t>
  </si>
  <si>
    <t>เปรี้ยว</t>
  </si>
  <si>
    <t>Kanchanapappai19@gmail.com</t>
  </si>
  <si>
    <t>Kanchana.p@kubota.com</t>
  </si>
  <si>
    <t>092-3788340</t>
  </si>
  <si>
    <t>มหาวิทยาลัยกรุงเทพ</t>
  </si>
  <si>
    <t>MAN090</t>
  </si>
  <si>
    <t>นนทกร ทาระเวท</t>
  </si>
  <si>
    <t>Mr.Nontakon  Tarawet</t>
  </si>
  <si>
    <t>ปอยฝ้าย</t>
  </si>
  <si>
    <t>Nonta9658@gmail.com</t>
  </si>
  <si>
    <t>063-063-9005</t>
  </si>
  <si>
    <t>วิทยาลัยเทคนิคกาฬสินธุ์</t>
  </si>
  <si>
    <t>MAN091</t>
  </si>
  <si>
    <t>ธนวัฒน์  วงค์แก่งท้าว</t>
  </si>
  <si>
    <t>Mr.Thanawat  Wongkaenthao</t>
  </si>
  <si>
    <t>คอปเตอร์</t>
  </si>
  <si>
    <t>tanawat2002copter@gmail.com</t>
  </si>
  <si>
    <t>thanawat.wo@kubota.com</t>
  </si>
  <si>
    <t>082-862-2093</t>
  </si>
  <si>
    <t>มหาวิทยาลัยเกษตศาสตร์ วิทยาเขตสกลนคร</t>
  </si>
  <si>
    <t>MAN092</t>
  </si>
  <si>
    <t>ยชนา  มุ่งพันธ์</t>
  </si>
  <si>
    <t>Mr.Yotchana  Mungpan</t>
  </si>
  <si>
    <t>วิว</t>
  </si>
  <si>
    <t>yotchanaz16@gmail.com</t>
  </si>
  <si>
    <t>092-295-7399</t>
  </si>
  <si>
    <t>ศูนย์การศึกษานอกระบบและการศึกษาตามอัธยาศัยอำเภอส่องดาว</t>
  </si>
  <si>
    <t>MAN098</t>
  </si>
  <si>
    <t>ชานิดา ประหา</t>
  </si>
  <si>
    <t>Miss. Chanida Praha</t>
  </si>
  <si>
    <t>เนเน่</t>
  </si>
  <si>
    <t>chanidapraha1@gmail.com</t>
  </si>
  <si>
    <t>Chanida.p@kubota.com</t>
  </si>
  <si>
    <t>080-010-9113</t>
  </si>
  <si>
    <t>วิทยาลัยการอาชีพโพนทอง</t>
  </si>
  <si>
    <t>DY76040400</t>
  </si>
  <si>
    <t>MAN100</t>
  </si>
  <si>
    <t>อมิตา  รอดศัตรู</t>
  </si>
  <si>
    <t>Miss. Amita Rodsatru</t>
  </si>
  <si>
    <t>พัฒนาระบบคลังอะไหล่อัตโนมัติ</t>
  </si>
  <si>
    <t>พัฒนาระบบคลังอะไหล่อัตโนมัติ-3</t>
  </si>
  <si>
    <t>แตงโม</t>
  </si>
  <si>
    <t>amita.rodsatru@gmail.com</t>
  </si>
  <si>
    <t>amita.r@kubota.com</t>
  </si>
  <si>
    <t>091-759-9632</t>
  </si>
  <si>
    <t>อรอนงค์ ถาดทอง</t>
  </si>
  <si>
    <t>ชยางกูร โสภณโภไคย</t>
  </si>
  <si>
    <t>MAN101</t>
  </si>
  <si>
    <t>กรวรรณ มีมาก</t>
  </si>
  <si>
    <t>Miss. Korawan Meemak</t>
  </si>
  <si>
    <t>แพร</t>
  </si>
  <si>
    <t>parekorawan2547@gmail.com</t>
  </si>
  <si>
    <t>korawan.m@kubota.com</t>
  </si>
  <si>
    <t>095-716-8794</t>
  </si>
  <si>
    <t>DY76030100</t>
  </si>
  <si>
    <t>MAN102</t>
  </si>
  <si>
    <t>รัตนติการณ์  แซ่ใจ</t>
  </si>
  <si>
    <t>MS. Rattanatikarn Saejai</t>
  </si>
  <si>
    <t xml:space="preserve">บริหารและวางแผนการจัดเตรียมอะไหล่ </t>
  </si>
  <si>
    <t>บริหารและวางแผนการจัดเตรียมอะไหล่</t>
  </si>
  <si>
    <t>จอย</t>
  </si>
  <si>
    <t>rattanatikarn.saejai@gmail.com</t>
  </si>
  <si>
    <t>rattanatikan.s@kubota.com</t>
  </si>
  <si>
    <t>091-631-0914</t>
  </si>
  <si>
    <t>วีนัส สุมนเตชะรัตน์</t>
  </si>
  <si>
    <t>วิทยาลัยเทคนิคแพร่</t>
  </si>
  <si>
    <t>MAN103</t>
  </si>
  <si>
    <t>ธนภัทธ์  นามเกตุ</t>
  </si>
  <si>
    <t>Mr. Thanapat Namket</t>
  </si>
  <si>
    <t>ไนท์</t>
  </si>
  <si>
    <t>nightxo1123@gmail.com</t>
  </si>
  <si>
    <t>099-000-9320</t>
  </si>
  <si>
    <t>วิทยาลัยเทคโนโลยีธาตุพนม</t>
  </si>
  <si>
    <t>MAN104</t>
  </si>
  <si>
    <t>ภราดร   ศรีมุงคุณ</t>
  </si>
  <si>
    <t>Mr. Pharadon Srimungkhun</t>
  </si>
  <si>
    <t>ปอนด์</t>
  </si>
  <si>
    <t>ponzaza2525russia@gmail.com</t>
  </si>
  <si>
    <t>096-695-1728</t>
  </si>
  <si>
    <t>ศูนย์ส่งเสริมการเรียนรู้อำเภอภูเวียง</t>
  </si>
  <si>
    <t>MAN106</t>
  </si>
  <si>
    <t>ชลธิชา ศรีลาชัย</t>
  </si>
  <si>
    <t>MAN107</t>
  </si>
  <si>
    <t>วิชิต พาโฮม</t>
  </si>
  <si>
    <t>Mr. Wichit Phahom</t>
  </si>
  <si>
    <t>เฟิร์ส</t>
  </si>
  <si>
    <t>ibombombom5@gmail.com</t>
  </si>
  <si>
    <t>065-347-1810</t>
  </si>
  <si>
    <t>วิทยาลัยอาชีวะศึกษาศรีสงคราม</t>
  </si>
  <si>
    <t>ปี</t>
  </si>
  <si>
    <t>เดือน</t>
  </si>
  <si>
    <t>ค่าจ้าง</t>
  </si>
  <si>
    <t>DY33010602</t>
  </si>
  <si>
    <t>HRD003</t>
  </si>
  <si>
    <t>วัชรพงษ์  ยะปัญญา</t>
  </si>
  <si>
    <t xml:space="preserve">Watgharapong Yapanya                    </t>
  </si>
  <si>
    <t>ช่าง</t>
  </si>
  <si>
    <t>ฝ่ายผลิต - นวนคร</t>
  </si>
  <si>
    <t>ส่วนการผลิตผลิตภัณฑ์</t>
  </si>
  <si>
    <t>ประกอบ - รถไถ</t>
  </si>
  <si>
    <t>ประกอบรถไถ</t>
  </si>
  <si>
    <t>ลุย</t>
  </si>
  <si>
    <t>lomone251@gmail.com</t>
  </si>
  <si>
    <t>061-356-9292</t>
  </si>
  <si>
    <t>ธีรยุท  จันทร์ไพสน</t>
  </si>
  <si>
    <t>วิภาวี วิวรรณวา</t>
  </si>
  <si>
    <t>โรงเรียนเชียงกลาง(ประชาพัฒนา)</t>
  </si>
  <si>
    <t>DY34060500</t>
  </si>
  <si>
    <t>HRD004</t>
  </si>
  <si>
    <t>วัชรา  จันดอนแดง</t>
  </si>
  <si>
    <t xml:space="preserve">Watchara Chandondong     </t>
  </si>
  <si>
    <t>ฝ่ายตรวจสอบคุณภาพ</t>
  </si>
  <si>
    <t>ส่วนตรวจสอบคุณภาพ-นวนคร</t>
  </si>
  <si>
    <t>ตรวจสอบคุณภาพ - ผลิตภัณฑ์</t>
  </si>
  <si>
    <t>เล็ก</t>
  </si>
  <si>
    <t>watchara300590@gmail.com</t>
  </si>
  <si>
    <t>085-636-3417</t>
  </si>
  <si>
    <t>จรัส  เสวตวงษ์</t>
  </si>
  <si>
    <t>สุรวิทย์  สุวรรณโชติ</t>
  </si>
  <si>
    <t>โรงเรียนน้ำใสวรวิทย์</t>
  </si>
  <si>
    <t>HRD005</t>
  </si>
  <si>
    <t>สมยงค์  สีหะวงษ์</t>
  </si>
  <si>
    <t xml:space="preserve">Somyong Srihawong                  </t>
  </si>
  <si>
    <t>ประกอบ - เครื่องอัดฟาง</t>
  </si>
  <si>
    <t>ประกอบ - งานพ่นสี 1</t>
  </si>
  <si>
    <t>แดง</t>
  </si>
  <si>
    <t>byvips6433@gmail.com</t>
  </si>
  <si>
    <t>092-591-6433</t>
  </si>
  <si>
    <t>ศูนย์บริการศึกษานอกโรงเรียน อำเภอสามโคก</t>
  </si>
  <si>
    <t>DY33020701</t>
  </si>
  <si>
    <t>HRD006</t>
  </si>
  <si>
    <t>ศราวุธ  เดชารัมย์</t>
  </si>
  <si>
    <t xml:space="preserve">Sarawut Dacharam                   </t>
  </si>
  <si>
    <t>ส่วนการผลิตชิ้นส่วน</t>
  </si>
  <si>
    <t>ผลิตชิ้นส่วนอมตะชิตี้</t>
  </si>
  <si>
    <t>ผลิตชิ้นส่วนเฟือง - เพลา อมตะชิตี้</t>
  </si>
  <si>
    <t>หนุ่ม</t>
  </si>
  <si>
    <t>Sarawutdacharam0@gmail.com</t>
  </si>
  <si>
    <t>061-659-3634</t>
  </si>
  <si>
    <t>สมพงษ์  พันธุ์มา</t>
  </si>
  <si>
    <t>จตุพล วงษ์จู</t>
  </si>
  <si>
    <t>โรงเรียนอิสาณโกศลศึกษา</t>
  </si>
  <si>
    <t>DY33030300</t>
  </si>
  <si>
    <t>HRD007</t>
  </si>
  <si>
    <t>สุเมธ  แจ้ชัยภูมิ</t>
  </si>
  <si>
    <t>Sumet  Chaechaiyaphum</t>
  </si>
  <si>
    <t>ส่วนวางแผนและควบคุมการผลิต - นวนคร</t>
  </si>
  <si>
    <t>ศูนย์กระจายสินค้านวนคร</t>
  </si>
  <si>
    <t>เมธ</t>
  </si>
  <si>
    <t>sumet1334@gmail.com</t>
  </si>
  <si>
    <t>081-292-6014</t>
  </si>
  <si>
    <t>กมล  ทองมักค่า</t>
  </si>
  <si>
    <t>ประภาส  บรรจงศิริ</t>
  </si>
  <si>
    <t>ศูนย์บริการศึกษานอกโรงเรียน อำเภอเมือง</t>
  </si>
  <si>
    <t>DY33020801</t>
  </si>
  <si>
    <t>HRD009</t>
  </si>
  <si>
    <t>ธนาวัฒน์  อิ่มสมบัติ</t>
  </si>
  <si>
    <t>Thanawat   Aimsombat</t>
  </si>
  <si>
    <t>ผลิตชิ้นส่วนเครื่องยนต์</t>
  </si>
  <si>
    <t>ผลิตชิ้นส่วน - เสื้อสูบ</t>
  </si>
  <si>
    <t>โก้</t>
  </si>
  <si>
    <t>Kothanawat2537@gmail.com</t>
  </si>
  <si>
    <t>095-534-4904</t>
  </si>
  <si>
    <t>วันชัย  เฉลยคาม</t>
  </si>
  <si>
    <t>ขวัญเมือง หอมกรุ่น</t>
  </si>
  <si>
    <t>ศูนย์การศึกษานอกระบบและการศึกษาตามอัธยาศัย อำเภอเมืองนครสวรรค์</t>
  </si>
  <si>
    <t>HRD010</t>
  </si>
  <si>
    <t>จีรพันธ์  ชาวขุนทด</t>
  </si>
  <si>
    <t>Jeeraphan  Chaokhuntod</t>
  </si>
  <si>
    <t>แทน</t>
  </si>
  <si>
    <t>jeeraphan.tan211040@gmail.com</t>
  </si>
  <si>
    <t>091-028-2271</t>
  </si>
  <si>
    <t>วิทยาลัยเทคนิคหลวงพ่อคูณ ปริสุทฺโธ</t>
  </si>
  <si>
    <t>HRD011</t>
  </si>
  <si>
    <t>ปฏิพัทธ์  พลเทพา</t>
  </si>
  <si>
    <t>Pathiphat Pholtepa</t>
  </si>
  <si>
    <t>nutnut138257@gmail.com</t>
  </si>
  <si>
    <t>098-478-1768</t>
  </si>
  <si>
    <t>โรงเรียนทะเมนชัยพิทยาคม</t>
  </si>
  <si>
    <t>DY33020604</t>
  </si>
  <si>
    <t>HRD012</t>
  </si>
  <si>
    <t>ศิริศักดิ์  สุภาศรี</t>
  </si>
  <si>
    <t xml:space="preserve">Sirisak  Suphasri </t>
  </si>
  <si>
    <t>ผลิตชิ้นส่วนรถไถ</t>
  </si>
  <si>
    <t>ผลิตชิ้นส่วน - ชุดเรือนลูกปืนเพลาข้อเหวี่ยง</t>
  </si>
  <si>
    <t>ศักดิ์</t>
  </si>
  <si>
    <t>sirisak.1373@gmail.com</t>
  </si>
  <si>
    <t>063-862-6369</t>
  </si>
  <si>
    <t>สมพงษ์ คำแสน</t>
  </si>
  <si>
    <t>พิตตินันท์  พันธ์เนตร</t>
  </si>
  <si>
    <t>วิทยาลัยอาชีวศึกษาโปลีเทคอำนาจเจริญ</t>
  </si>
  <si>
    <t>HRD013</t>
  </si>
  <si>
    <t>พงษ์ดนัย  จูมวงษ์</t>
  </si>
  <si>
    <t>Pongdanai  Jumwong</t>
  </si>
  <si>
    <t>พงษ์</t>
  </si>
  <si>
    <t>pongdanijoomwong@gmail.com</t>
  </si>
  <si>
    <t>099-101-2393</t>
  </si>
  <si>
    <t>ศูนย์การศึกษานอกระบบและการศึกษาตามอัธยาศัย อำเภอมหาชนะชัย</t>
  </si>
  <si>
    <t>HRD014</t>
  </si>
  <si>
    <t>คมสันต์  ฝอยเหลือง</t>
  </si>
  <si>
    <t xml:space="preserve">Komsan  Foilueng  </t>
  </si>
  <si>
    <t>หนู</t>
  </si>
  <si>
    <t>Komsun.nu.2540@gmail.com</t>
  </si>
  <si>
    <t>080-675-5152</t>
  </si>
  <si>
    <t>วิทยาลัยเทคโนโลยีอุตรดิตถ์</t>
  </si>
  <si>
    <t>DY33020602</t>
  </si>
  <si>
    <t>HRD015</t>
  </si>
  <si>
    <t>ณัฐพงศ์  สาจิ๋ว</t>
  </si>
  <si>
    <t>Nathapong Sa-chiw</t>
  </si>
  <si>
    <t>ผลิตเฟือง-เพลา นวนคร</t>
  </si>
  <si>
    <t>ปลั๊ก</t>
  </si>
  <si>
    <t>092natthapong092@gmail.com</t>
  </si>
  <si>
    <t>092-684-0998</t>
  </si>
  <si>
    <t>วิทยาลัยอาชีวการศึกษากรุงเทพธุรกิจ</t>
  </si>
  <si>
    <t>DY33010601</t>
  </si>
  <si>
    <t>HRD016</t>
  </si>
  <si>
    <t>เกรียงศักดิ์  เพ็งสุข</t>
  </si>
  <si>
    <t>Krangsak  Pengsook</t>
  </si>
  <si>
    <t>ประกอบ - งานพ่นสี 2</t>
  </si>
  <si>
    <t>มอส</t>
  </si>
  <si>
    <t>kreangsak2547@gmail.com</t>
  </si>
  <si>
    <t>093-118-5404</t>
  </si>
  <si>
    <t>วิษณุชัย  คันธะรินทร์</t>
  </si>
  <si>
    <t>วิทยาลัยเทคโนโลยีหนองเรือ ไทย-เยอรมัน</t>
  </si>
  <si>
    <t>HRD018</t>
  </si>
  <si>
    <t>รัชชานนท์  โพธิ์รักษ์</t>
  </si>
  <si>
    <t>Ratchanon Phorak</t>
  </si>
  <si>
    <t>เอฟ</t>
  </si>
  <si>
    <t>ratchanonff22082538@gmail.com</t>
  </si>
  <si>
    <t>065-332-7023</t>
  </si>
  <si>
    <t>โรงเรียนวังตะกูราษฎร์อุทิศ</t>
  </si>
  <si>
    <t>HRD019</t>
  </si>
  <si>
    <t>ศรัณย์  ฟอกสันเทียะ</t>
  </si>
  <si>
    <t>Saran Foksanthia</t>
  </si>
  <si>
    <t>เจน</t>
  </si>
  <si>
    <t>Janechelsaxxx@gmail.com</t>
  </si>
  <si>
    <t>083-275-9855</t>
  </si>
  <si>
    <t>HRD020</t>
  </si>
  <si>
    <t>กฤษดา  อยู่ชุมกร</t>
  </si>
  <si>
    <t>Kritsada  Oiuchumkon</t>
  </si>
  <si>
    <t>Talza06127@gmail.com</t>
  </si>
  <si>
    <t>080-909-3796</t>
  </si>
  <si>
    <t>วิทยาลัยเทคนิคนางรอง</t>
  </si>
  <si>
    <t>HRD022</t>
  </si>
  <si>
    <t>สุวนันท์  ขวัญใจ</t>
  </si>
  <si>
    <t>Suwanun  Kwanjai</t>
  </si>
  <si>
    <t>ส่วนตรวจสอบคุณภาพ - นวนคร</t>
  </si>
  <si>
    <t>ปุ๊กกี้</t>
  </si>
  <si>
    <t>suwanun.kwa@gmail.com</t>
  </si>
  <si>
    <t>063-763-8255</t>
  </si>
  <si>
    <t>วิทยาลัยอาชีวศึกษาสุรินทร์</t>
  </si>
  <si>
    <t>HRD024</t>
  </si>
  <si>
    <t>วชิระพันธ์  ชนะศิล</t>
  </si>
  <si>
    <t>Wachirapan Chanasin</t>
  </si>
  <si>
    <t>ทอม</t>
  </si>
  <si>
    <t>baronolivia8@gmail.com</t>
  </si>
  <si>
    <t>095-489-2048</t>
  </si>
  <si>
    <t>โรงเรียนวังแขมวิทยาคม</t>
  </si>
  <si>
    <t>DY33010104</t>
  </si>
  <si>
    <t>HRD025</t>
  </si>
  <si>
    <t>ชัยชนะ  ไชยคำนวน</t>
  </si>
  <si>
    <t>Chaichana ChaiKhamnuan</t>
  </si>
  <si>
    <t>ประกอบ - เครื่องยนต์</t>
  </si>
  <si>
    <t>ประกอบชิ้นส่วนขั้นสุดท้าย</t>
  </si>
  <si>
    <t>ชัย</t>
  </si>
  <si>
    <t>chaichana152539@gmail.com</t>
  </si>
  <si>
    <t>063-009-8011</t>
  </si>
  <si>
    <t>มนตรี  ใยน้อย</t>
  </si>
  <si>
    <t>ฐิติกร  เปล่งขำ</t>
  </si>
  <si>
    <t>โรงเรียนกมลาไสย</t>
  </si>
  <si>
    <t>DY33020601</t>
  </si>
  <si>
    <t>HRD026</t>
  </si>
  <si>
    <t>เรวัต  วงสีใส</t>
  </si>
  <si>
    <t>Rewat Wongseesai</t>
  </si>
  <si>
    <t>ผลิตเสื้อเกียร์</t>
  </si>
  <si>
    <t>แป้ง</t>
  </si>
  <si>
    <t>rewat08654@gmail.com</t>
  </si>
  <si>
    <t>099-240-8654</t>
  </si>
  <si>
    <t>วิทยาลัยการอาชีพศรีสำโรง</t>
  </si>
  <si>
    <t>DY33030202</t>
  </si>
  <si>
    <t>HRD028</t>
  </si>
  <si>
    <t>สมศักดิ์  วงษ์กันหา</t>
  </si>
  <si>
    <t>Somsak  Wongkanha</t>
  </si>
  <si>
    <t>โลจิสติกส์ชิ้นส่วน</t>
  </si>
  <si>
    <t>รับชิ้นส่วน</t>
  </si>
  <si>
    <t>หรั่ง</t>
  </si>
  <si>
    <t>Somsuk3001@gmail.com</t>
  </si>
  <si>
    <t>096-207-1901</t>
  </si>
  <si>
    <t>บรรเลง  กุลอุปฮาด</t>
  </si>
  <si>
    <t>ประเสริฐ  ฟอกสันเทียะ</t>
  </si>
  <si>
    <t>ศูนย์การศึกษานอกระบบและการศึกษาตามอัธยาศัย อำเภอเมืองนครราชสีมา</t>
  </si>
  <si>
    <t>HRD030</t>
  </si>
  <si>
    <t>พัชรพล  บุญนะโชติ</t>
  </si>
  <si>
    <t>Phatcharaphon  Boonnachot</t>
  </si>
  <si>
    <t>หมูน้อย</t>
  </si>
  <si>
    <t>cabon.2552@gmail.com</t>
  </si>
  <si>
    <t>096-703-5167</t>
  </si>
  <si>
    <t>วิทยาลัยเทคโนโลยีวิบูลย์บริหารธุรกิจ</t>
  </si>
  <si>
    <t>HRD032</t>
  </si>
  <si>
    <t>จักรพรรณ์  สุวรรณเสือ</t>
  </si>
  <si>
    <t>Chakkaphan  Suwannasuea</t>
  </si>
  <si>
    <t>suwannasuea2539@gmail.com</t>
  </si>
  <si>
    <t>062-194-3090</t>
  </si>
  <si>
    <t>โรงเรียนไฮเทค-เทคโนโลยี ชัยภูมิ</t>
  </si>
  <si>
    <t>DY33020702</t>
  </si>
  <si>
    <t>HRD033</t>
  </si>
  <si>
    <t>เกษม  สอนเกตุ</t>
  </si>
  <si>
    <t>Kasem Sonket</t>
  </si>
  <si>
    <t>ผลิตชิ้นส่วน - เพลา ดอกจอก อมตะชิตี้</t>
  </si>
  <si>
    <t>เสม</t>
  </si>
  <si>
    <t>Kasemsonket@gmail.com</t>
  </si>
  <si>
    <t>062-481-0888</t>
  </si>
  <si>
    <t>HRD034</t>
  </si>
  <si>
    <t>ชัยพร  กลิ่นบุญ</t>
  </si>
  <si>
    <t>Chaiyaphon Klinbun</t>
  </si>
  <si>
    <t>บอล</t>
  </si>
  <si>
    <t>chaiyephon2022@gmail.com</t>
  </si>
  <si>
    <t>095-483-9000</t>
  </si>
  <si>
    <t>โรงเรียนทหารอากาศอนุสรณ์</t>
  </si>
  <si>
    <t>HRD035</t>
  </si>
  <si>
    <t>สิวะบุตร  แก้วกองนอก</t>
  </si>
  <si>
    <t>HRD036</t>
  </si>
  <si>
    <t>กิจจา  งามวิลัย</t>
  </si>
  <si>
    <t>Kitja Ngamwilai</t>
  </si>
  <si>
    <t>จา</t>
  </si>
  <si>
    <t>kitjangamwilai25@gmail.com</t>
  </si>
  <si>
    <t>088-277-4771</t>
  </si>
  <si>
    <t>โรงเรียนศรีสำโรงชนูปถัมภ์</t>
  </si>
  <si>
    <t>DY33030400</t>
  </si>
  <si>
    <t>HRD037</t>
  </si>
  <si>
    <t>กฤติพงษ์  กมุทรัตน์</t>
  </si>
  <si>
    <t>Kittiiphong Kamttharat</t>
  </si>
  <si>
    <t>บริหารระบบโลจิสติกส์</t>
  </si>
  <si>
    <t>แก้ว</t>
  </si>
  <si>
    <t>kittiphongkaew0730@gmail.com</t>
  </si>
  <si>
    <t>088-109-9551</t>
  </si>
  <si>
    <t>ปรเมษฐ์  จาละ</t>
  </si>
  <si>
    <t>วิทยาลัยการอาชีพวารินชำราบ</t>
  </si>
  <si>
    <t>HRD038</t>
  </si>
  <si>
    <t>วีรพงษ์  แสนละเอียด</t>
  </si>
  <si>
    <t>Weerapong Saenlaaed</t>
  </si>
  <si>
    <t>ทัด</t>
  </si>
  <si>
    <t>wweerapong.2541@gmail.com</t>
  </si>
  <si>
    <t>065-607-8016</t>
  </si>
  <si>
    <t>ศูนย์การศึกษานอกระบบและการศึกษาตามอัธยาศัย อำเภอรัตนบุรี</t>
  </si>
  <si>
    <t>HRD039</t>
  </si>
  <si>
    <t>นันทวุธ  บุญวิจิตร</t>
  </si>
  <si>
    <t>Nanthawut Bunwijit</t>
  </si>
  <si>
    <t>บูม</t>
  </si>
  <si>
    <t>65boom323@gmail.com</t>
  </si>
  <si>
    <t>064-631-1362</t>
  </si>
  <si>
    <t>โรงเรียนยางวิทยาคม</t>
  </si>
  <si>
    <t>DY33020802</t>
  </si>
  <si>
    <t>HRD040</t>
  </si>
  <si>
    <t>สุเพา  แน่กลาง</t>
  </si>
  <si>
    <t>Suphao Naeklang</t>
  </si>
  <si>
    <t>ผลิตชิ้นส่วน - ฝาสูบ</t>
  </si>
  <si>
    <t>ปอ</t>
  </si>
  <si>
    <t>Supheanaeklang@gmail.com</t>
  </si>
  <si>
    <t>098-896-4575</t>
  </si>
  <si>
    <t>โรงเรียนซับน้อยเหนือวิทยาคม</t>
  </si>
  <si>
    <t>HRD041</t>
  </si>
  <si>
    <t>บัณฑิต  พังราษฏร์</t>
  </si>
  <si>
    <t>Bundit Phaugrat</t>
  </si>
  <si>
    <t>แดน</t>
  </si>
  <si>
    <t>Bandit254100@gmail.com</t>
  </si>
  <si>
    <t>098-304-1600</t>
  </si>
  <si>
    <t>DY33010101</t>
  </si>
  <si>
    <t>HRD042</t>
  </si>
  <si>
    <t>อานนท์  บุญเรือง</t>
  </si>
  <si>
    <t>Anon Bunrueang</t>
  </si>
  <si>
    <t>ประกอบชิ้นส่วนหลัก</t>
  </si>
  <si>
    <t>ลีฟ</t>
  </si>
  <si>
    <t>anon_live@hotmail.com</t>
  </si>
  <si>
    <t>066-102-6094</t>
  </si>
  <si>
    <t>โรงเรียนตรอนตรีสินธุ์</t>
  </si>
  <si>
    <t>HRD043</t>
  </si>
  <si>
    <t>ชนัญญู  บุญทอง</t>
  </si>
  <si>
    <t>Chanaynu Bunthong</t>
  </si>
  <si>
    <t>Chnayyu378@gmail.com</t>
  </si>
  <si>
    <t>098-593-0076</t>
  </si>
  <si>
    <t>โรงเรียนห้วยเม็กวิทยาคม</t>
  </si>
  <si>
    <t>HRD044</t>
  </si>
  <si>
    <t>ปฏิภาณ  พินงาม</t>
  </si>
  <si>
    <t>Patiphan Phinngam</t>
  </si>
  <si>
    <t>นาวิน</t>
  </si>
  <si>
    <t>channal20006@gmail.com</t>
  </si>
  <si>
    <t>095-513-8590</t>
  </si>
  <si>
    <t>วิทยาลัยเทคนิคเขมราฐ</t>
  </si>
  <si>
    <t>HRD045</t>
  </si>
  <si>
    <t>สุเทพ  โนวังหาร</t>
  </si>
  <si>
    <t>Sutep Nowanhan</t>
  </si>
  <si>
    <t>เบริ์ด</t>
  </si>
  <si>
    <t>sutep.nw89@gmail.com</t>
  </si>
  <si>
    <t>092-393-9089</t>
  </si>
  <si>
    <t>วิทยาลัยสารพัดช่างอุตรดิตถ์</t>
  </si>
  <si>
    <t>HRD046</t>
  </si>
  <si>
    <t>ภูชิต  สีทาจันทร์</t>
  </si>
  <si>
    <t>Poochit Seetajan</t>
  </si>
  <si>
    <t>แบงค์</t>
  </si>
  <si>
    <t>poochit2909@gmail.com</t>
  </si>
  <si>
    <t>092-617-6883</t>
  </si>
  <si>
    <t>วิทยาลัยการอาชีพชนแดน</t>
  </si>
  <si>
    <t>HRD047</t>
  </si>
  <si>
    <t>ปานศักดิ์  บัวไข</t>
  </si>
  <si>
    <t>Pansak Buakai</t>
  </si>
  <si>
    <t>เบนซ์</t>
  </si>
  <si>
    <t>pansakb0934084068@gmail.com</t>
  </si>
  <si>
    <t>093-107-5810</t>
  </si>
  <si>
    <t>วิทยาลัยอาชีวศึกษาจุลมณีอุทุมพรพิสัย</t>
  </si>
  <si>
    <t>HRD049</t>
  </si>
  <si>
    <t>ชัชวาลย์  จันทมนตรี</t>
  </si>
  <si>
    <t>Chatchawan Jantamontree</t>
  </si>
  <si>
    <t>joetheseed@gmail.com</t>
  </si>
  <si>
    <t>091-782-5973</t>
  </si>
  <si>
    <t>โรงเรียนชัยภูมิภักดีชุมพล</t>
  </si>
  <si>
    <t>HRD050</t>
  </si>
  <si>
    <t>จักรพันธ์  เพ็ญสกุล</t>
  </si>
  <si>
    <t>Jakkapan Pensakul</t>
  </si>
  <si>
    <t>ประกอบหลักเครื่องอัดฟาง</t>
  </si>
  <si>
    <t>pheyskulcakrphanth@gmail.com</t>
  </si>
  <si>
    <t>096-216-1693</t>
  </si>
  <si>
    <t>วิทยาลัยอาชีวศึกษาวีรศิลปิน</t>
  </si>
  <si>
    <t>HRD051</t>
  </si>
  <si>
    <t>กฤษดา  คำอ้าย</t>
  </si>
  <si>
    <t>Kitsada  Kamouy</t>
  </si>
  <si>
    <t>เนส</t>
  </si>
  <si>
    <t>Kidsada1212.c@gmail.com</t>
  </si>
  <si>
    <t>063-493-3217</t>
  </si>
  <si>
    <t>วิทยาลัยการอาชีพกระนวน</t>
  </si>
  <si>
    <t>HRD052</t>
  </si>
  <si>
    <t>จำรูญ  ทองยิ่ง</t>
  </si>
  <si>
    <t>Jamrun Thongying</t>
  </si>
  <si>
    <t>ตุ๊ก</t>
  </si>
  <si>
    <t>rung261134@gmail.com</t>
  </si>
  <si>
    <t>093-472-5095​</t>
  </si>
  <si>
    <t>วิทยาลัยการอาชีพพยัคฆภูมิพิสัย</t>
  </si>
  <si>
    <t>DY33030204</t>
  </si>
  <si>
    <t>HRD054</t>
  </si>
  <si>
    <t>สมพงษ์  นาสมใจ</t>
  </si>
  <si>
    <t>Sompong Nasomjai</t>
  </si>
  <si>
    <t>จัดส่งชิ้นส่วนรถไถ</t>
  </si>
  <si>
    <t>yatapaka000@gmail.com</t>
  </si>
  <si>
    <t>093-371-0359</t>
  </si>
  <si>
    <t>ไพรวัลย์  เสมาทอง</t>
  </si>
  <si>
    <t>โรงเรียนแก้วเสด็จพิทยาคม</t>
  </si>
  <si>
    <t>HRD056</t>
  </si>
  <si>
    <t>ปริญญา  อามาตย์เสนา</t>
  </si>
  <si>
    <t>Parinya Amatsena</t>
  </si>
  <si>
    <t>parinya2539.0710@gmail.com</t>
  </si>
  <si>
    <t>061-160-0897</t>
  </si>
  <si>
    <t>วิทยาลัยอาชีวศึกษาชัยภูมิ</t>
  </si>
  <si>
    <t>HRD058</t>
  </si>
  <si>
    <t>กนกศักดิ์  ดีชูศร</t>
  </si>
  <si>
    <t>Kanoksak Deechusorn</t>
  </si>
  <si>
    <t>ป็อบ</t>
  </si>
  <si>
    <t>poopzoom45@gmail.com</t>
  </si>
  <si>
    <t>095-564-9076</t>
  </si>
  <si>
    <t>วิทยาลัยเทคโนโลยีพณิชยการนครนายก</t>
  </si>
  <si>
    <t>HRD059</t>
  </si>
  <si>
    <t>สุขสันต์  คงโนนกอก</t>
  </si>
  <si>
    <t>Suksan Khongnonkok</t>
  </si>
  <si>
    <t>แก็บ</t>
  </si>
  <si>
    <t>suksan1503s@gmail.com</t>
  </si>
  <si>
    <t>063-132-2018</t>
  </si>
  <si>
    <t>HRD061</t>
  </si>
  <si>
    <t>วโรดม  สุขอยู่</t>
  </si>
  <si>
    <t>Warodom Sukoiu</t>
  </si>
  <si>
    <t>โบ๊ท</t>
  </si>
  <si>
    <t>warodombaot@gmail.com</t>
  </si>
  <si>
    <t>099-352-9136</t>
  </si>
  <si>
    <t>ศูนย์การศึกษานอกระบบและการศึกษาตามอัธยาศัย อำเภอบึงนาราง</t>
  </si>
  <si>
    <t>HRD062</t>
  </si>
  <si>
    <t>อดิศักดิ์  อุดมทรัพย์</t>
  </si>
  <si>
    <t>Adisak Udomsup</t>
  </si>
  <si>
    <t>adisakudom1992@gmail.com</t>
  </si>
  <si>
    <t>062-358-6145</t>
  </si>
  <si>
    <t>ศูนย์การศึกษานอกระบบและการศึกษาตามอัธยาศัย อำเภอหนองไผ่</t>
  </si>
  <si>
    <t>HRD063</t>
  </si>
  <si>
    <t>วิษธร  เงินทอง</t>
  </si>
  <si>
    <t>Visathorn Ngerntong</t>
  </si>
  <si>
    <t>เบค</t>
  </si>
  <si>
    <t>wisthrngeinthxng276@gmail.com</t>
  </si>
  <si>
    <t>098-623-1410</t>
  </si>
  <si>
    <t>โรงเรียนแกศึกษาพัฒนา</t>
  </si>
  <si>
    <t>HRD064</t>
  </si>
  <si>
    <t>คุณากร  โยทะคง</t>
  </si>
  <si>
    <t>Khunakon Yothakhong</t>
  </si>
  <si>
    <t>thisnamni60@gmail.com</t>
  </si>
  <si>
    <t>066-202-6456</t>
  </si>
  <si>
    <t>วิทยาลัยเทคโนโลยีรัตนโกสินทร์</t>
  </si>
  <si>
    <t>HRD065</t>
  </si>
  <si>
    <t>จิณณวัตร  โคลงพิมาย</t>
  </si>
  <si>
    <t>Chinnawat Khongphimai</t>
  </si>
  <si>
    <t>ไก่</t>
  </si>
  <si>
    <t>ggk6895@gmail.com</t>
  </si>
  <si>
    <t>095-737-4155</t>
  </si>
  <si>
    <t>วิทยาลัยการอาชีพชุมพวง</t>
  </si>
  <si>
    <t>HRD066</t>
  </si>
  <si>
    <t>จารุเดช  พรประไพร</t>
  </si>
  <si>
    <t>Charudet Phonpraphai</t>
  </si>
  <si>
    <t>ลำเพลิน</t>
  </si>
  <si>
    <t>din25402540@gmail.com</t>
  </si>
  <si>
    <t>082-150-7468</t>
  </si>
  <si>
    <t>HRD068</t>
  </si>
  <si>
    <t>อมรเทพ  เนื่องภักดี</t>
  </si>
  <si>
    <t>Amonthep Nueangphakdi</t>
  </si>
  <si>
    <t>taramonthep8808@gmail.com</t>
  </si>
  <si>
    <t>064-004-0228</t>
  </si>
  <si>
    <t>โรงเรียนสันทรายวิทยาคม</t>
  </si>
  <si>
    <t>DY34060300</t>
  </si>
  <si>
    <t>HRD070</t>
  </si>
  <si>
    <t>วอระโชด  สีเหม่น</t>
  </si>
  <si>
    <t>Worachot Seemen</t>
  </si>
  <si>
    <t>ส่งเสริมการตรวจสอบคุณภาพ</t>
  </si>
  <si>
    <t>worachotseemen2543@gmail.com</t>
  </si>
  <si>
    <t>093-306-7143</t>
  </si>
  <si>
    <t>มานพ  โลมา</t>
  </si>
  <si>
    <t>มนัสนันท์  เลิศเจริญสมบัติ</t>
  </si>
  <si>
    <t>วิทยาลัยเทคโนโลยีซีเทคแปซิฟิค</t>
  </si>
  <si>
    <t>HRD071</t>
  </si>
  <si>
    <t>สุรเชฎฐ์  มาธิปิไข</t>
  </si>
  <si>
    <t>Surached Mathipikhai</t>
  </si>
  <si>
    <t>Surchedth175@gmail.com</t>
  </si>
  <si>
    <t>093-439-3506</t>
  </si>
  <si>
    <t>วิทยาลัยเทคนิคบัวใหญ่</t>
  </si>
  <si>
    <t>HRD073</t>
  </si>
  <si>
    <t>พิชิตชัย  เสนาจ</t>
  </si>
  <si>
    <t>Pichitchai seana</t>
  </si>
  <si>
    <t>แต็ก</t>
  </si>
  <si>
    <t>takkie1225@gmail.com</t>
  </si>
  <si>
    <t>092-9971543</t>
  </si>
  <si>
    <t>โรงเรียนศรีสะเกษวิทยาลัย 2 ห้วยคล้า</t>
  </si>
  <si>
    <t>HRD074</t>
  </si>
  <si>
    <t>ศุภกร  กรจนารัตน์</t>
  </si>
  <si>
    <t>Suphakorn Kornjanarat</t>
  </si>
  <si>
    <t>โฟก</t>
  </si>
  <si>
    <t>kornjanarut@gmail.com</t>
  </si>
  <si>
    <t>091-831-1917</t>
  </si>
  <si>
    <t>ศูนย์การศึกษานอกระบบและการศึกษาตามอัธยาศัย อำเภอบางปะอิน</t>
  </si>
  <si>
    <t>HRD075</t>
  </si>
  <si>
    <t>ธนวัฒน์  บุญถึง</t>
  </si>
  <si>
    <t>Thanawat Boontueng</t>
  </si>
  <si>
    <t>บอย</t>
  </si>
  <si>
    <t>tiamonmai@gmail.com</t>
  </si>
  <si>
    <t>082-180-9164</t>
  </si>
  <si>
    <t>โรงเรียนปงพัฒนาวิทยาคม</t>
  </si>
  <si>
    <t>HRD076</t>
  </si>
  <si>
    <t>กฤษดา  สมบูรณ์ประเสริฐ</t>
  </si>
  <si>
    <t>Kitsada Sombunprasroed</t>
  </si>
  <si>
    <t>แม็ก</t>
  </si>
  <si>
    <t>kitsada190938@gmail.com</t>
  </si>
  <si>
    <t>094-5712305</t>
  </si>
  <si>
    <t>ศูนย์การศึกษานอกระบบและการศึกษาตามอัธยาศัย อำเภอหนองม่วง</t>
  </si>
  <si>
    <t>HRD077</t>
  </si>
  <si>
    <t>จีรศักดิ์  อินประสาท</t>
  </si>
  <si>
    <t>Jirasak Ainprasat</t>
  </si>
  <si>
    <t>jirasak.270743@gmail.com</t>
  </si>
  <si>
    <t>092-343-7133</t>
  </si>
  <si>
    <t>HRD078</t>
  </si>
  <si>
    <t>พีระพัฒน์  คูหาวาสินี</t>
  </si>
  <si>
    <t>Phiraphat Khuhawasini</t>
  </si>
  <si>
    <t>โอ๊ต</t>
  </si>
  <si>
    <t>khuhawasiniphiraphathn@gmail.com</t>
  </si>
  <si>
    <t>082-353-2384</t>
  </si>
  <si>
    <t>โรงเรียนพณิชยการช่างเทคนิคลำนารายณ์</t>
  </si>
  <si>
    <t>HRD079</t>
  </si>
  <si>
    <t>อำพล  บุญพันธ์จันที</t>
  </si>
  <si>
    <t>Ampon Boonpanjantee</t>
  </si>
  <si>
    <t>เต้</t>
  </si>
  <si>
    <t>ampon292530@gmail.com</t>
  </si>
  <si>
    <t>099-192-8914</t>
  </si>
  <si>
    <t>เทคโนโลยีอาชีวศึกษาอุบลราชธานี</t>
  </si>
  <si>
    <t>HRD080</t>
  </si>
  <si>
    <t>กีรติ  เชื้อคำ</t>
  </si>
  <si>
    <t>Keerathi Cheakham</t>
  </si>
  <si>
    <t>ลีโอ</t>
  </si>
  <si>
    <t>Keerathi254110@gmail.com</t>
  </si>
  <si>
    <t>063-732-4570</t>
  </si>
  <si>
    <t>ศูนย์การศึกษานอกระบบและการศึกษาตามอัธยาศัย อำเภอเกษตรวิสัย</t>
  </si>
  <si>
    <t>HRD081</t>
  </si>
  <si>
    <t>ชาคริต  โคตรงาม</t>
  </si>
  <si>
    <t>Chakrit Khotngam</t>
  </si>
  <si>
    <t>อาร์ม</t>
  </si>
  <si>
    <t>armchakrit111@gmail.com</t>
  </si>
  <si>
    <t>065-467-6303</t>
  </si>
  <si>
    <t>วิทยาลัยเทคโนโลยีและอุตสาหกรรมการต่อเรือหนองคาย</t>
  </si>
  <si>
    <t>HRD082</t>
  </si>
  <si>
    <t>จักรกฤษณ์  นันต๊ะ</t>
  </si>
  <si>
    <t>Chakkit Nanta</t>
  </si>
  <si>
    <t>Toondeentoon@gmail.com</t>
  </si>
  <si>
    <t>082-762-5680</t>
  </si>
  <si>
    <t>ศูนย์การศึกษานอกระบบและการศึกษาตามอัธยาศัย อำเภอสามโคก</t>
  </si>
  <si>
    <t>DY33020803</t>
  </si>
  <si>
    <t>HRD083</t>
  </si>
  <si>
    <t>อัษฎาวุธ  จันทราช</t>
  </si>
  <si>
    <t>Asadawut Chantarach</t>
  </si>
  <si>
    <t>ผลิตชิ้นส่วน - เพลาลูกเบี้ยว</t>
  </si>
  <si>
    <t>เป้</t>
  </si>
  <si>
    <t>canthrachxasdawuth@gmail.com</t>
  </si>
  <si>
    <t>080-827-5418</t>
  </si>
  <si>
    <t>โรงเรียนรัตนบุรี</t>
  </si>
  <si>
    <t>DY34060200</t>
  </si>
  <si>
    <t>HRD084</t>
  </si>
  <si>
    <t>ศักดิ์สิทธิ์  ถาบุรี</t>
  </si>
  <si>
    <t>Saksid Taburee</t>
  </si>
  <si>
    <t>ตรวจสอบคุณภาพ - ชิ้นส่วน</t>
  </si>
  <si>
    <t>Saveamzaza@gmail.com</t>
  </si>
  <si>
    <t>092-462-7049</t>
  </si>
  <si>
    <t>อธิภัทร คำอ่อนศรี</t>
  </si>
  <si>
    <t>ธนเนตร์ กอเกิดพาณิชย์</t>
  </si>
  <si>
    <t>เทคโนโลยีโพนพิสัย</t>
  </si>
  <si>
    <t>HRD085</t>
  </si>
  <si>
    <t>บุญเลิศ  รัตนะ</t>
  </si>
  <si>
    <t>Boonlerd Rattana</t>
  </si>
  <si>
    <t>อ้น</t>
  </si>
  <si>
    <t>ratnabuyleis83@gmail.com</t>
  </si>
  <si>
    <t>092-272-4052</t>
  </si>
  <si>
    <t>นิรุตต์  นันสันเทียะ</t>
  </si>
  <si>
    <t>วิทยาลัยเทคโนโลยีอยุธยา</t>
  </si>
  <si>
    <t>HRD087</t>
  </si>
  <si>
    <t>ธีระยุทธ  ป้อมคำ</t>
  </si>
  <si>
    <t>Teerayoot Phomkum</t>
  </si>
  <si>
    <t>teerayootpom@gmail.com</t>
  </si>
  <si>
    <t>092-540-5085</t>
  </si>
  <si>
    <t>วิทยาลัยเทคนิคมอุทัยธานี</t>
  </si>
  <si>
    <t>HRD088</t>
  </si>
  <si>
    <t>วีรชัย  ดีมา</t>
  </si>
  <si>
    <t>Weerachai Deema</t>
  </si>
  <si>
    <t>เกมส์</t>
  </si>
  <si>
    <t>jackmobile5676678@gmail.com</t>
  </si>
  <si>
    <t>083-053-3684</t>
  </si>
  <si>
    <t>วิทยาลัยการอาชีพลอง</t>
  </si>
  <si>
    <t>HRD089</t>
  </si>
  <si>
    <t>สาธิต  โอนวัง</t>
  </si>
  <si>
    <t>Sathid Aonwong</t>
  </si>
  <si>
    <t>satitnum1990@gmail.com</t>
  </si>
  <si>
    <t>082-105-3500</t>
  </si>
  <si>
    <t>ศูนย์การศึกษานอกระบบและการศึกษาตามอัธยาศัย อำเภอนิคมน้ำอูน</t>
  </si>
  <si>
    <t>HRD091</t>
  </si>
  <si>
    <t>ศิริ  ปล้องพันธ์</t>
  </si>
  <si>
    <t>Siri Plongpan</t>
  </si>
  <si>
    <t>ก็อต</t>
  </si>
  <si>
    <t>Siriplongpun@gmail.com</t>
  </si>
  <si>
    <t>082-539-9426</t>
  </si>
  <si>
    <t>วิทยาลัยเทคนิคนพัทลุง</t>
  </si>
  <si>
    <t>HRD092</t>
  </si>
  <si>
    <t>ศุภวิชญ์  บัวชัย</t>
  </si>
  <si>
    <t>Suphawit Buachai</t>
  </si>
  <si>
    <t>ดิว</t>
  </si>
  <si>
    <t>suphawit.b13@gmail.com</t>
  </si>
  <si>
    <t>090-199-3768</t>
  </si>
  <si>
    <t>DY33030203</t>
  </si>
  <si>
    <t>HRD093</t>
  </si>
  <si>
    <t>ทศพร  พลอยวิเลิศ</t>
  </si>
  <si>
    <t>Thossaporn Ployvilert</t>
  </si>
  <si>
    <t>จัดส่งชิ้นส่วนเครื่องยนต์</t>
  </si>
  <si>
    <t>บาส</t>
  </si>
  <si>
    <t>baszxc987@gmail.com</t>
  </si>
  <si>
    <t>098-437-7453</t>
  </si>
  <si>
    <t>HRD094</t>
  </si>
  <si>
    <t>ธนารัตน์  ชอบดี</t>
  </si>
  <si>
    <t>Thanarat Chobdee</t>
  </si>
  <si>
    <t>bas.thanarat19965@gmail.com</t>
  </si>
  <si>
    <t>096-118-5858</t>
  </si>
  <si>
    <t>มหาวิทยาลัยกาฬสินธุ์</t>
  </si>
  <si>
    <t>HRD095</t>
  </si>
  <si>
    <t>สิทธิเดช  ทานะเวช</t>
  </si>
  <si>
    <t>Sittidet Thanawet</t>
  </si>
  <si>
    <t>กัน</t>
  </si>
  <si>
    <t>sittidetthanawet101@gmail.com</t>
  </si>
  <si>
    <t>098-187-2014</t>
  </si>
  <si>
    <t>วิทยาลัยการอาชีพร้อยเอ็ด</t>
  </si>
  <si>
    <t>HRD096</t>
  </si>
  <si>
    <t>ธวัชชัย  ผลบัว</t>
  </si>
  <si>
    <t>Thawatchai Phonbua</t>
  </si>
  <si>
    <t>แชมป์</t>
  </si>
  <si>
    <t>cchamp456@gmail.com</t>
  </si>
  <si>
    <t>065-419-9724</t>
  </si>
  <si>
    <t>วิทยาลัยการอาชีพรัตนประสิทธิ์วิทย์</t>
  </si>
  <si>
    <t>HRD097</t>
  </si>
  <si>
    <t>ขจรศักดิ์  ทิพิมาย</t>
  </si>
  <si>
    <t>Khajornsak Thiphimai</t>
  </si>
  <si>
    <t>วัตร</t>
  </si>
  <si>
    <t>khajornsak.kt@gmail.com</t>
  </si>
  <si>
    <t>082-690-5954</t>
  </si>
  <si>
    <t>วิทยาลัยเทคนิคหนองคาย</t>
  </si>
  <si>
    <t>DY35010300</t>
  </si>
  <si>
    <t>HRD098</t>
  </si>
  <si>
    <t>ทิวรักษ์  พิมเสน</t>
  </si>
  <si>
    <t>Thiwarak Pimsen</t>
  </si>
  <si>
    <t>ทิว</t>
  </si>
  <si>
    <t>Phonening990@gmail.com</t>
  </si>
  <si>
    <t>092-923-5315</t>
  </si>
  <si>
    <t>พงศกร  บุญมา</t>
  </si>
  <si>
    <t>เสฏฐวุฒิ  เทียมทัด</t>
  </si>
  <si>
    <t>วิทยาลัยการอาชีพนครไทย</t>
  </si>
  <si>
    <t>HRD101</t>
  </si>
  <si>
    <t>ปฎิพัฒน์  ยศไชย</t>
  </si>
  <si>
    <t>Patipat Yoschai</t>
  </si>
  <si>
    <t>บิด</t>
  </si>
  <si>
    <t>vdhx92jd9@gmail.com</t>
  </si>
  <si>
    <t>081-021-1432</t>
  </si>
  <si>
    <t>ศูนย์การศึกษานอกระบบและการศึกษาตามอัธยาศัย อำเภอกมลาไสย</t>
  </si>
  <si>
    <t>HRD103</t>
  </si>
  <si>
    <t>ศรัณย์พร  ชุ่มพะไล</t>
  </si>
  <si>
    <t>Saranporn Chumphalai</t>
  </si>
  <si>
    <t>sasanpornmos@gmail.com</t>
  </si>
  <si>
    <t>093-538-2426</t>
  </si>
  <si>
    <t>HRD104</t>
  </si>
  <si>
    <t>จักรพันธ์  ศูรย์ราช</t>
  </si>
  <si>
    <t>Jakkrapan Soonrach</t>
  </si>
  <si>
    <t>เมฆ</t>
  </si>
  <si>
    <t>jakkrapan895@gmail.com</t>
  </si>
  <si>
    <t>098-649-3204</t>
  </si>
  <si>
    <t>วิทยาลัยสารพัดช่างสกลนคร</t>
  </si>
  <si>
    <t>HRD106</t>
  </si>
  <si>
    <t>ธนวัฒน์  วงษ์เจริญ</t>
  </si>
  <si>
    <t>Thanawat Wongcharoen</t>
  </si>
  <si>
    <t>แอ็ป</t>
  </si>
  <si>
    <t>thanawatwong147852@gmail.com</t>
  </si>
  <si>
    <t>062-229-0645</t>
  </si>
  <si>
    <t>โรงเรียนภูพระวิทยาคม</t>
  </si>
  <si>
    <t>HRD107</t>
  </si>
  <si>
    <t>ภราดร  อุดมกัลย์</t>
  </si>
  <si>
    <t>Paradron Udomkan</t>
  </si>
  <si>
    <t>โตโต้</t>
  </si>
  <si>
    <t>Paradron43@gmail.com</t>
  </si>
  <si>
    <t>095-752-5787</t>
  </si>
  <si>
    <t>วิทยาลัยอาชีวศึกษาศรีสงคราม</t>
  </si>
  <si>
    <t>HRD110</t>
  </si>
  <si>
    <t>ไพฑูรย์  แรงหาญ</t>
  </si>
  <si>
    <t>Pithuan Ranghan</t>
  </si>
  <si>
    <t>ทูน</t>
  </si>
  <si>
    <t>daunpen21boonjak@gmail.com</t>
  </si>
  <si>
    <t>062-492-4213</t>
  </si>
  <si>
    <t>โรงเรียนขนาดมอญพิทยาคม</t>
  </si>
  <si>
    <t>HRD111</t>
  </si>
  <si>
    <t>วีระวัฒน์  เชตะวัน</t>
  </si>
  <si>
    <t>Wirawat chetawan</t>
  </si>
  <si>
    <t>Wirawatchetawan@gmail.com</t>
  </si>
  <si>
    <t>092-379-9747</t>
  </si>
  <si>
    <t>โรงเรียนคลองขามวิทยาคาร</t>
  </si>
  <si>
    <t>HRD112</t>
  </si>
  <si>
    <t>วุฒิพงษ์  จำเริญเนาว์</t>
  </si>
  <si>
    <t>Wutthiphong Chamroennao</t>
  </si>
  <si>
    <t>ฉาย</t>
  </si>
  <si>
    <t>wutiong32195@gmail.com</t>
  </si>
  <si>
    <t>088-602-7489</t>
  </si>
  <si>
    <t>HRD113</t>
  </si>
  <si>
    <t>กฤษฎา  อุทัยบาล</t>
  </si>
  <si>
    <t>Kissada Uthaibarn</t>
  </si>
  <si>
    <t>Ksfyyy123@gmail.com</t>
  </si>
  <si>
    <t>065-957-9127</t>
  </si>
  <si>
    <t>ไสวเดช  วงขึง</t>
  </si>
  <si>
    <t>วิทยาลัยเทคนิควาปีปทุม</t>
  </si>
  <si>
    <t>DY35010400</t>
  </si>
  <si>
    <t>HRD114</t>
  </si>
  <si>
    <t>นลธวัช  ศรีทอง</t>
  </si>
  <si>
    <t>Noltawat Seethong</t>
  </si>
  <si>
    <t>วิศวกรรมเครื่องมือ</t>
  </si>
  <si>
    <t>รุด</t>
  </si>
  <si>
    <t>warutkungtv@gmail.com</t>
  </si>
  <si>
    <t>097-330-7310</t>
  </si>
  <si>
    <t>สาธิต คำสมมาตร</t>
  </si>
  <si>
    <t>ฉัตรแก้ว  สุคโต</t>
  </si>
  <si>
    <t>วิทยาลัยเทคนิคหัวตะพาน</t>
  </si>
  <si>
    <t>HRD115</t>
  </si>
  <si>
    <t>เฉลิมศักดิ์  คำแก้ว</t>
  </si>
  <si>
    <t>Chaloemsak Kamkaew</t>
  </si>
  <si>
    <t>เค</t>
  </si>
  <si>
    <t>waves19999@gmail.com</t>
  </si>
  <si>
    <t>063-918-3620</t>
  </si>
  <si>
    <t>วัลลภ  สมใจ</t>
  </si>
  <si>
    <t>วิทยาลัยเทคนิคสกลนคร</t>
  </si>
  <si>
    <t>DY35010100</t>
  </si>
  <si>
    <t>HRD118</t>
  </si>
  <si>
    <t>พิษณุ  ไทยขำ</t>
  </si>
  <si>
    <t>Pisanu Thaikhum</t>
  </si>
  <si>
    <t>ยูทิลิตี้</t>
  </si>
  <si>
    <t>โน๊ต</t>
  </si>
  <si>
    <t>Thaikhum114@gmail.com</t>
  </si>
  <si>
    <t>099-504-5130</t>
  </si>
  <si>
    <t>ธวัชชัย ส่วนบุญ</t>
  </si>
  <si>
    <t>ศุภชัย ชมชื่น</t>
  </si>
  <si>
    <t>วิทยาลัยเทคนิคอุทัยธานี</t>
  </si>
  <si>
    <t>DY35030600</t>
  </si>
  <si>
    <t>HRD119</t>
  </si>
  <si>
    <t>พิรชัย  ปักกาเว</t>
  </si>
  <si>
    <t>Phirachai Pakkawe</t>
  </si>
  <si>
    <t>ส่วนวิศวกรรมจัดการโครงการ</t>
  </si>
  <si>
    <t>พัฒนากระบวนการผลิต - นวนคร</t>
  </si>
  <si>
    <t>phirachai2125@gmail.com</t>
  </si>
  <si>
    <t>098-476-6273</t>
  </si>
  <si>
    <t xml:space="preserve">ศักดิ์ณรงค์  นัดดาวงศ์  </t>
  </si>
  <si>
    <t xml:space="preserve">วีรชัย  กลมเกลียว  </t>
  </si>
  <si>
    <t>HRD121</t>
  </si>
  <si>
    <t>พิชิตพงษ์  พรสงวน</t>
  </si>
  <si>
    <t>Phichitphong Phornsanguan</t>
  </si>
  <si>
    <t>ทีม</t>
  </si>
  <si>
    <t>phichitphong2003@gmail.com</t>
  </si>
  <si>
    <t>083-790-5021</t>
  </si>
  <si>
    <t>DY33020804</t>
  </si>
  <si>
    <t>HRD122</t>
  </si>
  <si>
    <t>ณัฐวุฒิ  นามเขต</t>
  </si>
  <si>
    <t>Nattawut Namket</t>
  </si>
  <si>
    <t>ผลิตชิ้นส่วน - เพลาข้อเหวี่ยง</t>
  </si>
  <si>
    <t>โฟร์</t>
  </si>
  <si>
    <t>forzaa1744@gmail.com</t>
  </si>
  <si>
    <t>092-458-5464</t>
  </si>
  <si>
    <t>HRD123</t>
  </si>
  <si>
    <t>พงษ์ธนวัฒน์  สุขสาย</t>
  </si>
  <si>
    <t>Pongtanawat Suksai</t>
  </si>
  <si>
    <t>pongtanawat2544@gmail.com</t>
  </si>
  <si>
    <t>061-248-6105</t>
  </si>
  <si>
    <t>HRD124</t>
  </si>
  <si>
    <t>ไพฑูรย์  มาพิทักษ์</t>
  </si>
  <si>
    <t>Phaithoon Maphithak</t>
  </si>
  <si>
    <t>dan.nniel.l1999@gmail.com</t>
  </si>
  <si>
    <t>062-849-9056</t>
  </si>
  <si>
    <t>วิทยาลัยเทคนิคอุบลราชธานี</t>
  </si>
  <si>
    <t>HRD125</t>
  </si>
  <si>
    <t>กฤษดา  พึ่งไพศาล</t>
  </si>
  <si>
    <t>Kritsada Phuengphaisan</t>
  </si>
  <si>
    <t>Kritsadapps.2544@gmail.com</t>
  </si>
  <si>
    <t>093-498-1161</t>
  </si>
  <si>
    <t>โรงเรียนเมืองพญาแลวิทยาลัย</t>
  </si>
  <si>
    <t>HRD126</t>
  </si>
  <si>
    <t>อัมรินทร์  รองทอง</t>
  </si>
  <si>
    <t>Ammarin Rongthong</t>
  </si>
  <si>
    <t>ammarinrongthong@gmail.com</t>
  </si>
  <si>
    <t>092-942-5059</t>
  </si>
  <si>
    <t>ศูนย์การศึกษานอกระบบและการศึกษาตามอัธยาศัย อำเภอน้ำเกลี้ยง</t>
  </si>
  <si>
    <t>HRD127</t>
  </si>
  <si>
    <t>จักรพล  ราชมณี</t>
  </si>
  <si>
    <t>Chakkaphon Ratmani</t>
  </si>
  <si>
    <t>เนตร</t>
  </si>
  <si>
    <t>nnpha740@gmail.com</t>
  </si>
  <si>
    <t>081-313-0238</t>
  </si>
  <si>
    <t>วิทยาลัยเทคนิคนครพนม</t>
  </si>
  <si>
    <t>KIN005</t>
  </si>
  <si>
    <t>ณัฐพล นรสาร</t>
  </si>
  <si>
    <t>KIN</t>
  </si>
  <si>
    <t>Commerce Business</t>
  </si>
  <si>
    <t>กลับบ้านต่างจังหวัด</t>
  </si>
  <si>
    <t>SKN529</t>
  </si>
  <si>
    <t>สิ้นสุดสัญญาจ้าง</t>
  </si>
  <si>
    <t>SKN522</t>
  </si>
  <si>
    <t>กฤษณุ ครองเวียง</t>
  </si>
  <si>
    <t>ส่วนพัฒนาผลิตภัณฑ์</t>
  </si>
  <si>
    <t>เครื่องจักรกลการเกษตร</t>
  </si>
  <si>
    <t>SKN504</t>
  </si>
  <si>
    <t>ธนากร ใหญ่สูงเนิน</t>
  </si>
  <si>
    <t>ส่วนผลิตรถไถ</t>
  </si>
  <si>
    <t>ประกอบ - งานพ่นสี</t>
  </si>
  <si>
    <t>ได้งานใหม่</t>
  </si>
  <si>
    <t>SKN532</t>
  </si>
  <si>
    <t>ธนภัทร พันธ์ผูก</t>
  </si>
  <si>
    <t>SKN335</t>
  </si>
  <si>
    <t>พิชิตชัย เนื่องรัศมี</t>
  </si>
  <si>
    <t>ส่วนผลิตเครื่องยนต์และเครื่องอัดฟาง</t>
  </si>
  <si>
    <t>ประกอบธุรกิจส่วนตัว</t>
  </si>
  <si>
    <t>SKN144</t>
  </si>
  <si>
    <t>นันทเขต​ แสนนาม</t>
  </si>
  <si>
    <t>SKN403</t>
  </si>
  <si>
    <t>อัศฏากรณ์ กองหล้า</t>
  </si>
  <si>
    <t>SKN527</t>
  </si>
  <si>
    <t>ประกิจ มาดสำโรง</t>
  </si>
  <si>
    <t>SKN354</t>
  </si>
  <si>
    <t>วัชระ ขวัญพลอย</t>
  </si>
  <si>
    <t>SKN344</t>
  </si>
  <si>
    <t xml:space="preserve">ธีระพล มีมั่น </t>
  </si>
  <si>
    <t>พ่นสี</t>
  </si>
  <si>
    <t>SKN364</t>
  </si>
  <si>
    <t>ธนวัฒน์ บางหลวง</t>
  </si>
  <si>
    <t>SKN320</t>
  </si>
  <si>
    <t>คมกฤช เอี่ยมบางยุง</t>
  </si>
  <si>
    <t>SKN533</t>
  </si>
  <si>
    <t>ชารีรักษ์ อินตา</t>
  </si>
  <si>
    <t>ฝ่ายพัฒนาเครือข่ายผู้จัดจำหน่าย</t>
  </si>
  <si>
    <t>SKN445</t>
  </si>
  <si>
    <t>ศักดิ์ชัย สุขสลุง</t>
  </si>
  <si>
    <t>SKN417</t>
  </si>
  <si>
    <t>ณัฐพงษ์ วังมลหม่อม</t>
  </si>
  <si>
    <t>ผลิตชิ้นส่วน - อมตะชิตี้</t>
  </si>
  <si>
    <t>ปัญหาด้านสุขภาพ</t>
  </si>
  <si>
    <t>SKN183</t>
  </si>
  <si>
    <t>วรากร  ช้างสาร</t>
  </si>
  <si>
    <t>ปัญหาครอบครัว</t>
  </si>
  <si>
    <t>SKN497</t>
  </si>
  <si>
    <t>วีรพล กันยาสนธิ์</t>
  </si>
  <si>
    <t>ผลิตชิ้นส่วน - นวนคร</t>
  </si>
  <si>
    <t>SKN555</t>
  </si>
  <si>
    <t>ณัฐวุฒิ บางพรมบาง</t>
  </si>
  <si>
    <t>SKN563</t>
  </si>
  <si>
    <t>มนัส บุญตะวัน</t>
  </si>
  <si>
    <t>MAN097</t>
  </si>
  <si>
    <t>อดิศักดิ์ ถนอมพันธ์</t>
  </si>
  <si>
    <t>กระจายอะไหล่</t>
  </si>
  <si>
    <t>MAN094</t>
  </si>
  <si>
    <t>นฤมิตร อิสรัตน์</t>
  </si>
  <si>
    <t>MAN089</t>
  </si>
  <si>
    <t>วริยา ศรฤทธิ์</t>
  </si>
  <si>
    <t>MAN033</t>
  </si>
  <si>
    <t>ภาณุพงษ์ จันทคุปต์</t>
  </si>
  <si>
    <t>MAN046</t>
  </si>
  <si>
    <t>สัญชัย ชัยสุริยะพันธ์</t>
  </si>
  <si>
    <t>MAN074</t>
  </si>
  <si>
    <t>MAN096</t>
  </si>
  <si>
    <t>MAN099</t>
  </si>
  <si>
    <t>ภัทรพล ทองประไพ</t>
  </si>
  <si>
    <t>MAN053</t>
  </si>
  <si>
    <t>ยุรนารถ มะลาศรี</t>
  </si>
  <si>
    <t>MAN095</t>
  </si>
  <si>
    <t>เมธา ชอบมี</t>
  </si>
  <si>
    <t>HRD055</t>
  </si>
  <si>
    <t>วุฒิพงษ์ แสงวงศ์</t>
  </si>
  <si>
    <t>HRD069</t>
  </si>
  <si>
    <t>ยุทธศาสตร์ ทองทับพันธ์</t>
  </si>
  <si>
    <t>ส่วนตรวจสอบคุณภาพเครื่องยนต์และรถไถ</t>
  </si>
  <si>
    <t>ตรวจสอบคุณภาพชิ้นส่วนและผลิตภัณฑ์</t>
  </si>
  <si>
    <t>ลาออกได้งานใหม่</t>
  </si>
  <si>
    <t>HRD109</t>
  </si>
  <si>
    <t>ณัฐกานต์ คำรัตน์</t>
  </si>
  <si>
    <t>ประกอบ</t>
  </si>
  <si>
    <t>HRD027</t>
  </si>
  <si>
    <t>ไพศาล โพธิ์เกิด</t>
  </si>
  <si>
    <t>HRD116</t>
  </si>
  <si>
    <t>ธวัชชัย สิทธิสงคราม</t>
  </si>
  <si>
    <t>HRD031</t>
  </si>
  <si>
    <t>วัชรพงษ์ พิกุลเงิน</t>
  </si>
  <si>
    <t>HRD108</t>
  </si>
  <si>
    <t>พงษ์พิสุทธิ์ สุขสนอง</t>
  </si>
  <si>
    <t>ต้องการหาประสบการณ์ในการทำงาน</t>
  </si>
  <si>
    <t>HRD057</t>
  </si>
  <si>
    <t>พงษ์พัฒน์ ประบุญเรือง</t>
  </si>
  <si>
    <t>ตรวจสอบคุณภาพ - อุปกรณ์ต่อพ่วง</t>
  </si>
  <si>
    <t>ไปทำงานต่างประเทศ</t>
  </si>
  <si>
    <t>HRD029</t>
  </si>
  <si>
    <t>อาทิตย์ สุทธิวรรณา</t>
  </si>
  <si>
    <t>HRD021</t>
  </si>
  <si>
    <t>พีระพล หมุนลี</t>
  </si>
  <si>
    <t>เปลี่ยนตัว</t>
  </si>
  <si>
    <t>HRD128</t>
  </si>
  <si>
    <t>ลาออกต้องการกลับไปศึกษาต่อ</t>
  </si>
  <si>
    <t>HRD102</t>
  </si>
  <si>
    <t>สมคิด เยาว์ชัย</t>
  </si>
  <si>
    <t>HRD023</t>
  </si>
  <si>
    <t>พงษ์ชนะ ศีรลา</t>
  </si>
  <si>
    <t>MAN054</t>
  </si>
  <si>
    <t>ศิริวรรณ โพธิ์สิทธิ์ภูตะวัน</t>
  </si>
  <si>
    <t>อดิศักดิ์ คันศร</t>
  </si>
  <si>
    <t>วิทยา วังมลหม่อม</t>
  </si>
  <si>
    <t>กลับต่างจังหวัด</t>
  </si>
  <si>
    <t>MAN093</t>
  </si>
  <si>
    <t>ธำรงกุล  จุลยโชค</t>
  </si>
  <si>
    <t>เรียนต่อ วิชาทหาร</t>
  </si>
  <si>
    <t>MAN050</t>
  </si>
  <si>
    <t>คณิต ประทุมวัน</t>
  </si>
  <si>
    <t>Corporate Strategy Division</t>
  </si>
  <si>
    <t>Business Development Department</t>
  </si>
  <si>
    <t>New Business Development</t>
  </si>
  <si>
    <t>ทำธรุกิจส่วนตัว</t>
  </si>
  <si>
    <t>HRD072</t>
  </si>
  <si>
    <t>อธิกร  ปรางละออ</t>
  </si>
  <si>
    <t>ได้งานใหม่ (ลูแมนตั้ม)</t>
  </si>
  <si>
    <t>HRD117</t>
  </si>
  <si>
    <t>ภูมิศักดิ์  สุทำแปง</t>
  </si>
  <si>
    <t>HRD060</t>
  </si>
  <si>
    <t>พูนทรัพย์  บุตรสานาม</t>
  </si>
  <si>
    <t>ได้งานใหม่ (โซดิก)</t>
  </si>
  <si>
    <t>HRD086</t>
  </si>
  <si>
    <t>เอกลักษณ์  โพธิราช</t>
  </si>
  <si>
    <t>HRD008</t>
  </si>
  <si>
    <t>วัฒนชัย  เกิดไชยะ</t>
  </si>
  <si>
    <t>HRD105</t>
  </si>
  <si>
    <t>นันทวัฒน์  ทองจำรูญ</t>
  </si>
  <si>
    <t>ได้งานใหม่ (นิเด็ควังน้อย)</t>
  </si>
  <si>
    <t>HRD131</t>
  </si>
  <si>
    <t>ธนภัทร  เสาร์พิมาย</t>
  </si>
  <si>
    <t>HRD129</t>
  </si>
  <si>
    <t>ธัมมารินธร ศิริภูธร</t>
  </si>
  <si>
    <t>HRD120</t>
  </si>
  <si>
    <t>สิทธิชัย  ทวีพงษ์</t>
  </si>
  <si>
    <t>ได้งานใหม่ ( แคเรียร์ )</t>
  </si>
  <si>
    <t>HRD067</t>
  </si>
  <si>
    <t>ธีรนนท์  คำปิว</t>
  </si>
  <si>
    <t>HRD099</t>
  </si>
  <si>
    <t>จักรพันธ์  โพธิ์หนองโคก</t>
  </si>
  <si>
    <t>MAN029</t>
  </si>
  <si>
    <t>พีรพล โคตรประทุม</t>
  </si>
  <si>
    <t>MAN044</t>
  </si>
  <si>
    <t>จักรกฤษณ์ แก้วมูล</t>
  </si>
  <si>
    <t>MAN082</t>
  </si>
  <si>
    <t>กิตติภพ พลเมือง</t>
  </si>
  <si>
    <t>MAN087</t>
  </si>
  <si>
    <t>อภิชาติ ก้างยาง</t>
  </si>
  <si>
    <t>MAN105</t>
  </si>
  <si>
    <t>ธีรดนย์  ทั่งทองหลาง</t>
  </si>
  <si>
    <t>วันที่มีผล</t>
  </si>
  <si>
    <t>ชื่อ-นามสกุล</t>
  </si>
  <si>
    <t>วันเข้างาน</t>
  </si>
  <si>
    <t>เหตุผลการลาออก</t>
  </si>
  <si>
    <t>รายละเอียด</t>
  </si>
  <si>
    <t>MAN011</t>
  </si>
  <si>
    <t>อื่นๆ</t>
  </si>
  <si>
    <t>ปรับบรรจุเป็นพนักงานสยามคูโบต้า</t>
  </si>
  <si>
    <t>ศึกษาต่อ</t>
  </si>
  <si>
    <t>พงษ์ชนะ  ศีรลา</t>
  </si>
  <si>
    <t>ได้งานใหม่ (มิตชูบิชิ)</t>
  </si>
  <si>
    <t>HRD100</t>
  </si>
  <si>
    <t>HRD090</t>
  </si>
  <si>
    <t>วันชัย  เจิมจอหอ</t>
  </si>
  <si>
    <t>HRD048</t>
  </si>
  <si>
    <t>บรรลือศักดิ์  แวงดา</t>
  </si>
  <si>
    <t>2/24/2022</t>
  </si>
  <si>
    <t>ครอบครัว</t>
  </si>
  <si>
    <t>ตรวจสอบชิ้นส่วนและผลิตภัณฑ์ - อุปกรณ์ต่อพ่วง</t>
  </si>
  <si>
    <t>อื่น ๆ</t>
  </si>
  <si>
    <t>4/17/2023</t>
  </si>
  <si>
    <t>HRD053</t>
  </si>
  <si>
    <t>ณัฐพงษ์ สิงห์วะราช</t>
  </si>
  <si>
    <t>พนักงานโอนย้ายไปคูโบต้า</t>
  </si>
  <si>
    <t>HRD017</t>
  </si>
  <si>
    <t>พัฒนา สมองาม</t>
  </si>
  <si>
    <t>ขนิษฐา คำภักดี</t>
  </si>
  <si>
    <t>โอนย้ายไปอมตะ</t>
  </si>
  <si>
    <t>สุขภาพ</t>
  </si>
  <si>
    <t>MAN014</t>
  </si>
  <si>
    <t>วุฒิชัย นาโส</t>
  </si>
  <si>
    <t>MAN078</t>
  </si>
  <si>
    <t>พิทยารัตน์ ใจน้อย</t>
  </si>
  <si>
    <t>Overseas &amp; Service Operation</t>
  </si>
  <si>
    <t>5 วัน</t>
  </si>
  <si>
    <t>8 วัน</t>
  </si>
  <si>
    <t>จำนวนลาออก 2025</t>
  </si>
  <si>
    <t>จำนวนพนักงาน 2025</t>
  </si>
  <si>
    <t>%</t>
  </si>
  <si>
    <t>Accum resigned</t>
  </si>
  <si>
    <t>Average emp</t>
  </si>
  <si>
    <t>% Turnover2025</t>
  </si>
  <si>
    <t>จำนวนลาออก2026</t>
  </si>
  <si>
    <t>จำนวนพนักงาน 2026</t>
  </si>
  <si>
    <t>%Turnover2026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</si>
  <si>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</si>
  <si>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</si>
  <si>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</si>
  <si>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</si>
  <si>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</si>
  <si>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</si>
  <si>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</si>
  <si>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</si>
  <si>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</si>
  <si>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</si>
  <si>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</si>
  <si>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</si>
  <si>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รวมทั้งปี</t>
  </si>
  <si>
    <t>Average</t>
  </si>
  <si>
    <t>Turnover rate</t>
  </si>
  <si>
    <t>% ลาออกสะสม</t>
  </si>
  <si>
    <t>อดิศักดิ์ หาญกนก</t>
  </si>
  <si>
    <t>ประกอบ - เครื่องอัดฟางและรถไถ</t>
  </si>
  <si>
    <t>DY33000100</t>
  </si>
  <si>
    <t>สนับสนุนการผลิต - ธุรกิจใหม่</t>
  </si>
  <si>
    <t>ผกามาศ  ตามธิรัตน์</t>
  </si>
  <si>
    <t>DY76050000</t>
  </si>
  <si>
    <t>พูลจิตร์  ฝ่ายศูนย์</t>
  </si>
  <si>
    <t>วิชา  ขาวเมฆ</t>
  </si>
  <si>
    <t>งานพ่นสี 2</t>
  </si>
  <si>
    <t>ทวีศักดิ์  มีเมือง</t>
  </si>
  <si>
    <t>ณรงศักดิ์ สายลุน</t>
  </si>
  <si>
    <t>ปัญหาส่วนตัว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</si>
</sst>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sz val="12"/>
      <color rgb="FF000000"/>
      <name val="TH Sarabun New"/>
      <family val="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4"/>
      <color theme="1"/>
      <name val="TH Sarabun New"/>
      <family val="2"/>
    </font>
    <font>
      <b/>
      <sz val="16"/>
      <color theme="1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2E75B6"/>
      <name val="Arial"/>
      <family val="2"/>
      <charset val="1"/>
    </font>
    <font>
      <sz val="9"/>
      <color rgb="FFC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0"/>
      <name val="Calibri"/>
      <family val="2"/>
      <charset val="1"/>
    </font>
    <font>
      <sz val="20"/>
      <color theme="1"/>
      <name val="Kittithada Light 45 Rd Pro"/>
      <family val="3"/>
      <charset val="1"/>
    </font>
    <font>
      <b/>
      <sz val="10"/>
      <color rgb="FF000000"/>
      <name val="TH Sarabun New"/>
      <family val="2"/>
    </font>
    <font>
      <sz val="10"/>
      <color theme="1"/>
      <name val="TH Sarabun New"/>
      <family val="2"/>
    </font>
    <font>
      <sz val="10"/>
      <color rgb="FF434343"/>
      <name val="TH Sarabun New"/>
      <family val="2"/>
    </font>
    <font>
      <sz val="10"/>
      <color rgb="FF473821"/>
      <name val="TH Sarabun New"/>
      <family val="2"/>
    </font>
    <font>
      <sz val="10"/>
      <color rgb="FF0A53A8"/>
      <name val="TH Sarabun New"/>
      <family val="2"/>
    </font>
    <font>
      <sz val="10"/>
      <color rgb="FF215A6C"/>
      <name val="TH Sarabun New"/>
      <family val="2"/>
    </font>
    <font>
      <sz val="10"/>
      <color rgb="FFB10202"/>
      <name val="TH Sarabun New"/>
      <family val="2"/>
    </font>
    <font>
      <sz val="10"/>
      <color rgb="FF5A3286"/>
      <name val="TH Sarabun New"/>
      <family val="2"/>
    </font>
    <font>
      <sz val="10"/>
      <color rgb="FF000000"/>
      <name val="TH Sarabun New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7" tint="0.79989013336588644"/>
        <bgColor rgb="FFD9E2F3"/>
      </patternFill>
    </fill>
    <fill>
      <patternFill patternType="solid">
        <fgColor theme="9" tint="0.79989013336588644"/>
        <bgColor rgb="FFFCE4D6"/>
      </patternFill>
    </fill>
    <fill>
      <patternFill patternType="solid">
        <fgColor rgb="FF1F3864"/>
        <bgColor rgb="FF404040"/>
      </patternFill>
    </fill>
    <fill>
      <patternFill patternType="solid">
        <fgColor rgb="FFF2F2F2"/>
        <bgColor rgb="FFEAF0FA"/>
      </patternFill>
    </fill>
    <fill>
      <patternFill patternType="solid">
        <fgColor rgb="FFFFFFFF"/>
        <bgColor rgb="FFF2F2F2"/>
      </patternFill>
    </fill>
    <fill>
      <patternFill patternType="solid">
        <fgColor rgb="FF002060"/>
        <bgColor rgb="FF1F38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6" fillId="0" borderId="0"/>
    <xf numFmtId="0" fontId="5" fillId="0" borderId="0"/>
    <xf numFmtId="0" fontId="5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center"/>
    </xf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0" fontId="3" fillId="0" borderId="0" xfId="1"/>
    <xf numFmtId="0" fontId="7" fillId="2" borderId="0" xfId="0" applyFont="1" applyFill="1"/>
    <xf numFmtId="0" fontId="7" fillId="0" borderId="0" xfId="0" applyFont="1"/>
    <xf numFmtId="14" fontId="7" fillId="0" borderId="0" xfId="0" applyNumberFormat="1" applyFont="1"/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3" fontId="11" fillId="12" borderId="3" xfId="0" applyNumberFormat="1" applyFont="1" applyFill="1" applyBorder="1" applyAlignment="1">
      <alignment horizontal="center" vertical="center" wrapText="1"/>
    </xf>
    <xf numFmtId="9" fontId="11" fillId="12" borderId="3" xfId="0" applyNumberFormat="1" applyFont="1" applyFill="1" applyBorder="1" applyAlignment="1">
      <alignment horizontal="center" vertical="center" wrapText="1"/>
    </xf>
    <xf numFmtId="3" fontId="12" fillId="12" borderId="3" xfId="0" applyNumberFormat="1" applyFont="1" applyFill="1" applyBorder="1" applyAlignment="1">
      <alignment horizontal="center" vertical="center" wrapText="1"/>
    </xf>
    <xf numFmtId="9" fontId="12" fillId="12" borderId="3" xfId="0" applyNumberFormat="1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3" fontId="11" fillId="13" borderId="3" xfId="0" applyNumberFormat="1" applyFont="1" applyFill="1" applyBorder="1" applyAlignment="1">
      <alignment horizontal="center" vertical="center" wrapText="1"/>
    </xf>
    <xf numFmtId="3" fontId="12" fillId="13" borderId="3" xfId="0" applyNumberFormat="1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3" fontId="13" fillId="11" borderId="4" xfId="0" applyNumberFormat="1" applyFont="1" applyFill="1" applyBorder="1" applyAlignment="1">
      <alignment horizontal="center" vertical="center" wrapText="1"/>
    </xf>
    <xf numFmtId="9" fontId="13" fillId="11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14" fillId="14" borderId="6" xfId="0" applyFont="1" applyFill="1" applyBorder="1" applyAlignment="1">
      <alignment horizontal="center"/>
    </xf>
    <xf numFmtId="0" fontId="14" fillId="14" borderId="6" xfId="0" applyFont="1" applyFill="1" applyBorder="1"/>
    <xf numFmtId="3" fontId="14" fillId="14" borderId="6" xfId="0" applyNumberFormat="1" applyFont="1" applyFill="1" applyBorder="1" applyAlignment="1">
      <alignment horizontal="center"/>
    </xf>
    <xf numFmtId="3" fontId="14" fillId="14" borderId="7" xfId="0" applyNumberFormat="1" applyFont="1" applyFill="1" applyBorder="1" applyAlignment="1">
      <alignment horizontal="center"/>
    </xf>
    <xf numFmtId="3" fontId="14" fillId="14" borderId="8" xfId="0" applyNumberFormat="1" applyFont="1" applyFill="1" applyBorder="1"/>
    <xf numFmtId="0" fontId="14" fillId="14" borderId="8" xfId="0" applyFont="1" applyFill="1" applyBorder="1"/>
    <xf numFmtId="0" fontId="15" fillId="0" borderId="0" xfId="0" applyFont="1"/>
    <xf numFmtId="9" fontId="15" fillId="0" borderId="0" xfId="0" applyNumberFormat="1" applyFont="1"/>
    <xf numFmtId="0" fontId="15" fillId="0" borderId="0" xfId="0" applyFont="1" applyAlignment="1">
      <alignment horizontal="right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top"/>
    </xf>
    <xf numFmtId="2" fontId="16" fillId="2" borderId="0" xfId="0" applyNumberFormat="1" applyFont="1" applyFill="1" applyAlignment="1">
      <alignment vertical="top"/>
    </xf>
    <xf numFmtId="0" fontId="17" fillId="0" borderId="0" xfId="0" applyFont="1" applyAlignment="1">
      <alignment vertical="top"/>
    </xf>
    <xf numFmtId="0" fontId="17" fillId="0" borderId="1" xfId="0" applyFont="1" applyBorder="1" applyAlignment="1">
      <alignment vertical="top"/>
    </xf>
    <xf numFmtId="14" fontId="17" fillId="0" borderId="1" xfId="0" applyNumberFormat="1" applyFont="1" applyBorder="1" applyAlignment="1">
      <alignment vertical="top"/>
    </xf>
    <xf numFmtId="0" fontId="17" fillId="0" borderId="1" xfId="2" applyFont="1" applyBorder="1" applyAlignment="1">
      <alignment vertical="top"/>
    </xf>
    <xf numFmtId="2" fontId="17" fillId="0" borderId="1" xfId="0" applyNumberFormat="1" applyFont="1" applyBorder="1" applyAlignment="1">
      <alignment vertical="top"/>
    </xf>
    <xf numFmtId="0" fontId="18" fillId="7" borderId="1" xfId="0" applyFont="1" applyFill="1" applyBorder="1" applyAlignment="1">
      <alignment vertical="top" wrapText="1"/>
    </xf>
    <xf numFmtId="14" fontId="18" fillId="7" borderId="1" xfId="0" applyNumberFormat="1" applyFont="1" applyFill="1" applyBorder="1" applyAlignment="1">
      <alignment vertical="top" wrapText="1"/>
    </xf>
    <xf numFmtId="2" fontId="18" fillId="7" borderId="1" xfId="0" applyNumberFormat="1" applyFont="1" applyFill="1" applyBorder="1" applyAlignment="1">
      <alignment vertical="top" wrapText="1"/>
    </xf>
    <xf numFmtId="0" fontId="19" fillId="7" borderId="1" xfId="0" applyFont="1" applyFill="1" applyBorder="1" applyAlignment="1">
      <alignment vertical="top" wrapText="1"/>
    </xf>
    <xf numFmtId="0" fontId="20" fillId="7" borderId="1" xfId="0" applyFont="1" applyFill="1" applyBorder="1" applyAlignment="1">
      <alignment vertical="top" wrapText="1"/>
    </xf>
    <xf numFmtId="0" fontId="21" fillId="7" borderId="1" xfId="0" applyFont="1" applyFill="1" applyBorder="1" applyAlignment="1">
      <alignment vertical="top" wrapText="1"/>
    </xf>
    <xf numFmtId="0" fontId="22" fillId="7" borderId="1" xfId="0" applyFont="1" applyFill="1" applyBorder="1" applyAlignment="1">
      <alignment vertical="top" wrapText="1"/>
    </xf>
    <xf numFmtId="0" fontId="23" fillId="7" borderId="1" xfId="0" applyFont="1" applyFill="1" applyBorder="1" applyAlignment="1">
      <alignment vertical="top" wrapText="1"/>
    </xf>
    <xf numFmtId="0" fontId="17" fillId="7" borderId="1" xfId="0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18" fillId="8" borderId="1" xfId="0" applyFont="1" applyFill="1" applyBorder="1" applyAlignment="1">
      <alignment vertical="top" wrapText="1"/>
    </xf>
    <xf numFmtId="14" fontId="17" fillId="7" borderId="1" xfId="0" applyNumberFormat="1" applyFont="1" applyFill="1" applyBorder="1" applyAlignment="1">
      <alignment vertical="top" wrapText="1"/>
    </xf>
    <xf numFmtId="0" fontId="24" fillId="0" borderId="1" xfId="0" applyFont="1" applyBorder="1" applyAlignment="1">
      <alignment vertical="top"/>
    </xf>
    <xf numFmtId="14" fontId="24" fillId="0" borderId="1" xfId="0" applyNumberFormat="1" applyFont="1" applyBorder="1" applyAlignment="1">
      <alignment vertical="top"/>
    </xf>
    <xf numFmtId="0" fontId="24" fillId="5" borderId="1" xfId="0" applyFont="1" applyFill="1" applyBorder="1" applyAlignment="1">
      <alignment vertical="top"/>
    </xf>
    <xf numFmtId="0" fontId="24" fillId="6" borderId="1" xfId="0" applyFont="1" applyFill="1" applyBorder="1" applyAlignment="1">
      <alignment vertical="top"/>
    </xf>
    <xf numFmtId="0" fontId="24" fillId="0" borderId="0" xfId="0" applyFont="1" applyAlignment="1"/>
    <xf numFmtId="14" fontId="24" fillId="0" borderId="0" xfId="0" applyNumberFormat="1" applyFont="1" applyAlignment="1"/>
    <xf numFmtId="0" fontId="24" fillId="5" borderId="0" xfId="0" applyFont="1" applyFill="1" applyAlignment="1"/>
    <xf numFmtId="2" fontId="17" fillId="0" borderId="0" xfId="0" applyNumberFormat="1" applyFont="1" applyAlignment="1">
      <alignment vertical="top"/>
    </xf>
  </cellXfs>
  <cellStyles count="6">
    <cellStyle name="Hyperlink" xfId="1" builtinId="8"/>
    <cellStyle name="Normal" xfId="0" builtinId="0"/>
    <cellStyle name="Normal 11 2" xfId="3" xr:uid="{A6465353-5897-43F9-8882-32E696DCE3C3}"/>
    <cellStyle name="Normal 2" xfId="2" xr:uid="{BBA727D8-69B8-497A-B781-2FFBDBB7BCB9}"/>
    <cellStyle name="Normal 5" xfId="4" xr:uid="{E3064796-386B-4E97-AC35-67DB614D1A38}"/>
    <cellStyle name="Normal 5 6 5 2" xfId="5" xr:uid="{A1183CA9-1487-429D-B259-788ECE395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[1]Turnover!$Q$3</c:f>
              <c:strCache>
                <c:ptCount val="1"/>
                <c:pt idx="0">
                  <c:v>จำนวนลาออก 2025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[1]Turnover!$Q$4:$Q$15</c:f>
              <c:numCache>
                <c:formatCode>General</c:formatCode>
                <c:ptCount val="12"/>
                <c:pt idx="0">
                  <c:v>18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0-4B61-B47F-6218EB2D5BCD}"/>
            </c:ext>
          </c:extLst>
        </c:ser>
        <c:ser>
          <c:idx val="1"/>
          <c:order val="1"/>
          <c:tx>
            <c:strRef>
              <c:f>[1]Turnover!$W$3</c:f>
              <c:strCache>
                <c:ptCount val="1"/>
                <c:pt idx="0">
                  <c:v>จำนวนลาออก2026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D40-4B61-B47F-6218EB2D5BC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D40-4B61-B47F-6218EB2D5BCD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D40-4B61-B47F-6218EB2D5BC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D40-4B61-B47F-6218EB2D5BC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D40-4B61-B47F-6218EB2D5BC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D40-4B61-B47F-6218EB2D5BC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D40-4B61-B47F-6218EB2D5BC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D40-4B61-B47F-6218EB2D5BCD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3751381947272322"/>
                      <c:h val="7.4525470480735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D40-4B61-B47F-6218EB2D5BC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40-4B61-B47F-6218EB2D5BC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40-4B61-B47F-6218EB2D5BCD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40-4B61-B47F-6218EB2D5BC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40-4B61-B47F-6218EB2D5BC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40-4B61-B47F-6218EB2D5BC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40-4B61-B47F-6218EB2D5BCD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40-4B61-B47F-6218EB2D5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[1]Turnover!$W$4:$W$15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40-4B61-B47F-6218EB2D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28354"/>
        <c:axId val="90984383"/>
      </c:barChart>
      <c:lineChart>
        <c:grouping val="standard"/>
        <c:varyColors val="0"/>
        <c:ser>
          <c:idx val="2"/>
          <c:order val="2"/>
          <c:tx>
            <c:strRef>
              <c:f>[1]Turnover!$R$3</c:f>
              <c:strCache>
                <c:ptCount val="1"/>
                <c:pt idx="0">
                  <c:v>จำนวนพนักงาน 2025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[1]Turnover!$R$4:$R$15</c:f>
              <c:numCache>
                <c:formatCode>General</c:formatCode>
                <c:ptCount val="12"/>
                <c:pt idx="0">
                  <c:v>216</c:v>
                </c:pt>
                <c:pt idx="1">
                  <c:v>218</c:v>
                </c:pt>
                <c:pt idx="2">
                  <c:v>218</c:v>
                </c:pt>
                <c:pt idx="3">
                  <c:v>220</c:v>
                </c:pt>
                <c:pt idx="4">
                  <c:v>218</c:v>
                </c:pt>
                <c:pt idx="5">
                  <c:v>213</c:v>
                </c:pt>
                <c:pt idx="6">
                  <c:v>216</c:v>
                </c:pt>
                <c:pt idx="7">
                  <c:v>215</c:v>
                </c:pt>
                <c:pt idx="8">
                  <c:v>212</c:v>
                </c:pt>
                <c:pt idx="9">
                  <c:v>205</c:v>
                </c:pt>
                <c:pt idx="10">
                  <c:v>204</c:v>
                </c:pt>
                <c:pt idx="11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40-4B61-B47F-6218EB2D5BCD}"/>
            </c:ext>
          </c:extLst>
        </c:ser>
        <c:ser>
          <c:idx val="3"/>
          <c:order val="3"/>
          <c:tx>
            <c:strRef>
              <c:f>[1]Turnover!$X$3</c:f>
              <c:strCache>
                <c:ptCount val="1"/>
                <c:pt idx="0">
                  <c:v>จำนวนพนักงาน 2026</c:v>
                </c:pt>
              </c:strCache>
            </c:strRef>
          </c:tx>
          <c:spPr>
            <a:ln w="28440" cap="rnd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[1]Turnover!$X$4:$X$15</c:f>
              <c:numCache>
                <c:formatCode>General</c:formatCode>
                <c:ptCount val="12"/>
                <c:pt idx="0">
                  <c:v>199</c:v>
                </c:pt>
                <c:pt idx="1">
                  <c:v>196</c:v>
                </c:pt>
                <c:pt idx="2">
                  <c:v>194</c:v>
                </c:pt>
                <c:pt idx="3">
                  <c:v>190</c:v>
                </c:pt>
                <c:pt idx="4">
                  <c:v>185</c:v>
                </c:pt>
                <c:pt idx="5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40-4B61-B47F-6218EB2D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328354"/>
        <c:axId val="90984383"/>
      </c:lineChart>
      <c:catAx>
        <c:axId val="603283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2000" b="0" strike="noStrike" spc="-1">
                <a:solidFill>
                  <a:srgbClr val="595959"/>
                </a:solidFill>
                <a:latin typeface="Century Gothic"/>
              </a:defRPr>
            </a:pPr>
            <a:endParaRPr lang="th-TH"/>
          </a:p>
        </c:txPr>
        <c:crossAx val="90984383"/>
        <c:crosses val="autoZero"/>
        <c:auto val="1"/>
        <c:lblAlgn val="ctr"/>
        <c:lblOffset val="100"/>
        <c:noMultiLvlLbl val="0"/>
      </c:catAx>
      <c:valAx>
        <c:axId val="90984383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603283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595959"/>
              </a:solidFill>
              <a:latin typeface="Century Gothic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Sub Turnover rate 2025&amp;2026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[1]Turnover!$V$3</c:f>
              <c:strCache>
                <c:ptCount val="1"/>
                <c:pt idx="0">
                  <c:v>% Turnover2025</c:v>
                </c:pt>
              </c:strCache>
            </c:strRef>
          </c:tx>
          <c:spPr>
            <a:ln w="28440" cap="rnd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[1]Turnover!$V$4:$V$15</c:f>
              <c:numCache>
                <c:formatCode>General</c:formatCode>
                <c:ptCount val="12"/>
                <c:pt idx="0">
                  <c:v>8.3333333333333329E-2</c:v>
                </c:pt>
                <c:pt idx="1">
                  <c:v>9.2165898617511524E-2</c:v>
                </c:pt>
                <c:pt idx="2">
                  <c:v>0.12423312883435582</c:v>
                </c:pt>
                <c:pt idx="3">
                  <c:v>0.13761467889908258</c:v>
                </c:pt>
                <c:pt idx="4">
                  <c:v>0.14220183486238533</c:v>
                </c:pt>
                <c:pt idx="5">
                  <c:v>0.15656178050652342</c:v>
                </c:pt>
                <c:pt idx="6">
                  <c:v>0.17972350230414746</c:v>
                </c:pt>
                <c:pt idx="7">
                  <c:v>0.19838523644752018</c:v>
                </c:pt>
                <c:pt idx="8">
                  <c:v>0.22199383350462487</c:v>
                </c:pt>
                <c:pt idx="9">
                  <c:v>0.24174802417480243</c:v>
                </c:pt>
                <c:pt idx="10">
                  <c:v>0.25222929936305732</c:v>
                </c:pt>
                <c:pt idx="11">
                  <c:v>0.26280797809933515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C-49C8-BADA-AEDB7496941A}"/>
            </c:ext>
          </c:extLst>
        </c:ser>
        <c:ser>
          <c:idx val="1"/>
          <c:order val="1"/>
          <c:tx>
            <c:strRef>
              <c:f>[1]Turnover!$AB$3</c:f>
              <c:strCache>
                <c:ptCount val="1"/>
                <c:pt idx="0">
                  <c:v>%Turnover2026</c:v>
                </c:pt>
              </c:strCache>
            </c:strRef>
          </c:tx>
          <c:spPr>
            <a:ln w="28440" cap="rnd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[1]Turnover!$AB$4:$AB$15</c:f>
              <c:numCache>
                <c:formatCode>General</c:formatCode>
                <c:ptCount val="12"/>
                <c:pt idx="0">
                  <c:v>2.5125628140703519E-2</c:v>
                </c:pt>
                <c:pt idx="1">
                  <c:v>5.0632911392405063E-2</c:v>
                </c:pt>
                <c:pt idx="2">
                  <c:v>7.1307300509337854E-2</c:v>
                </c:pt>
                <c:pt idx="3">
                  <c:v>9.2426187419768935E-2</c:v>
                </c:pt>
                <c:pt idx="4">
                  <c:v>0.11410788381742738</c:v>
                </c:pt>
                <c:pt idx="5">
                  <c:v>0.13624454148471615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C-49C8-BADA-AEDB74969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958226"/>
        <c:axId val="36095304"/>
      </c:lineChart>
      <c:catAx>
        <c:axId val="36958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800" b="0" strike="noStrike" spc="-1">
                <a:solidFill>
                  <a:srgbClr val="595959"/>
                </a:solidFill>
                <a:latin typeface="Calibri"/>
              </a:defRPr>
            </a:pPr>
            <a:endParaRPr lang="th-TH"/>
          </a:p>
        </c:txPr>
        <c:crossAx val="36095304"/>
        <c:crosses val="autoZero"/>
        <c:auto val="1"/>
        <c:lblAlgn val="ctr"/>
        <c:lblOffset val="100"/>
        <c:noMultiLvlLbl val="0"/>
      </c:catAx>
      <c:valAx>
        <c:axId val="360953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th-TH"/>
          </a:p>
        </c:txPr>
        <c:crossAx val="36958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9720</xdr:colOff>
      <xdr:row>2</xdr:row>
      <xdr:rowOff>293040</xdr:rowOff>
    </xdr:from>
    <xdr:to>
      <xdr:col>13</xdr:col>
      <xdr:colOff>321060</xdr:colOff>
      <xdr:row>45</xdr:row>
      <xdr:rowOff>5275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7CA6CF-BD6A-45EF-8291-BCF6B176A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105047</xdr:colOff>
      <xdr:row>26</xdr:row>
      <xdr:rowOff>143197</xdr:rowOff>
    </xdr:from>
    <xdr:to>
      <xdr:col>14</xdr:col>
      <xdr:colOff>150619</xdr:colOff>
      <xdr:row>54</xdr:row>
      <xdr:rowOff>151495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0AF8C-8E05-4553-B4D7-CE158E43A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pat.j\Downloads\Turnover%20Sub%202025-2026.xlsx" TargetMode="External"/><Relationship Id="rId1" Type="http://schemas.openxmlformats.org/officeDocument/2006/relationships/externalLinkPath" Target="file:///C:\Users\lapat.j\Downloads\Turnover%20Sub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over"/>
      <sheetName val="Turnover 2025"/>
      <sheetName val="Turnover 2026"/>
      <sheetName val="รายชื่อ"/>
      <sheetName val="Manpower แยกฝ่าย"/>
      <sheetName val="HRD แยกฝ่าย"/>
      <sheetName val="รายชื่อลาออก"/>
      <sheetName val="Helper_Manpower"/>
      <sheetName val="Helper_HRD"/>
      <sheetName val="Helper_ลาออก"/>
    </sheetNames>
    <sheetDataSet>
      <sheetData sheetId="0">
        <row r="3">
          <cell r="Q3" t="str">
            <v>จำนวนลาออก 2025</v>
          </cell>
          <cell r="R3" t="str">
            <v>จำนวนพนักงาน 2025</v>
          </cell>
          <cell r="V3" t="str">
            <v>% Turnover2025</v>
          </cell>
          <cell r="W3" t="str">
            <v>จำนวนลาออก2026</v>
          </cell>
          <cell r="X3" t="str">
            <v>จำนวนพนักงาน 2026</v>
          </cell>
          <cell r="AB3" t="str">
            <v>%Turnover2026</v>
          </cell>
        </row>
        <row r="4">
          <cell r="P4" t="str">
            <v>ม.ค.</v>
          </cell>
          <cell r="Q4">
            <v>18</v>
          </cell>
          <cell r="R4">
            <v>216</v>
          </cell>
          <cell r="V4">
            <v>8.3333333333333329E-2</v>
          </cell>
          <cell r="W4">
            <v>5</v>
          </cell>
          <cell r="X4">
            <v>199</v>
          </cell>
          <cell r="AB4">
            <v>2.5125628140703519E-2</v>
          </cell>
        </row>
        <row r="5">
          <cell r="P5" t="str">
            <v>ก.พ.</v>
          </cell>
          <cell r="Q5">
            <v>2</v>
          </cell>
          <cell r="R5">
            <v>218</v>
          </cell>
          <cell r="V5">
            <v>9.2165898617511524E-2</v>
          </cell>
          <cell r="W5">
            <v>5</v>
          </cell>
          <cell r="X5">
            <v>196</v>
          </cell>
          <cell r="AB5">
            <v>5.0632911392405063E-2</v>
          </cell>
        </row>
        <row r="6">
          <cell r="P6" t="str">
            <v>มี.ค.</v>
          </cell>
          <cell r="Q6">
            <v>7</v>
          </cell>
          <cell r="R6">
            <v>218</v>
          </cell>
          <cell r="V6">
            <v>0.12423312883435582</v>
          </cell>
          <cell r="W6">
            <v>4</v>
          </cell>
          <cell r="X6">
            <v>194</v>
          </cell>
          <cell r="AB6">
            <v>7.1307300509337854E-2</v>
          </cell>
        </row>
        <row r="7">
          <cell r="P7" t="str">
            <v>เม.ย.</v>
          </cell>
          <cell r="Q7">
            <v>3</v>
          </cell>
          <cell r="R7">
            <v>220</v>
          </cell>
          <cell r="V7">
            <v>0.13761467889908258</v>
          </cell>
          <cell r="W7">
            <v>4</v>
          </cell>
          <cell r="X7">
            <v>190</v>
          </cell>
          <cell r="AB7">
            <v>9.2426187419768935E-2</v>
          </cell>
        </row>
        <row r="8">
          <cell r="P8" t="str">
            <v>พ.ค.</v>
          </cell>
          <cell r="Q8">
            <v>1</v>
          </cell>
          <cell r="R8">
            <v>218</v>
          </cell>
          <cell r="V8">
            <v>0.14220183486238533</v>
          </cell>
          <cell r="W8">
            <v>4</v>
          </cell>
          <cell r="X8">
            <v>185</v>
          </cell>
          <cell r="AB8">
            <v>0.11410788381742738</v>
          </cell>
        </row>
        <row r="9">
          <cell r="P9" t="str">
            <v>มิ.ย.</v>
          </cell>
          <cell r="Q9">
            <v>3</v>
          </cell>
          <cell r="R9">
            <v>213</v>
          </cell>
          <cell r="V9">
            <v>0.15656178050652342</v>
          </cell>
          <cell r="W9">
            <v>4</v>
          </cell>
          <cell r="X9">
            <v>181</v>
          </cell>
          <cell r="AB9">
            <v>0.13624454148471615</v>
          </cell>
        </row>
        <row r="10">
          <cell r="P10" t="str">
            <v>ก.ค.</v>
          </cell>
          <cell r="Q10">
            <v>5</v>
          </cell>
          <cell r="R10">
            <v>216</v>
          </cell>
          <cell r="V10">
            <v>0.17972350230414746</v>
          </cell>
          <cell r="W10"/>
          <cell r="X10"/>
          <cell r="AB10"/>
        </row>
        <row r="11">
          <cell r="P11" t="str">
            <v>ส.ค.</v>
          </cell>
          <cell r="Q11">
            <v>4</v>
          </cell>
          <cell r="R11">
            <v>215</v>
          </cell>
          <cell r="V11">
            <v>0.19838523644752018</v>
          </cell>
          <cell r="W11"/>
          <cell r="X11"/>
          <cell r="AB11"/>
        </row>
        <row r="12">
          <cell r="P12" t="str">
            <v>ก.ย.</v>
          </cell>
          <cell r="Q12">
            <v>5</v>
          </cell>
          <cell r="R12">
            <v>212</v>
          </cell>
          <cell r="V12">
            <v>0.22199383350462487</v>
          </cell>
          <cell r="W12"/>
          <cell r="X12"/>
          <cell r="AB12"/>
        </row>
        <row r="13">
          <cell r="P13" t="str">
            <v>ต.ค.</v>
          </cell>
          <cell r="Q13">
            <v>4</v>
          </cell>
          <cell r="R13">
            <v>205</v>
          </cell>
          <cell r="V13">
            <v>0.24174802417480243</v>
          </cell>
          <cell r="W13"/>
          <cell r="X13"/>
          <cell r="AB13"/>
        </row>
        <row r="14">
          <cell r="P14" t="str">
            <v>พ.ย.</v>
          </cell>
          <cell r="Q14">
            <v>2</v>
          </cell>
          <cell r="R14">
            <v>204</v>
          </cell>
          <cell r="V14">
            <v>0.25222929936305732</v>
          </cell>
          <cell r="W14"/>
          <cell r="X14"/>
          <cell r="AB14"/>
        </row>
        <row r="15">
          <cell r="P15" t="str">
            <v>ธ.ค.</v>
          </cell>
          <cell r="Q15">
            <v>2</v>
          </cell>
          <cell r="R15">
            <v>202</v>
          </cell>
          <cell r="V15">
            <v>0.26280797809933515</v>
          </cell>
          <cell r="W15"/>
          <cell r="X15"/>
          <cell r="AB15"/>
        </row>
      </sheetData>
      <sheetData sheetId="1">
        <row r="4">
          <cell r="B4">
            <v>0</v>
          </cell>
          <cell r="C4">
            <v>1</v>
          </cell>
          <cell r="J4">
            <v>0</v>
          </cell>
          <cell r="K4">
            <v>8</v>
          </cell>
          <cell r="R4">
            <v>0</v>
          </cell>
          <cell r="S4">
            <v>6</v>
          </cell>
          <cell r="Z4">
            <v>0</v>
          </cell>
          <cell r="AA4">
            <v>1</v>
          </cell>
          <cell r="AH4">
            <v>0</v>
          </cell>
          <cell r="AI4">
            <v>1</v>
          </cell>
          <cell r="AP4">
            <v>0</v>
          </cell>
          <cell r="AQ4">
            <v>4</v>
          </cell>
          <cell r="AX4">
            <v>1</v>
          </cell>
          <cell r="AY4">
            <v>0</v>
          </cell>
          <cell r="BF4">
            <v>0</v>
          </cell>
          <cell r="BG4">
            <v>1</v>
          </cell>
          <cell r="BN4">
            <v>1</v>
          </cell>
          <cell r="BO4">
            <v>6</v>
          </cell>
          <cell r="BV4">
            <v>0</v>
          </cell>
          <cell r="BW4">
            <v>0</v>
          </cell>
          <cell r="CD4">
            <v>0</v>
          </cell>
          <cell r="CE4">
            <v>2</v>
          </cell>
          <cell r="CL4">
            <v>0</v>
          </cell>
          <cell r="CM4">
            <v>4</v>
          </cell>
          <cell r="CT4">
            <v>0</v>
          </cell>
          <cell r="CU4">
            <v>0</v>
          </cell>
          <cell r="DB4">
            <v>0</v>
          </cell>
          <cell r="DC4">
            <v>1</v>
          </cell>
          <cell r="DJ4">
            <v>0</v>
          </cell>
          <cell r="DK4">
            <v>6</v>
          </cell>
          <cell r="DR4">
            <v>0</v>
          </cell>
          <cell r="DS4">
            <v>2</v>
          </cell>
          <cell r="DZ4">
            <v>0</v>
          </cell>
          <cell r="EA4">
            <v>0</v>
          </cell>
          <cell r="EH4">
            <v>3</v>
          </cell>
          <cell r="EI4">
            <v>38</v>
          </cell>
          <cell r="EP4">
            <v>0</v>
          </cell>
          <cell r="EQ4">
            <v>6</v>
          </cell>
          <cell r="EX4">
            <v>0</v>
          </cell>
          <cell r="EY4">
            <v>1</v>
          </cell>
          <cell r="FF4">
            <v>0</v>
          </cell>
          <cell r="FG4">
            <v>0</v>
          </cell>
          <cell r="FN4">
            <v>2</v>
          </cell>
          <cell r="FO4">
            <v>52</v>
          </cell>
          <cell r="FV4">
            <v>2</v>
          </cell>
          <cell r="FW4">
            <v>37</v>
          </cell>
          <cell r="GD4">
            <v>0</v>
          </cell>
          <cell r="GE4">
            <v>16</v>
          </cell>
          <cell r="GL4">
            <v>0</v>
          </cell>
          <cell r="GM4">
            <v>0</v>
          </cell>
          <cell r="GT4">
            <v>0</v>
          </cell>
          <cell r="GU4">
            <v>0</v>
          </cell>
          <cell r="HB4">
            <v>0</v>
          </cell>
          <cell r="HC4">
            <v>0</v>
          </cell>
          <cell r="HJ4">
            <v>2</v>
          </cell>
          <cell r="HK4">
            <v>14</v>
          </cell>
          <cell r="HR4">
            <v>0</v>
          </cell>
          <cell r="HS4">
            <v>0</v>
          </cell>
          <cell r="HZ4">
            <v>6</v>
          </cell>
          <cell r="IA4">
            <v>8</v>
          </cell>
          <cell r="IH4">
            <v>0</v>
          </cell>
          <cell r="II4">
            <v>1</v>
          </cell>
          <cell r="IP4">
            <v>1</v>
          </cell>
          <cell r="IQ4" t="str">
            <v>N/A</v>
          </cell>
        </row>
        <row r="5">
          <cell r="B5">
            <v>0</v>
          </cell>
          <cell r="C5">
            <v>1</v>
          </cell>
          <cell r="J5">
            <v>0</v>
          </cell>
          <cell r="K5">
            <v>8</v>
          </cell>
          <cell r="R5">
            <v>0</v>
          </cell>
          <cell r="S5">
            <v>6</v>
          </cell>
          <cell r="Z5">
            <v>0</v>
          </cell>
          <cell r="AA5">
            <v>1</v>
          </cell>
          <cell r="AH5">
            <v>0</v>
          </cell>
          <cell r="AI5">
            <v>1</v>
          </cell>
          <cell r="AP5">
            <v>0</v>
          </cell>
          <cell r="AQ5">
            <v>4</v>
          </cell>
          <cell r="AX5">
            <v>0</v>
          </cell>
          <cell r="AY5">
            <v>0</v>
          </cell>
          <cell r="BF5">
            <v>0</v>
          </cell>
          <cell r="BG5">
            <v>1</v>
          </cell>
          <cell r="BN5">
            <v>0</v>
          </cell>
          <cell r="BO5">
            <v>6</v>
          </cell>
          <cell r="BV5">
            <v>0</v>
          </cell>
          <cell r="BW5">
            <v>0</v>
          </cell>
          <cell r="CD5">
            <v>0</v>
          </cell>
          <cell r="CE5">
            <v>2</v>
          </cell>
          <cell r="CL5">
            <v>0</v>
          </cell>
          <cell r="CM5">
            <v>4</v>
          </cell>
          <cell r="CT5">
            <v>0</v>
          </cell>
          <cell r="CU5">
            <v>1</v>
          </cell>
          <cell r="DB5">
            <v>0</v>
          </cell>
          <cell r="DC5">
            <v>1</v>
          </cell>
          <cell r="DJ5">
            <v>0</v>
          </cell>
          <cell r="DK5">
            <v>6</v>
          </cell>
          <cell r="DR5">
            <v>0</v>
          </cell>
          <cell r="DS5">
            <v>2</v>
          </cell>
          <cell r="DZ5">
            <v>0</v>
          </cell>
          <cell r="EA5">
            <v>0</v>
          </cell>
          <cell r="EH5">
            <v>0</v>
          </cell>
          <cell r="EI5">
            <v>38</v>
          </cell>
          <cell r="EP5">
            <v>0</v>
          </cell>
          <cell r="EQ5">
            <v>6</v>
          </cell>
          <cell r="EX5">
            <v>0</v>
          </cell>
          <cell r="EY5">
            <v>1</v>
          </cell>
          <cell r="FF5">
            <v>0</v>
          </cell>
          <cell r="FG5">
            <v>0</v>
          </cell>
          <cell r="FN5">
            <v>2</v>
          </cell>
          <cell r="FO5">
            <v>53</v>
          </cell>
          <cell r="FV5">
            <v>0</v>
          </cell>
          <cell r="FW5">
            <v>37</v>
          </cell>
          <cell r="GD5">
            <v>0</v>
          </cell>
          <cell r="GE5">
            <v>16</v>
          </cell>
          <cell r="GL5">
            <v>0</v>
          </cell>
          <cell r="GM5">
            <v>0</v>
          </cell>
          <cell r="GT5">
            <v>0</v>
          </cell>
          <cell r="GU5">
            <v>0</v>
          </cell>
          <cell r="HB5">
            <v>0</v>
          </cell>
          <cell r="HC5">
            <v>0</v>
          </cell>
          <cell r="HJ5">
            <v>0</v>
          </cell>
          <cell r="HK5">
            <v>14</v>
          </cell>
          <cell r="HR5">
            <v>0</v>
          </cell>
          <cell r="HS5">
            <v>0</v>
          </cell>
          <cell r="HZ5">
            <v>0</v>
          </cell>
          <cell r="IA5">
            <v>8</v>
          </cell>
          <cell r="IH5">
            <v>0</v>
          </cell>
          <cell r="II5">
            <v>1</v>
          </cell>
          <cell r="IP5">
            <v>0</v>
          </cell>
          <cell r="IQ5" t="str">
            <v>N/A</v>
          </cell>
        </row>
        <row r="6">
          <cell r="B6">
            <v>0</v>
          </cell>
          <cell r="C6">
            <v>1</v>
          </cell>
          <cell r="J6">
            <v>0</v>
          </cell>
          <cell r="K6">
            <v>8</v>
          </cell>
          <cell r="R6">
            <v>0</v>
          </cell>
          <cell r="S6">
            <v>6</v>
          </cell>
          <cell r="Z6">
            <v>0</v>
          </cell>
          <cell r="AA6">
            <v>1</v>
          </cell>
          <cell r="AH6">
            <v>1</v>
          </cell>
          <cell r="AI6">
            <v>0</v>
          </cell>
          <cell r="AP6">
            <v>0</v>
          </cell>
          <cell r="AQ6">
            <v>1</v>
          </cell>
          <cell r="AX6">
            <v>0</v>
          </cell>
          <cell r="AY6">
            <v>0</v>
          </cell>
          <cell r="BF6">
            <v>0</v>
          </cell>
          <cell r="BG6">
            <v>1</v>
          </cell>
          <cell r="BN6">
            <v>0</v>
          </cell>
          <cell r="BO6">
            <v>6</v>
          </cell>
          <cell r="BV6">
            <v>0</v>
          </cell>
          <cell r="BW6">
            <v>0</v>
          </cell>
          <cell r="CD6">
            <v>0</v>
          </cell>
          <cell r="CE6">
            <v>2</v>
          </cell>
          <cell r="CL6">
            <v>1</v>
          </cell>
          <cell r="CM6">
            <v>3</v>
          </cell>
          <cell r="CT6">
            <v>0</v>
          </cell>
          <cell r="CU6">
            <v>1</v>
          </cell>
          <cell r="DB6">
            <v>0</v>
          </cell>
          <cell r="DC6">
            <v>1</v>
          </cell>
          <cell r="DJ6">
            <v>1</v>
          </cell>
          <cell r="DK6">
            <v>5</v>
          </cell>
          <cell r="DR6">
            <v>0</v>
          </cell>
          <cell r="DS6">
            <v>2</v>
          </cell>
          <cell r="DZ6">
            <v>0</v>
          </cell>
          <cell r="EA6">
            <v>3</v>
          </cell>
          <cell r="EH6">
            <v>0</v>
          </cell>
          <cell r="EI6">
            <v>41</v>
          </cell>
          <cell r="EP6">
            <v>0</v>
          </cell>
          <cell r="EQ6">
            <v>6</v>
          </cell>
          <cell r="EX6">
            <v>0</v>
          </cell>
          <cell r="EY6">
            <v>2</v>
          </cell>
          <cell r="FF6">
            <v>0</v>
          </cell>
          <cell r="FG6">
            <v>0</v>
          </cell>
          <cell r="FN6">
            <v>3</v>
          </cell>
          <cell r="FO6">
            <v>50</v>
          </cell>
          <cell r="FV6">
            <v>1</v>
          </cell>
          <cell r="FW6">
            <v>38</v>
          </cell>
          <cell r="GD6">
            <v>0</v>
          </cell>
          <cell r="GE6">
            <v>16</v>
          </cell>
          <cell r="GL6">
            <v>0</v>
          </cell>
          <cell r="GM6">
            <v>0</v>
          </cell>
          <cell r="GT6">
            <v>0</v>
          </cell>
          <cell r="GU6">
            <v>0</v>
          </cell>
          <cell r="HB6">
            <v>0</v>
          </cell>
          <cell r="HC6">
            <v>0</v>
          </cell>
          <cell r="HJ6">
            <v>0</v>
          </cell>
          <cell r="HK6">
            <v>15</v>
          </cell>
          <cell r="HR6">
            <v>0</v>
          </cell>
          <cell r="HS6">
            <v>0</v>
          </cell>
          <cell r="HZ6">
            <v>0</v>
          </cell>
          <cell r="IA6">
            <v>8</v>
          </cell>
          <cell r="IH6">
            <v>0</v>
          </cell>
          <cell r="II6">
            <v>1</v>
          </cell>
          <cell r="IP6">
            <v>0</v>
          </cell>
          <cell r="IQ6" t="str">
            <v>N/A</v>
          </cell>
        </row>
        <row r="7">
          <cell r="B7">
            <v>0</v>
          </cell>
          <cell r="C7">
            <v>1</v>
          </cell>
          <cell r="J7">
            <v>0</v>
          </cell>
          <cell r="K7">
            <v>8</v>
          </cell>
          <cell r="R7">
            <v>0</v>
          </cell>
          <cell r="S7">
            <v>6</v>
          </cell>
          <cell r="Z7">
            <v>0</v>
          </cell>
          <cell r="AA7">
            <v>1</v>
          </cell>
          <cell r="AH7">
            <v>0</v>
          </cell>
          <cell r="AI7">
            <v>0</v>
          </cell>
          <cell r="AP7">
            <v>0</v>
          </cell>
          <cell r="AQ7">
            <v>1</v>
          </cell>
          <cell r="AX7">
            <v>0</v>
          </cell>
          <cell r="AY7">
            <v>0</v>
          </cell>
          <cell r="BF7">
            <v>0</v>
          </cell>
          <cell r="BG7">
            <v>1</v>
          </cell>
          <cell r="BN7">
            <v>0</v>
          </cell>
          <cell r="BO7">
            <v>6</v>
          </cell>
          <cell r="BV7">
            <v>0</v>
          </cell>
          <cell r="BW7">
            <v>0</v>
          </cell>
          <cell r="CD7">
            <v>0</v>
          </cell>
          <cell r="CE7">
            <v>2</v>
          </cell>
          <cell r="CL7">
            <v>0</v>
          </cell>
          <cell r="CM7">
            <v>4</v>
          </cell>
          <cell r="CT7">
            <v>0</v>
          </cell>
          <cell r="CU7">
            <v>1</v>
          </cell>
          <cell r="DB7">
            <v>0</v>
          </cell>
          <cell r="DC7">
            <v>1</v>
          </cell>
          <cell r="DJ7">
            <v>0</v>
          </cell>
          <cell r="DK7">
            <v>5</v>
          </cell>
          <cell r="DR7">
            <v>0</v>
          </cell>
          <cell r="DS7">
            <v>2</v>
          </cell>
          <cell r="DZ7">
            <v>0</v>
          </cell>
          <cell r="EA7">
            <v>3</v>
          </cell>
          <cell r="EH7">
            <v>1</v>
          </cell>
          <cell r="EI7">
            <v>43</v>
          </cell>
          <cell r="EP7">
            <v>0</v>
          </cell>
          <cell r="EQ7">
            <v>6</v>
          </cell>
          <cell r="EX7">
            <v>0</v>
          </cell>
          <cell r="EY7">
            <v>2</v>
          </cell>
          <cell r="FF7">
            <v>0</v>
          </cell>
          <cell r="FG7">
            <v>0</v>
          </cell>
          <cell r="FN7">
            <v>0</v>
          </cell>
          <cell r="FO7">
            <v>50</v>
          </cell>
          <cell r="FV7">
            <v>2</v>
          </cell>
          <cell r="FW7">
            <v>37</v>
          </cell>
          <cell r="GD7">
            <v>0</v>
          </cell>
          <cell r="GE7">
            <v>16</v>
          </cell>
          <cell r="GL7">
            <v>0</v>
          </cell>
          <cell r="GM7">
            <v>0</v>
          </cell>
          <cell r="GT7">
            <v>0</v>
          </cell>
          <cell r="GU7">
            <v>0</v>
          </cell>
          <cell r="HB7">
            <v>0</v>
          </cell>
          <cell r="HC7">
            <v>0</v>
          </cell>
          <cell r="HJ7">
            <v>0</v>
          </cell>
          <cell r="HK7">
            <v>15</v>
          </cell>
          <cell r="HR7">
            <v>0</v>
          </cell>
          <cell r="HS7">
            <v>0</v>
          </cell>
          <cell r="HZ7">
            <v>0</v>
          </cell>
          <cell r="IA7">
            <v>8</v>
          </cell>
          <cell r="IH7">
            <v>0</v>
          </cell>
          <cell r="II7">
            <v>1</v>
          </cell>
          <cell r="IP7">
            <v>0</v>
          </cell>
          <cell r="IQ7" t="str">
            <v>N/A</v>
          </cell>
        </row>
        <row r="8">
          <cell r="B8">
            <v>0</v>
          </cell>
          <cell r="C8">
            <v>1</v>
          </cell>
          <cell r="J8">
            <v>0</v>
          </cell>
          <cell r="K8">
            <v>8</v>
          </cell>
          <cell r="R8">
            <v>0</v>
          </cell>
          <cell r="S8">
            <v>6</v>
          </cell>
          <cell r="Z8">
            <v>0</v>
          </cell>
          <cell r="AA8">
            <v>1</v>
          </cell>
          <cell r="AH8">
            <v>0</v>
          </cell>
          <cell r="AI8">
            <v>0</v>
          </cell>
          <cell r="AP8">
            <v>0</v>
          </cell>
          <cell r="AQ8">
            <v>1</v>
          </cell>
          <cell r="AX8">
            <v>0</v>
          </cell>
          <cell r="AY8">
            <v>0</v>
          </cell>
          <cell r="BF8">
            <v>0</v>
          </cell>
          <cell r="BG8">
            <v>1</v>
          </cell>
          <cell r="BN8">
            <v>0</v>
          </cell>
          <cell r="BO8">
            <v>5</v>
          </cell>
          <cell r="BV8">
            <v>0</v>
          </cell>
          <cell r="BW8">
            <v>0</v>
          </cell>
          <cell r="CD8">
            <v>0</v>
          </cell>
          <cell r="CE8">
            <v>2</v>
          </cell>
          <cell r="CL8">
            <v>0</v>
          </cell>
          <cell r="CM8">
            <v>4</v>
          </cell>
          <cell r="CT8">
            <v>0</v>
          </cell>
          <cell r="CU8">
            <v>1</v>
          </cell>
          <cell r="DB8">
            <v>0</v>
          </cell>
          <cell r="DC8">
            <v>1</v>
          </cell>
          <cell r="DJ8">
            <v>0</v>
          </cell>
          <cell r="DK8">
            <v>5</v>
          </cell>
          <cell r="DR8">
            <v>0</v>
          </cell>
          <cell r="DS8">
            <v>2</v>
          </cell>
          <cell r="DZ8">
            <v>0</v>
          </cell>
          <cell r="EA8">
            <v>3</v>
          </cell>
          <cell r="EH8">
            <v>0</v>
          </cell>
          <cell r="EI8">
            <v>42</v>
          </cell>
          <cell r="EP8">
            <v>0</v>
          </cell>
          <cell r="EQ8">
            <v>6</v>
          </cell>
          <cell r="EX8">
            <v>0</v>
          </cell>
          <cell r="EY8">
            <v>2</v>
          </cell>
          <cell r="FF8">
            <v>0</v>
          </cell>
          <cell r="FG8">
            <v>0</v>
          </cell>
          <cell r="FN8">
            <v>0</v>
          </cell>
          <cell r="FO8">
            <v>50</v>
          </cell>
          <cell r="FV8">
            <v>1</v>
          </cell>
          <cell r="FW8">
            <v>36</v>
          </cell>
          <cell r="GD8">
            <v>0</v>
          </cell>
          <cell r="GE8">
            <v>16</v>
          </cell>
          <cell r="GL8">
            <v>0</v>
          </cell>
          <cell r="GM8">
            <v>0</v>
          </cell>
          <cell r="GT8">
            <v>0</v>
          </cell>
          <cell r="GU8">
            <v>0</v>
          </cell>
          <cell r="HB8">
            <v>0</v>
          </cell>
          <cell r="HC8">
            <v>1</v>
          </cell>
          <cell r="HJ8">
            <v>0</v>
          </cell>
          <cell r="HK8">
            <v>15</v>
          </cell>
          <cell r="HR8">
            <v>0</v>
          </cell>
          <cell r="HS8">
            <v>0</v>
          </cell>
          <cell r="HZ8">
            <v>0</v>
          </cell>
          <cell r="IA8">
            <v>8</v>
          </cell>
          <cell r="IH8">
            <v>0</v>
          </cell>
          <cell r="II8">
            <v>1</v>
          </cell>
          <cell r="IP8">
            <v>0</v>
          </cell>
          <cell r="IQ8" t="str">
            <v>N/A</v>
          </cell>
        </row>
        <row r="9">
          <cell r="B9">
            <v>0</v>
          </cell>
          <cell r="C9">
            <v>1</v>
          </cell>
          <cell r="J9">
            <v>0</v>
          </cell>
          <cell r="K9">
            <v>7</v>
          </cell>
          <cell r="R9">
            <v>0</v>
          </cell>
          <cell r="S9">
            <v>6</v>
          </cell>
          <cell r="Z9">
            <v>0</v>
          </cell>
          <cell r="AA9">
            <v>0</v>
          </cell>
          <cell r="AH9">
            <v>0</v>
          </cell>
          <cell r="AI9">
            <v>0</v>
          </cell>
          <cell r="AP9">
            <v>0</v>
          </cell>
          <cell r="AQ9">
            <v>1</v>
          </cell>
          <cell r="AX9">
            <v>0</v>
          </cell>
          <cell r="AY9">
            <v>0</v>
          </cell>
          <cell r="BF9">
            <v>0</v>
          </cell>
          <cell r="BG9">
            <v>1</v>
          </cell>
          <cell r="BN9">
            <v>0</v>
          </cell>
          <cell r="BO9">
            <v>5</v>
          </cell>
          <cell r="BV9">
            <v>0</v>
          </cell>
          <cell r="BW9">
            <v>0</v>
          </cell>
          <cell r="CD9">
            <v>0</v>
          </cell>
          <cell r="CE9">
            <v>2</v>
          </cell>
          <cell r="CL9">
            <v>0</v>
          </cell>
          <cell r="CM9">
            <v>4</v>
          </cell>
          <cell r="CT9">
            <v>0</v>
          </cell>
          <cell r="CU9">
            <v>1</v>
          </cell>
          <cell r="DB9">
            <v>0</v>
          </cell>
          <cell r="DC9">
            <v>1</v>
          </cell>
          <cell r="DJ9">
            <v>0</v>
          </cell>
          <cell r="DK9">
            <v>5</v>
          </cell>
          <cell r="DR9">
            <v>0</v>
          </cell>
          <cell r="DS9">
            <v>2</v>
          </cell>
          <cell r="DZ9">
            <v>0</v>
          </cell>
          <cell r="EA9">
            <v>3</v>
          </cell>
          <cell r="EH9">
            <v>1</v>
          </cell>
          <cell r="EI9">
            <v>41</v>
          </cell>
          <cell r="EP9">
            <v>0</v>
          </cell>
          <cell r="EQ9">
            <v>6</v>
          </cell>
          <cell r="EX9">
            <v>0</v>
          </cell>
          <cell r="EY9">
            <v>1</v>
          </cell>
          <cell r="FF9">
            <v>0</v>
          </cell>
          <cell r="FG9">
            <v>0</v>
          </cell>
          <cell r="FN9">
            <v>0</v>
          </cell>
          <cell r="FO9">
            <v>48</v>
          </cell>
          <cell r="FV9">
            <v>1</v>
          </cell>
          <cell r="FW9">
            <v>36</v>
          </cell>
          <cell r="GD9">
            <v>0</v>
          </cell>
          <cell r="GE9">
            <v>16</v>
          </cell>
          <cell r="GL9">
            <v>0</v>
          </cell>
          <cell r="GM9">
            <v>0</v>
          </cell>
          <cell r="GT9">
            <v>0</v>
          </cell>
          <cell r="GU9">
            <v>0</v>
          </cell>
          <cell r="HB9">
            <v>0</v>
          </cell>
          <cell r="HC9">
            <v>1</v>
          </cell>
          <cell r="HJ9">
            <v>1</v>
          </cell>
          <cell r="HK9">
            <v>15</v>
          </cell>
          <cell r="HR9">
            <v>0</v>
          </cell>
          <cell r="HS9">
            <v>1</v>
          </cell>
          <cell r="HZ9">
            <v>0</v>
          </cell>
          <cell r="IA9">
            <v>8</v>
          </cell>
          <cell r="IH9">
            <v>0</v>
          </cell>
          <cell r="II9">
            <v>1</v>
          </cell>
          <cell r="IP9">
            <v>0</v>
          </cell>
          <cell r="IQ9" t="str">
            <v>N/A</v>
          </cell>
        </row>
        <row r="10">
          <cell r="B10">
            <v>0</v>
          </cell>
          <cell r="C10">
            <v>1</v>
          </cell>
          <cell r="J10">
            <v>0</v>
          </cell>
          <cell r="K10">
            <v>8</v>
          </cell>
          <cell r="R10">
            <v>0</v>
          </cell>
          <cell r="S10">
            <v>6</v>
          </cell>
          <cell r="Z10">
            <v>0</v>
          </cell>
          <cell r="AA10">
            <v>0</v>
          </cell>
          <cell r="AH10">
            <v>0</v>
          </cell>
          <cell r="AI10">
            <v>0</v>
          </cell>
          <cell r="AP10">
            <v>0</v>
          </cell>
          <cell r="AQ10">
            <v>1</v>
          </cell>
          <cell r="AX10">
            <v>0</v>
          </cell>
          <cell r="AY10">
            <v>0</v>
          </cell>
          <cell r="BF10">
            <v>0</v>
          </cell>
          <cell r="BG10">
            <v>1</v>
          </cell>
          <cell r="BN10">
            <v>0</v>
          </cell>
          <cell r="BO10">
            <v>5</v>
          </cell>
          <cell r="BV10">
            <v>0</v>
          </cell>
          <cell r="BW10">
            <v>0</v>
          </cell>
          <cell r="CD10">
            <v>0</v>
          </cell>
          <cell r="CE10">
            <v>2</v>
          </cell>
          <cell r="CL10">
            <v>0</v>
          </cell>
          <cell r="CM10">
            <v>4</v>
          </cell>
          <cell r="CT10">
            <v>0</v>
          </cell>
          <cell r="CU10">
            <v>1</v>
          </cell>
          <cell r="DB10">
            <v>0</v>
          </cell>
          <cell r="DC10">
            <v>1</v>
          </cell>
          <cell r="DJ10">
            <v>0</v>
          </cell>
          <cell r="DK10">
            <v>6</v>
          </cell>
          <cell r="DR10">
            <v>0</v>
          </cell>
          <cell r="DS10">
            <v>2</v>
          </cell>
          <cell r="DZ10">
            <v>0</v>
          </cell>
          <cell r="EA10">
            <v>3</v>
          </cell>
          <cell r="EH10">
            <v>2</v>
          </cell>
          <cell r="EI10">
            <v>47</v>
          </cell>
          <cell r="EP10">
            <v>0</v>
          </cell>
          <cell r="EQ10">
            <v>6</v>
          </cell>
          <cell r="EX10">
            <v>0</v>
          </cell>
          <cell r="EY10">
            <v>1</v>
          </cell>
          <cell r="FF10">
            <v>0</v>
          </cell>
          <cell r="FG10">
            <v>0</v>
          </cell>
          <cell r="FN10">
            <v>1</v>
          </cell>
          <cell r="FO10">
            <v>45</v>
          </cell>
          <cell r="FV10">
            <v>0</v>
          </cell>
          <cell r="FW10">
            <v>37</v>
          </cell>
          <cell r="GD10">
            <v>1</v>
          </cell>
          <cell r="GE10">
            <v>16</v>
          </cell>
          <cell r="GL10">
            <v>0</v>
          </cell>
          <cell r="GM10">
            <v>0</v>
          </cell>
          <cell r="GT10">
            <v>0</v>
          </cell>
          <cell r="GU10">
            <v>0</v>
          </cell>
          <cell r="HB10">
            <v>0</v>
          </cell>
          <cell r="HC10">
            <v>1</v>
          </cell>
          <cell r="HJ10">
            <v>0</v>
          </cell>
          <cell r="HK10">
            <v>0</v>
          </cell>
          <cell r="HR10">
            <v>0</v>
          </cell>
          <cell r="HS10">
            <v>14</v>
          </cell>
          <cell r="HZ10">
            <v>1</v>
          </cell>
          <cell r="IA10">
            <v>7</v>
          </cell>
          <cell r="IH10">
            <v>0</v>
          </cell>
          <cell r="II10">
            <v>1</v>
          </cell>
          <cell r="IP10">
            <v>0</v>
          </cell>
          <cell r="IQ10" t="str">
            <v>N/A</v>
          </cell>
        </row>
        <row r="11">
          <cell r="B11">
            <v>0</v>
          </cell>
          <cell r="C11">
            <v>1</v>
          </cell>
          <cell r="J11">
            <v>0</v>
          </cell>
          <cell r="K11">
            <v>8</v>
          </cell>
          <cell r="R11">
            <v>0</v>
          </cell>
          <cell r="S11">
            <v>6</v>
          </cell>
          <cell r="Z11">
            <v>0</v>
          </cell>
          <cell r="AA11">
            <v>0</v>
          </cell>
          <cell r="AH11">
            <v>0</v>
          </cell>
          <cell r="AI11">
            <v>0</v>
          </cell>
          <cell r="AP11">
            <v>0</v>
          </cell>
          <cell r="AQ11">
            <v>1</v>
          </cell>
          <cell r="AX11">
            <v>0</v>
          </cell>
          <cell r="AY11">
            <v>0</v>
          </cell>
          <cell r="BF11">
            <v>0</v>
          </cell>
          <cell r="BG11">
            <v>1</v>
          </cell>
          <cell r="BN11">
            <v>0</v>
          </cell>
          <cell r="BO11">
            <v>6</v>
          </cell>
          <cell r="BV11">
            <v>0</v>
          </cell>
          <cell r="BW11">
            <v>0</v>
          </cell>
          <cell r="CD11">
            <v>0</v>
          </cell>
          <cell r="CE11">
            <v>2</v>
          </cell>
          <cell r="CL11">
            <v>0</v>
          </cell>
          <cell r="CM11">
            <v>4</v>
          </cell>
          <cell r="CT11">
            <v>0</v>
          </cell>
          <cell r="CU11">
            <v>1</v>
          </cell>
          <cell r="DB11">
            <v>0</v>
          </cell>
          <cell r="DC11">
            <v>1</v>
          </cell>
          <cell r="DJ11">
            <v>0</v>
          </cell>
          <cell r="DK11">
            <v>6</v>
          </cell>
          <cell r="DR11">
            <v>0</v>
          </cell>
          <cell r="DS11">
            <v>2</v>
          </cell>
          <cell r="DZ11">
            <v>0</v>
          </cell>
          <cell r="EA11">
            <v>3</v>
          </cell>
          <cell r="EH11">
            <v>3</v>
          </cell>
          <cell r="EI11">
            <v>47</v>
          </cell>
          <cell r="EP11">
            <v>0</v>
          </cell>
          <cell r="EQ11">
            <v>6</v>
          </cell>
          <cell r="EX11">
            <v>0</v>
          </cell>
          <cell r="EY11">
            <v>1</v>
          </cell>
          <cell r="FF11">
            <v>0</v>
          </cell>
          <cell r="FG11">
            <v>0</v>
          </cell>
          <cell r="FN11">
            <v>0</v>
          </cell>
          <cell r="FO11">
            <v>45</v>
          </cell>
          <cell r="FV11">
            <v>0</v>
          </cell>
          <cell r="FW11">
            <v>37</v>
          </cell>
          <cell r="GD11">
            <v>1</v>
          </cell>
          <cell r="GE11">
            <v>14</v>
          </cell>
          <cell r="GL11">
            <v>0</v>
          </cell>
          <cell r="GM11">
            <v>0</v>
          </cell>
          <cell r="GT11">
            <v>0</v>
          </cell>
          <cell r="GU11">
            <v>0</v>
          </cell>
          <cell r="HB11">
            <v>0</v>
          </cell>
          <cell r="HC11">
            <v>1</v>
          </cell>
          <cell r="HJ11">
            <v>0</v>
          </cell>
          <cell r="HK11">
            <v>0</v>
          </cell>
          <cell r="HR11">
            <v>0</v>
          </cell>
          <cell r="HS11">
            <v>14</v>
          </cell>
          <cell r="HZ11">
            <v>0</v>
          </cell>
          <cell r="IA11">
            <v>7</v>
          </cell>
          <cell r="IH11">
            <v>0</v>
          </cell>
          <cell r="II11">
            <v>1</v>
          </cell>
          <cell r="IP11">
            <v>0</v>
          </cell>
          <cell r="IQ11" t="str">
            <v>N/A</v>
          </cell>
        </row>
        <row r="12">
          <cell r="B12">
            <v>0</v>
          </cell>
          <cell r="C12">
            <v>1</v>
          </cell>
          <cell r="J12">
            <v>0</v>
          </cell>
          <cell r="K12">
            <v>8</v>
          </cell>
          <cell r="R12">
            <v>0</v>
          </cell>
          <cell r="S12">
            <v>6</v>
          </cell>
          <cell r="Z12">
            <v>0</v>
          </cell>
          <cell r="AA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1</v>
          </cell>
          <cell r="AX12">
            <v>0</v>
          </cell>
          <cell r="AY12">
            <v>0</v>
          </cell>
          <cell r="BF12">
            <v>0</v>
          </cell>
          <cell r="BG12">
            <v>1</v>
          </cell>
          <cell r="BN12">
            <v>0</v>
          </cell>
          <cell r="BO12">
            <v>6</v>
          </cell>
          <cell r="BV12">
            <v>0</v>
          </cell>
          <cell r="BW12">
            <v>0</v>
          </cell>
          <cell r="CD12">
            <v>0</v>
          </cell>
          <cell r="CE12">
            <v>2</v>
          </cell>
          <cell r="CL12">
            <v>1</v>
          </cell>
          <cell r="CM12">
            <v>4</v>
          </cell>
          <cell r="CT12">
            <v>0</v>
          </cell>
          <cell r="CU12">
            <v>1</v>
          </cell>
          <cell r="DB12">
            <v>0</v>
          </cell>
          <cell r="DC12">
            <v>1</v>
          </cell>
          <cell r="DJ12">
            <v>0</v>
          </cell>
          <cell r="DK12">
            <v>6</v>
          </cell>
          <cell r="DR12">
            <v>0</v>
          </cell>
          <cell r="DS12">
            <v>2</v>
          </cell>
          <cell r="DZ12">
            <v>0</v>
          </cell>
          <cell r="EA12">
            <v>3</v>
          </cell>
          <cell r="EH12">
            <v>3</v>
          </cell>
          <cell r="EI12">
            <v>43</v>
          </cell>
          <cell r="EP12">
            <v>0</v>
          </cell>
          <cell r="EQ12">
            <v>6</v>
          </cell>
          <cell r="EX12">
            <v>0</v>
          </cell>
          <cell r="EY12">
            <v>1</v>
          </cell>
          <cell r="FF12">
            <v>0</v>
          </cell>
          <cell r="FG12">
            <v>0</v>
          </cell>
          <cell r="FN12">
            <v>0</v>
          </cell>
          <cell r="FO12">
            <v>0</v>
          </cell>
          <cell r="FV12">
            <v>0</v>
          </cell>
          <cell r="FW12">
            <v>0</v>
          </cell>
          <cell r="GD12">
            <v>0</v>
          </cell>
          <cell r="GE12">
            <v>14</v>
          </cell>
          <cell r="GL12">
            <v>0</v>
          </cell>
          <cell r="GM12">
            <v>35</v>
          </cell>
          <cell r="GT12">
            <v>0</v>
          </cell>
          <cell r="GU12">
            <v>47</v>
          </cell>
          <cell r="HB12">
            <v>0</v>
          </cell>
          <cell r="HC12">
            <v>1</v>
          </cell>
          <cell r="HJ12">
            <v>0</v>
          </cell>
          <cell r="HK12">
            <v>0</v>
          </cell>
          <cell r="HR12">
            <v>1</v>
          </cell>
          <cell r="HS12">
            <v>14</v>
          </cell>
          <cell r="HZ12">
            <v>0</v>
          </cell>
          <cell r="IA12">
            <v>8</v>
          </cell>
          <cell r="IH12">
            <v>0</v>
          </cell>
          <cell r="II12">
            <v>1</v>
          </cell>
          <cell r="IP12">
            <v>0</v>
          </cell>
          <cell r="IQ12" t="str">
            <v>N/A</v>
          </cell>
        </row>
        <row r="13">
          <cell r="B13">
            <v>0</v>
          </cell>
          <cell r="C13">
            <v>1</v>
          </cell>
          <cell r="J13">
            <v>0</v>
          </cell>
          <cell r="K13">
            <v>8</v>
          </cell>
          <cell r="R13">
            <v>0</v>
          </cell>
          <cell r="S13">
            <v>6</v>
          </cell>
          <cell r="Z13">
            <v>0</v>
          </cell>
          <cell r="AA13">
            <v>0</v>
          </cell>
          <cell r="AH13">
            <v>0</v>
          </cell>
          <cell r="AI13">
            <v>0</v>
          </cell>
          <cell r="AP13">
            <v>0</v>
          </cell>
          <cell r="AQ13">
            <v>1</v>
          </cell>
          <cell r="AX13">
            <v>0</v>
          </cell>
          <cell r="AY13">
            <v>0</v>
          </cell>
          <cell r="BF13">
            <v>0</v>
          </cell>
          <cell r="BG13">
            <v>1</v>
          </cell>
          <cell r="BN13">
            <v>0</v>
          </cell>
          <cell r="BO13">
            <v>5</v>
          </cell>
          <cell r="BV13">
            <v>0</v>
          </cell>
          <cell r="BW13">
            <v>0</v>
          </cell>
          <cell r="CD13">
            <v>0</v>
          </cell>
          <cell r="CE13">
            <v>2</v>
          </cell>
          <cell r="CL13">
            <v>0</v>
          </cell>
          <cell r="CM13">
            <v>4</v>
          </cell>
          <cell r="CT13">
            <v>0</v>
          </cell>
          <cell r="CU13">
            <v>1</v>
          </cell>
          <cell r="DB13">
            <v>0</v>
          </cell>
          <cell r="DC13">
            <v>1</v>
          </cell>
          <cell r="DJ13">
            <v>0</v>
          </cell>
          <cell r="DK13">
            <v>6</v>
          </cell>
          <cell r="DR13">
            <v>0</v>
          </cell>
          <cell r="DS13">
            <v>2</v>
          </cell>
          <cell r="DZ13">
            <v>0</v>
          </cell>
          <cell r="EA13">
            <v>3</v>
          </cell>
          <cell r="EH13">
            <v>2</v>
          </cell>
          <cell r="EI13">
            <v>39</v>
          </cell>
          <cell r="EP13">
            <v>0</v>
          </cell>
          <cell r="EQ13">
            <v>6</v>
          </cell>
          <cell r="EX13">
            <v>0</v>
          </cell>
          <cell r="EY13">
            <v>1</v>
          </cell>
          <cell r="FF13">
            <v>0</v>
          </cell>
          <cell r="FG13">
            <v>0</v>
          </cell>
          <cell r="FN13">
            <v>0</v>
          </cell>
          <cell r="FO13">
            <v>0</v>
          </cell>
          <cell r="FV13">
            <v>0</v>
          </cell>
          <cell r="FW13">
            <v>0</v>
          </cell>
          <cell r="GD13">
            <v>0</v>
          </cell>
          <cell r="GE13">
            <v>17</v>
          </cell>
          <cell r="GL13">
            <v>1</v>
          </cell>
          <cell r="GM13">
            <v>34</v>
          </cell>
          <cell r="GT13">
            <v>0</v>
          </cell>
          <cell r="GU13">
            <v>44</v>
          </cell>
          <cell r="HB13">
            <v>0</v>
          </cell>
          <cell r="HC13">
            <v>1</v>
          </cell>
          <cell r="HJ13">
            <v>0</v>
          </cell>
          <cell r="HK13">
            <v>0</v>
          </cell>
          <cell r="HR13">
            <v>1</v>
          </cell>
          <cell r="HS13">
            <v>13</v>
          </cell>
          <cell r="HZ13">
            <v>0</v>
          </cell>
          <cell r="IA13">
            <v>8</v>
          </cell>
          <cell r="IH13">
            <v>0</v>
          </cell>
          <cell r="II13">
            <v>1</v>
          </cell>
          <cell r="IP13">
            <v>0</v>
          </cell>
          <cell r="IQ13" t="str">
            <v>N/A</v>
          </cell>
        </row>
        <row r="14">
          <cell r="B14">
            <v>0</v>
          </cell>
          <cell r="C14">
            <v>1</v>
          </cell>
          <cell r="J14">
            <v>0</v>
          </cell>
          <cell r="K14">
            <v>8</v>
          </cell>
          <cell r="R14">
            <v>0</v>
          </cell>
          <cell r="S14">
            <v>6</v>
          </cell>
          <cell r="Z14">
            <v>0</v>
          </cell>
          <cell r="AA14">
            <v>0</v>
          </cell>
          <cell r="AH14">
            <v>0</v>
          </cell>
          <cell r="AI14">
            <v>0</v>
          </cell>
          <cell r="AP14">
            <v>0</v>
          </cell>
          <cell r="AQ14">
            <v>1</v>
          </cell>
          <cell r="AX14">
            <v>0</v>
          </cell>
          <cell r="AY14">
            <v>0</v>
          </cell>
          <cell r="BF14">
            <v>0</v>
          </cell>
          <cell r="BG14">
            <v>1</v>
          </cell>
          <cell r="BN14">
            <v>0</v>
          </cell>
          <cell r="BO14">
            <v>5</v>
          </cell>
          <cell r="BV14">
            <v>0</v>
          </cell>
          <cell r="BW14">
            <v>0</v>
          </cell>
          <cell r="CD14">
            <v>0</v>
          </cell>
          <cell r="CE14">
            <v>2</v>
          </cell>
          <cell r="CL14">
            <v>0</v>
          </cell>
          <cell r="CM14">
            <v>4</v>
          </cell>
          <cell r="CT14">
            <v>0</v>
          </cell>
          <cell r="CU14">
            <v>1</v>
          </cell>
          <cell r="DB14">
            <v>0</v>
          </cell>
          <cell r="DC14">
            <v>1</v>
          </cell>
          <cell r="DJ14">
            <v>0</v>
          </cell>
          <cell r="DK14">
            <v>6</v>
          </cell>
          <cell r="DR14">
            <v>0</v>
          </cell>
          <cell r="DS14">
            <v>2</v>
          </cell>
          <cell r="DZ14">
            <v>0</v>
          </cell>
          <cell r="EA14">
            <v>3</v>
          </cell>
          <cell r="EH14">
            <v>0</v>
          </cell>
          <cell r="EI14">
            <v>39</v>
          </cell>
          <cell r="EP14">
            <v>0</v>
          </cell>
          <cell r="EQ14">
            <v>6</v>
          </cell>
          <cell r="EX14">
            <v>0</v>
          </cell>
          <cell r="EY14">
            <v>1</v>
          </cell>
          <cell r="FF14">
            <v>0</v>
          </cell>
          <cell r="FG14">
            <v>0</v>
          </cell>
          <cell r="FN14">
            <v>0</v>
          </cell>
          <cell r="FO14">
            <v>0</v>
          </cell>
          <cell r="FV14">
            <v>0</v>
          </cell>
          <cell r="FW14">
            <v>0</v>
          </cell>
          <cell r="GD14">
            <v>1</v>
          </cell>
          <cell r="GE14">
            <v>17</v>
          </cell>
          <cell r="GL14">
            <v>0</v>
          </cell>
          <cell r="GM14">
            <v>34</v>
          </cell>
          <cell r="GT14">
            <v>1</v>
          </cell>
          <cell r="GU14">
            <v>44</v>
          </cell>
          <cell r="HB14">
            <v>0</v>
          </cell>
          <cell r="HC14">
            <v>1</v>
          </cell>
          <cell r="HJ14">
            <v>0</v>
          </cell>
          <cell r="HK14">
            <v>0</v>
          </cell>
          <cell r="HR14">
            <v>0</v>
          </cell>
          <cell r="HS14">
            <v>12</v>
          </cell>
          <cell r="HZ14">
            <v>0</v>
          </cell>
          <cell r="IA14">
            <v>8</v>
          </cell>
          <cell r="IH14">
            <v>0</v>
          </cell>
          <cell r="II14">
            <v>1</v>
          </cell>
          <cell r="IP14">
            <v>0</v>
          </cell>
          <cell r="IQ14" t="str">
            <v>N/A</v>
          </cell>
        </row>
        <row r="15">
          <cell r="B15">
            <v>0</v>
          </cell>
          <cell r="C15">
            <v>1</v>
          </cell>
          <cell r="J15">
            <v>0</v>
          </cell>
          <cell r="K15">
            <v>8</v>
          </cell>
          <cell r="R15">
            <v>0</v>
          </cell>
          <cell r="S15">
            <v>6</v>
          </cell>
          <cell r="Z15">
            <v>0</v>
          </cell>
          <cell r="AA15">
            <v>0</v>
          </cell>
          <cell r="AH15">
            <v>0</v>
          </cell>
          <cell r="AI15">
            <v>0</v>
          </cell>
          <cell r="AP15">
            <v>0</v>
          </cell>
          <cell r="AQ15">
            <v>1</v>
          </cell>
          <cell r="AX15">
            <v>0</v>
          </cell>
          <cell r="AY15">
            <v>0</v>
          </cell>
          <cell r="BF15">
            <v>0</v>
          </cell>
          <cell r="BG15">
            <v>1</v>
          </cell>
          <cell r="BN15">
            <v>0</v>
          </cell>
          <cell r="BO15">
            <v>5</v>
          </cell>
          <cell r="BV15">
            <v>0</v>
          </cell>
          <cell r="BW15">
            <v>0</v>
          </cell>
          <cell r="CD15">
            <v>0</v>
          </cell>
          <cell r="CE15">
            <v>2</v>
          </cell>
          <cell r="CL15">
            <v>0</v>
          </cell>
          <cell r="CM15">
            <v>4</v>
          </cell>
          <cell r="CT15">
            <v>0</v>
          </cell>
          <cell r="CU15">
            <v>1</v>
          </cell>
          <cell r="DB15">
            <v>0</v>
          </cell>
          <cell r="DC15">
            <v>1</v>
          </cell>
          <cell r="DJ15">
            <v>0</v>
          </cell>
          <cell r="DK15">
            <v>6</v>
          </cell>
          <cell r="DR15">
            <v>0</v>
          </cell>
          <cell r="DS15">
            <v>2</v>
          </cell>
          <cell r="DZ15">
            <v>0</v>
          </cell>
          <cell r="EA15">
            <v>3</v>
          </cell>
          <cell r="EH15">
            <v>0</v>
          </cell>
          <cell r="EI15">
            <v>40</v>
          </cell>
          <cell r="EP15">
            <v>0</v>
          </cell>
          <cell r="EQ15">
            <v>6</v>
          </cell>
          <cell r="EX15">
            <v>0</v>
          </cell>
          <cell r="EY15">
            <v>1</v>
          </cell>
          <cell r="FF15">
            <v>0</v>
          </cell>
          <cell r="FG15">
            <v>0</v>
          </cell>
          <cell r="FN15">
            <v>0</v>
          </cell>
          <cell r="FO15">
            <v>0</v>
          </cell>
          <cell r="FV15">
            <v>0</v>
          </cell>
          <cell r="FW15">
            <v>0</v>
          </cell>
          <cell r="GD15">
            <v>1</v>
          </cell>
          <cell r="GE15">
            <v>16</v>
          </cell>
          <cell r="GL15">
            <v>0</v>
          </cell>
          <cell r="GM15">
            <v>34</v>
          </cell>
          <cell r="GT15">
            <v>0</v>
          </cell>
          <cell r="GU15">
            <v>43</v>
          </cell>
          <cell r="HB15">
            <v>0</v>
          </cell>
          <cell r="HC15">
            <v>1</v>
          </cell>
          <cell r="HJ15">
            <v>0</v>
          </cell>
          <cell r="HK15">
            <v>0</v>
          </cell>
          <cell r="HR15">
            <v>0</v>
          </cell>
          <cell r="HS15">
            <v>12</v>
          </cell>
          <cell r="HZ15">
            <v>1</v>
          </cell>
          <cell r="IA15">
            <v>7</v>
          </cell>
          <cell r="IH15">
            <v>0</v>
          </cell>
          <cell r="II15">
            <v>1</v>
          </cell>
          <cell r="IP15">
            <v>0</v>
          </cell>
          <cell r="IQ15" t="str">
            <v>N/A</v>
          </cell>
        </row>
      </sheetData>
      <sheetData sheetId="2">
        <row r="4">
          <cell r="B4">
            <v>0</v>
          </cell>
          <cell r="C4">
            <v>1</v>
          </cell>
          <cell r="J4">
            <v>0</v>
          </cell>
          <cell r="K4">
            <v>8</v>
          </cell>
          <cell r="R4">
            <v>0</v>
          </cell>
          <cell r="S4">
            <v>6</v>
          </cell>
          <cell r="Z4">
            <v>0</v>
          </cell>
          <cell r="AA4">
            <v>0</v>
          </cell>
          <cell r="AH4">
            <v>0</v>
          </cell>
          <cell r="AI4">
            <v>0</v>
          </cell>
          <cell r="AP4">
            <v>0</v>
          </cell>
          <cell r="AQ4">
            <v>1</v>
          </cell>
          <cell r="AX4">
            <v>0</v>
          </cell>
          <cell r="AY4">
            <v>0</v>
          </cell>
          <cell r="BF4">
            <v>0</v>
          </cell>
          <cell r="BG4">
            <v>1</v>
          </cell>
          <cell r="BN4">
            <v>1</v>
          </cell>
          <cell r="BO4">
            <v>5</v>
          </cell>
          <cell r="BV4">
            <v>0</v>
          </cell>
          <cell r="BW4">
            <v>0</v>
          </cell>
          <cell r="CD4">
            <v>0</v>
          </cell>
          <cell r="CE4">
            <v>2</v>
          </cell>
          <cell r="CL4">
            <v>0</v>
          </cell>
          <cell r="CM4">
            <v>4</v>
          </cell>
          <cell r="CT4">
            <v>0</v>
          </cell>
          <cell r="CU4">
            <v>1</v>
          </cell>
          <cell r="DB4">
            <v>0</v>
          </cell>
          <cell r="DC4">
            <v>1</v>
          </cell>
          <cell r="DJ4">
            <v>0</v>
          </cell>
          <cell r="DK4">
            <v>6</v>
          </cell>
          <cell r="DR4">
            <v>0</v>
          </cell>
          <cell r="DS4">
            <v>2</v>
          </cell>
          <cell r="DZ4">
            <v>0</v>
          </cell>
          <cell r="EA4">
            <v>3</v>
          </cell>
          <cell r="EH4">
            <v>1</v>
          </cell>
          <cell r="EI4">
            <v>33</v>
          </cell>
          <cell r="EP4">
            <v>0</v>
          </cell>
          <cell r="EQ4">
            <v>6</v>
          </cell>
          <cell r="EX4">
            <v>0</v>
          </cell>
          <cell r="EY4">
            <v>1</v>
          </cell>
          <cell r="FF4">
            <v>0</v>
          </cell>
          <cell r="FG4">
            <v>7</v>
          </cell>
          <cell r="FN4">
            <v>0</v>
          </cell>
          <cell r="FO4">
            <v>0</v>
          </cell>
          <cell r="FV4">
            <v>0</v>
          </cell>
          <cell r="FW4">
            <v>0</v>
          </cell>
          <cell r="GD4">
            <v>0</v>
          </cell>
          <cell r="GE4">
            <v>16</v>
          </cell>
          <cell r="GL4">
            <v>1</v>
          </cell>
          <cell r="GM4">
            <v>33</v>
          </cell>
          <cell r="GT4">
            <v>0</v>
          </cell>
          <cell r="GU4">
            <v>43</v>
          </cell>
          <cell r="HB4">
            <v>1</v>
          </cell>
          <cell r="HC4">
            <v>0</v>
          </cell>
          <cell r="HJ4">
            <v>0</v>
          </cell>
          <cell r="HK4">
            <v>0</v>
          </cell>
          <cell r="HR4">
            <v>1</v>
          </cell>
          <cell r="HS4">
            <v>11</v>
          </cell>
          <cell r="HZ4">
            <v>0</v>
          </cell>
          <cell r="IA4">
            <v>7</v>
          </cell>
          <cell r="IH4">
            <v>0</v>
          </cell>
          <cell r="II4">
            <v>1</v>
          </cell>
          <cell r="IP4">
            <v>0</v>
          </cell>
          <cell r="IQ4" t="str">
            <v>N/A</v>
          </cell>
        </row>
        <row r="5">
          <cell r="B5">
            <v>0</v>
          </cell>
          <cell r="C5">
            <v>1</v>
          </cell>
          <cell r="J5">
            <v>0</v>
          </cell>
          <cell r="K5">
            <v>8</v>
          </cell>
          <cell r="R5">
            <v>0</v>
          </cell>
          <cell r="S5">
            <v>6</v>
          </cell>
          <cell r="Z5">
            <v>0</v>
          </cell>
          <cell r="AA5">
            <v>0</v>
          </cell>
          <cell r="AH5">
            <v>0</v>
          </cell>
          <cell r="AI5">
            <v>0</v>
          </cell>
          <cell r="AP5">
            <v>0</v>
          </cell>
          <cell r="AQ5">
            <v>1</v>
          </cell>
          <cell r="AX5">
            <v>0</v>
          </cell>
          <cell r="AY5">
            <v>0</v>
          </cell>
          <cell r="BF5">
            <v>0</v>
          </cell>
          <cell r="BG5">
            <v>1</v>
          </cell>
          <cell r="BN5">
            <v>0</v>
          </cell>
          <cell r="BO5">
            <v>4</v>
          </cell>
          <cell r="BV5">
            <v>0</v>
          </cell>
          <cell r="BW5">
            <v>0</v>
          </cell>
          <cell r="CD5">
            <v>0</v>
          </cell>
          <cell r="CE5">
            <v>2</v>
          </cell>
          <cell r="CL5">
            <v>0</v>
          </cell>
          <cell r="CM5">
            <v>4</v>
          </cell>
          <cell r="CT5">
            <v>0</v>
          </cell>
          <cell r="CU5">
            <v>1</v>
          </cell>
          <cell r="DB5">
            <v>0</v>
          </cell>
          <cell r="DC5">
            <v>1</v>
          </cell>
          <cell r="DJ5">
            <v>0</v>
          </cell>
          <cell r="DK5">
            <v>6</v>
          </cell>
          <cell r="DR5">
            <v>0</v>
          </cell>
          <cell r="DS5">
            <v>2</v>
          </cell>
          <cell r="DZ5">
            <v>0</v>
          </cell>
          <cell r="EA5">
            <v>3</v>
          </cell>
          <cell r="EH5">
            <v>0</v>
          </cell>
          <cell r="EI5">
            <v>32</v>
          </cell>
          <cell r="EP5">
            <v>0</v>
          </cell>
          <cell r="EQ5">
            <v>6</v>
          </cell>
          <cell r="EX5">
            <v>0</v>
          </cell>
          <cell r="EY5">
            <v>1</v>
          </cell>
          <cell r="FF5">
            <v>0</v>
          </cell>
          <cell r="FG5">
            <v>7</v>
          </cell>
          <cell r="FN5">
            <v>0</v>
          </cell>
          <cell r="FO5">
            <v>0</v>
          </cell>
          <cell r="FV5">
            <v>0</v>
          </cell>
          <cell r="FW5">
            <v>0</v>
          </cell>
          <cell r="GD5">
            <v>2</v>
          </cell>
          <cell r="GE5">
            <v>15</v>
          </cell>
          <cell r="GL5">
            <v>0</v>
          </cell>
          <cell r="GM5">
            <v>33</v>
          </cell>
          <cell r="GT5">
            <v>3</v>
          </cell>
          <cell r="GU5">
            <v>42</v>
          </cell>
          <cell r="HB5">
            <v>0</v>
          </cell>
          <cell r="HC5">
            <v>0</v>
          </cell>
          <cell r="HJ5">
            <v>0</v>
          </cell>
          <cell r="HK5">
            <v>0</v>
          </cell>
          <cell r="HR5">
            <v>0</v>
          </cell>
          <cell r="HS5">
            <v>11</v>
          </cell>
          <cell r="HZ5">
            <v>0</v>
          </cell>
          <cell r="IA5">
            <v>8</v>
          </cell>
          <cell r="IH5">
            <v>0</v>
          </cell>
          <cell r="II5">
            <v>1</v>
          </cell>
          <cell r="IP5">
            <v>0</v>
          </cell>
          <cell r="IQ5" t="str">
            <v>N/A</v>
          </cell>
        </row>
        <row r="6">
          <cell r="B6">
            <v>0</v>
          </cell>
          <cell r="C6">
            <v>1</v>
          </cell>
          <cell r="J6">
            <v>0</v>
          </cell>
          <cell r="K6">
            <v>8</v>
          </cell>
          <cell r="R6">
            <v>0</v>
          </cell>
          <cell r="S6">
            <v>6</v>
          </cell>
          <cell r="Z6">
            <v>0</v>
          </cell>
          <cell r="AA6">
            <v>0</v>
          </cell>
          <cell r="AH6">
            <v>0</v>
          </cell>
          <cell r="AI6">
            <v>0</v>
          </cell>
          <cell r="AP6">
            <v>0</v>
          </cell>
          <cell r="AQ6">
            <v>1</v>
          </cell>
          <cell r="AX6">
            <v>0</v>
          </cell>
          <cell r="AY6">
            <v>0</v>
          </cell>
          <cell r="BF6">
            <v>0</v>
          </cell>
          <cell r="BG6">
            <v>1</v>
          </cell>
          <cell r="BN6">
            <v>0</v>
          </cell>
          <cell r="BO6">
            <v>4</v>
          </cell>
          <cell r="BV6">
            <v>0</v>
          </cell>
          <cell r="BW6">
            <v>0</v>
          </cell>
          <cell r="CD6">
            <v>0</v>
          </cell>
          <cell r="CE6">
            <v>2</v>
          </cell>
          <cell r="CL6">
            <v>0</v>
          </cell>
          <cell r="CM6">
            <v>4</v>
          </cell>
          <cell r="CT6">
            <v>0</v>
          </cell>
          <cell r="CU6">
            <v>1</v>
          </cell>
          <cell r="DB6">
            <v>0</v>
          </cell>
          <cell r="DC6">
            <v>1</v>
          </cell>
          <cell r="DJ6">
            <v>0</v>
          </cell>
          <cell r="DK6">
            <v>6</v>
          </cell>
          <cell r="DR6">
            <v>0</v>
          </cell>
          <cell r="DS6">
            <v>2</v>
          </cell>
          <cell r="DZ6">
            <v>0</v>
          </cell>
          <cell r="EA6">
            <v>3</v>
          </cell>
          <cell r="EH6">
            <v>1</v>
          </cell>
          <cell r="EI6">
            <v>33</v>
          </cell>
          <cell r="EP6">
            <v>0</v>
          </cell>
          <cell r="EQ6">
            <v>6</v>
          </cell>
          <cell r="EX6">
            <v>0</v>
          </cell>
          <cell r="EY6">
            <v>1</v>
          </cell>
          <cell r="FF6">
            <v>1</v>
          </cell>
          <cell r="FG6">
            <v>7</v>
          </cell>
          <cell r="FN6">
            <v>0</v>
          </cell>
          <cell r="FO6">
            <v>0</v>
          </cell>
          <cell r="FV6">
            <v>0</v>
          </cell>
          <cell r="FW6">
            <v>0</v>
          </cell>
          <cell r="GD6">
            <v>0</v>
          </cell>
          <cell r="GE6">
            <v>15</v>
          </cell>
          <cell r="GL6">
            <v>0</v>
          </cell>
          <cell r="GM6">
            <v>33</v>
          </cell>
          <cell r="GT6">
            <v>1</v>
          </cell>
          <cell r="GU6">
            <v>39</v>
          </cell>
          <cell r="HB6">
            <v>0</v>
          </cell>
          <cell r="HC6">
            <v>0</v>
          </cell>
          <cell r="HJ6">
            <v>0</v>
          </cell>
          <cell r="HK6">
            <v>0</v>
          </cell>
          <cell r="HR6">
            <v>0</v>
          </cell>
          <cell r="HS6">
            <v>11</v>
          </cell>
          <cell r="HZ6">
            <v>1</v>
          </cell>
          <cell r="IA6">
            <v>8</v>
          </cell>
          <cell r="IH6">
            <v>0</v>
          </cell>
          <cell r="II6">
            <v>1</v>
          </cell>
          <cell r="IP6">
            <v>0</v>
          </cell>
          <cell r="IQ6" t="str">
            <v>N/A</v>
          </cell>
        </row>
        <row r="7">
          <cell r="B7">
            <v>1</v>
          </cell>
          <cell r="C7">
            <v>0</v>
          </cell>
          <cell r="J7">
            <v>0</v>
          </cell>
          <cell r="K7">
            <v>8</v>
          </cell>
          <cell r="R7">
            <v>0</v>
          </cell>
          <cell r="S7">
            <v>6</v>
          </cell>
          <cell r="Z7">
            <v>0</v>
          </cell>
          <cell r="AA7">
            <v>0</v>
          </cell>
          <cell r="AH7">
            <v>0</v>
          </cell>
          <cell r="AI7">
            <v>0</v>
          </cell>
          <cell r="AP7">
            <v>0</v>
          </cell>
          <cell r="AQ7">
            <v>1</v>
          </cell>
          <cell r="AX7">
            <v>0</v>
          </cell>
          <cell r="AY7">
            <v>0</v>
          </cell>
          <cell r="BF7">
            <v>0</v>
          </cell>
          <cell r="BG7">
            <v>1</v>
          </cell>
          <cell r="BN7">
            <v>0</v>
          </cell>
          <cell r="BO7">
            <v>4</v>
          </cell>
          <cell r="BV7">
            <v>0</v>
          </cell>
          <cell r="BW7">
            <v>0</v>
          </cell>
          <cell r="CD7">
            <v>0</v>
          </cell>
          <cell r="CE7">
            <v>2</v>
          </cell>
          <cell r="CL7">
            <v>0</v>
          </cell>
          <cell r="CM7">
            <v>4</v>
          </cell>
          <cell r="CT7">
            <v>0</v>
          </cell>
          <cell r="CU7">
            <v>1</v>
          </cell>
          <cell r="DB7">
            <v>0</v>
          </cell>
          <cell r="DC7">
            <v>1</v>
          </cell>
          <cell r="DJ7">
            <v>0</v>
          </cell>
          <cell r="DK7">
            <v>6</v>
          </cell>
          <cell r="DR7">
            <v>0</v>
          </cell>
          <cell r="DS7">
            <v>2</v>
          </cell>
          <cell r="DZ7">
            <v>0</v>
          </cell>
          <cell r="EA7">
            <v>3</v>
          </cell>
          <cell r="EH7">
            <v>0</v>
          </cell>
          <cell r="EI7">
            <v>33</v>
          </cell>
          <cell r="EP7">
            <v>0</v>
          </cell>
          <cell r="EQ7">
            <v>6</v>
          </cell>
          <cell r="EX7">
            <v>0</v>
          </cell>
          <cell r="EY7">
            <v>1</v>
          </cell>
          <cell r="FF7">
            <v>0</v>
          </cell>
          <cell r="FG7">
            <v>7</v>
          </cell>
          <cell r="FN7">
            <v>0</v>
          </cell>
          <cell r="FO7">
            <v>0</v>
          </cell>
          <cell r="FV7">
            <v>0</v>
          </cell>
          <cell r="FW7">
            <v>0</v>
          </cell>
          <cell r="GD7">
            <v>1</v>
          </cell>
          <cell r="GE7">
            <v>14</v>
          </cell>
          <cell r="GL7">
            <v>1</v>
          </cell>
          <cell r="GM7">
            <v>33</v>
          </cell>
          <cell r="GT7">
            <v>0</v>
          </cell>
          <cell r="GU7">
            <v>38</v>
          </cell>
          <cell r="HB7">
            <v>0</v>
          </cell>
          <cell r="HC7">
            <v>0</v>
          </cell>
          <cell r="HJ7">
            <v>0</v>
          </cell>
          <cell r="HK7">
            <v>0</v>
          </cell>
          <cell r="HR7">
            <v>0</v>
          </cell>
          <cell r="HS7">
            <v>11</v>
          </cell>
          <cell r="HZ7">
            <v>1</v>
          </cell>
          <cell r="IA7">
            <v>7</v>
          </cell>
          <cell r="IH7">
            <v>0</v>
          </cell>
          <cell r="II7">
            <v>1</v>
          </cell>
          <cell r="IP7">
            <v>0</v>
          </cell>
          <cell r="IQ7" t="str">
            <v>N/A</v>
          </cell>
        </row>
        <row r="8">
          <cell r="B8">
            <v>0</v>
          </cell>
          <cell r="C8">
            <v>0</v>
          </cell>
          <cell r="J8">
            <v>0</v>
          </cell>
          <cell r="K8">
            <v>8</v>
          </cell>
          <cell r="R8">
            <v>0</v>
          </cell>
          <cell r="S8">
            <v>6</v>
          </cell>
          <cell r="Z8">
            <v>0</v>
          </cell>
          <cell r="AA8">
            <v>0</v>
          </cell>
          <cell r="AH8">
            <v>0</v>
          </cell>
          <cell r="AI8">
            <v>0</v>
          </cell>
          <cell r="AP8">
            <v>0</v>
          </cell>
          <cell r="AQ8">
            <v>1</v>
          </cell>
          <cell r="AX8">
            <v>0</v>
          </cell>
          <cell r="AY8">
            <v>0</v>
          </cell>
          <cell r="BF8">
            <v>0</v>
          </cell>
          <cell r="BG8">
            <v>1</v>
          </cell>
          <cell r="BN8">
            <v>0</v>
          </cell>
          <cell r="BO8">
            <v>4</v>
          </cell>
          <cell r="BV8">
            <v>0</v>
          </cell>
          <cell r="BW8">
            <v>0</v>
          </cell>
          <cell r="CD8">
            <v>0</v>
          </cell>
          <cell r="CE8">
            <v>2</v>
          </cell>
          <cell r="CL8">
            <v>0</v>
          </cell>
          <cell r="CM8">
            <v>4</v>
          </cell>
          <cell r="CT8">
            <v>0</v>
          </cell>
          <cell r="CU8">
            <v>1</v>
          </cell>
          <cell r="DB8">
            <v>0</v>
          </cell>
          <cell r="DC8">
            <v>1</v>
          </cell>
          <cell r="DJ8">
            <v>0</v>
          </cell>
          <cell r="DK8">
            <v>6</v>
          </cell>
          <cell r="DR8">
            <v>0</v>
          </cell>
          <cell r="DS8">
            <v>2</v>
          </cell>
          <cell r="DZ8">
            <v>0</v>
          </cell>
          <cell r="EA8">
            <v>3</v>
          </cell>
          <cell r="EH8">
            <v>1</v>
          </cell>
          <cell r="EI8">
            <v>34</v>
          </cell>
          <cell r="EP8">
            <v>0</v>
          </cell>
          <cell r="EQ8">
            <v>6</v>
          </cell>
          <cell r="EX8">
            <v>0</v>
          </cell>
          <cell r="EY8">
            <v>1</v>
          </cell>
          <cell r="FF8">
            <v>0</v>
          </cell>
          <cell r="FG8">
            <v>5</v>
          </cell>
          <cell r="FN8">
            <v>0</v>
          </cell>
          <cell r="FO8">
            <v>0</v>
          </cell>
          <cell r="FV8">
            <v>0</v>
          </cell>
          <cell r="FW8">
            <v>0</v>
          </cell>
          <cell r="GD8">
            <v>0</v>
          </cell>
          <cell r="GE8">
            <v>14</v>
          </cell>
          <cell r="GL8">
            <v>1</v>
          </cell>
          <cell r="GM8">
            <v>31</v>
          </cell>
          <cell r="GT8">
            <v>1</v>
          </cell>
          <cell r="GU8">
            <v>37</v>
          </cell>
          <cell r="HB8">
            <v>0</v>
          </cell>
          <cell r="HC8">
            <v>0</v>
          </cell>
          <cell r="HJ8">
            <v>0</v>
          </cell>
          <cell r="HK8">
            <v>0</v>
          </cell>
          <cell r="HR8">
            <v>0</v>
          </cell>
          <cell r="HS8">
            <v>11</v>
          </cell>
          <cell r="HZ8">
            <v>1</v>
          </cell>
          <cell r="IA8">
            <v>6</v>
          </cell>
          <cell r="IH8">
            <v>0</v>
          </cell>
          <cell r="II8">
            <v>1</v>
          </cell>
          <cell r="IP8">
            <v>0</v>
          </cell>
          <cell r="IQ8" t="str">
            <v>N/A</v>
          </cell>
        </row>
        <row r="9">
          <cell r="B9">
            <v>0</v>
          </cell>
          <cell r="C9">
            <v>0</v>
          </cell>
          <cell r="J9">
            <v>0</v>
          </cell>
          <cell r="K9">
            <v>8</v>
          </cell>
          <cell r="R9">
            <v>0</v>
          </cell>
          <cell r="S9">
            <v>6</v>
          </cell>
          <cell r="Z9">
            <v>0</v>
          </cell>
          <cell r="AA9">
            <v>0</v>
          </cell>
          <cell r="AH9">
            <v>0</v>
          </cell>
          <cell r="AI9">
            <v>0</v>
          </cell>
          <cell r="AP9">
            <v>0</v>
          </cell>
          <cell r="AQ9">
            <v>1</v>
          </cell>
          <cell r="AX9">
            <v>0</v>
          </cell>
          <cell r="AY9">
            <v>0</v>
          </cell>
          <cell r="BF9">
            <v>0</v>
          </cell>
          <cell r="BG9">
            <v>1</v>
          </cell>
          <cell r="BN9">
            <v>0</v>
          </cell>
          <cell r="BO9">
            <v>3</v>
          </cell>
          <cell r="BV9">
            <v>0</v>
          </cell>
          <cell r="BW9">
            <v>1</v>
          </cell>
          <cell r="CD9">
            <v>0</v>
          </cell>
          <cell r="CE9">
            <v>2</v>
          </cell>
          <cell r="CL9">
            <v>0</v>
          </cell>
          <cell r="CM9">
            <v>4</v>
          </cell>
          <cell r="CT9">
            <v>0</v>
          </cell>
          <cell r="CU9">
            <v>1</v>
          </cell>
          <cell r="DB9">
            <v>0</v>
          </cell>
          <cell r="DC9">
            <v>1</v>
          </cell>
          <cell r="DJ9">
            <v>0</v>
          </cell>
          <cell r="DK9">
            <v>6</v>
          </cell>
          <cell r="DR9">
            <v>0</v>
          </cell>
          <cell r="DS9">
            <v>2</v>
          </cell>
          <cell r="DZ9">
            <v>0</v>
          </cell>
          <cell r="EA9">
            <v>3</v>
          </cell>
          <cell r="EH9">
            <v>3</v>
          </cell>
          <cell r="EI9">
            <v>23</v>
          </cell>
          <cell r="EP9">
            <v>0</v>
          </cell>
          <cell r="EQ9">
            <v>6</v>
          </cell>
          <cell r="EX9">
            <v>0</v>
          </cell>
          <cell r="EY9">
            <v>2</v>
          </cell>
          <cell r="FF9">
            <v>1</v>
          </cell>
          <cell r="FG9">
            <v>11</v>
          </cell>
          <cell r="FN9">
            <v>0</v>
          </cell>
          <cell r="FO9">
            <v>0</v>
          </cell>
          <cell r="FV9">
            <v>0</v>
          </cell>
          <cell r="FW9">
            <v>0</v>
          </cell>
          <cell r="GD9">
            <v>0</v>
          </cell>
          <cell r="GE9">
            <v>15</v>
          </cell>
          <cell r="GL9">
            <v>0</v>
          </cell>
          <cell r="GM9">
            <v>30</v>
          </cell>
          <cell r="GT9">
            <v>0</v>
          </cell>
          <cell r="GU9">
            <v>37</v>
          </cell>
          <cell r="HB9">
            <v>0</v>
          </cell>
          <cell r="HC9">
            <v>1</v>
          </cell>
          <cell r="HJ9">
            <v>0</v>
          </cell>
          <cell r="HK9">
            <v>0</v>
          </cell>
          <cell r="HR9">
            <v>0</v>
          </cell>
          <cell r="HS9">
            <v>11</v>
          </cell>
          <cell r="HZ9">
            <v>0</v>
          </cell>
          <cell r="IA9">
            <v>5</v>
          </cell>
          <cell r="IH9">
            <v>0</v>
          </cell>
          <cell r="II9">
            <v>1</v>
          </cell>
          <cell r="IP9">
            <v>0</v>
          </cell>
          <cell r="IQ9" t="str">
            <v>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529F6-6FA3-4B49-8275-84301E56580B}" name="Table1" displayName="Table1" ref="A1:B5" totalsRowShown="0">
  <autoFilter ref="A1:B5" xr:uid="{235529F6-6FA3-4B49-8275-84301E56580B}"/>
  <tableColumns count="2">
    <tableColumn id="1" xr3:uid="{BCDFDF94-2226-44F1-9F76-CABF00F4E9D6}" name="Company"/>
    <tableColumn id="2" xr3:uid="{C085E03D-274C-460D-B525-DDF34FE1B74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bombombom5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aunpen21boonjak@gmail.com" TargetMode="External"/><Relationship Id="rId1" Type="http://schemas.openxmlformats.org/officeDocument/2006/relationships/hyperlink" Target="mailto:Siriplongpun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11AC-CC14-47EB-A5A5-0AB5CC6DEE54}">
  <dimension ref="A1:R22"/>
  <sheetViews>
    <sheetView tabSelected="1" topLeftCell="A4" workbookViewId="0">
      <selection activeCell="F30" sqref="F30"/>
    </sheetView>
  </sheetViews>
  <sheetFormatPr defaultColWidth="10.09765625" defaultRowHeight="21" x14ac:dyDescent="0.6"/>
  <cols>
    <col min="1" max="16384" width="10.09765625" style="15"/>
  </cols>
  <sheetData>
    <row r="1" spans="1:18" s="14" customFormat="1" x14ac:dyDescent="0.6">
      <c r="A1" s="14" t="s">
        <v>0</v>
      </c>
      <c r="B1" s="14" t="s">
        <v>1</v>
      </c>
      <c r="C1" s="14" t="s">
        <v>2</v>
      </c>
      <c r="D1" s="14" t="s">
        <v>71</v>
      </c>
      <c r="E1" s="14" t="s">
        <v>72</v>
      </c>
      <c r="F1" s="14" t="s">
        <v>73</v>
      </c>
      <c r="G1" s="14" t="s">
        <v>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 t="s">
        <v>4</v>
      </c>
      <c r="N1" s="14" t="s">
        <v>5</v>
      </c>
      <c r="O1" s="14" t="s">
        <v>6</v>
      </c>
      <c r="P1" s="14" t="s">
        <v>7</v>
      </c>
      <c r="Q1" s="14" t="s">
        <v>87</v>
      </c>
      <c r="R1" s="14" t="s">
        <v>88</v>
      </c>
    </row>
    <row r="2" spans="1:18" x14ac:dyDescent="0.6">
      <c r="A2" s="15">
        <v>2025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6">
        <v>45779</v>
      </c>
      <c r="I2" s="16">
        <v>45797</v>
      </c>
      <c r="J2" s="15">
        <v>12</v>
      </c>
      <c r="O2" s="16">
        <v>45809</v>
      </c>
      <c r="P2" s="15" t="s">
        <v>14</v>
      </c>
      <c r="Q2" s="15">
        <v>23.1</v>
      </c>
      <c r="R2" s="15" t="s">
        <v>15</v>
      </c>
    </row>
    <row r="3" spans="1:18" x14ac:dyDescent="0.6">
      <c r="A3" s="15">
        <v>2025</v>
      </c>
      <c r="B3" s="15" t="s">
        <v>8</v>
      </c>
      <c r="C3" s="15" t="s">
        <v>16</v>
      </c>
      <c r="D3" s="15" t="s">
        <v>17</v>
      </c>
      <c r="E3" s="15" t="s">
        <v>18</v>
      </c>
      <c r="F3" s="15" t="s">
        <v>12</v>
      </c>
      <c r="G3" s="15" t="s">
        <v>13</v>
      </c>
      <c r="H3" s="16">
        <v>45792</v>
      </c>
      <c r="I3" s="16">
        <v>45804</v>
      </c>
      <c r="J3" s="15">
        <v>8</v>
      </c>
      <c r="L3" s="15" t="s">
        <v>79</v>
      </c>
      <c r="M3" s="16">
        <v>45806</v>
      </c>
      <c r="O3" s="16">
        <v>45824</v>
      </c>
      <c r="P3" s="15" t="s">
        <v>14</v>
      </c>
      <c r="Q3" s="15">
        <v>24.01</v>
      </c>
      <c r="R3" s="15" t="s">
        <v>19</v>
      </c>
    </row>
    <row r="4" spans="1:18" x14ac:dyDescent="0.6">
      <c r="A4" s="15">
        <v>2025</v>
      </c>
      <c r="B4" s="15" t="s">
        <v>8</v>
      </c>
      <c r="C4" s="15" t="s">
        <v>20</v>
      </c>
      <c r="D4" s="15" t="s">
        <v>21</v>
      </c>
      <c r="E4" s="15" t="s">
        <v>22</v>
      </c>
      <c r="F4" s="15" t="s">
        <v>23</v>
      </c>
      <c r="G4" s="15" t="s">
        <v>24</v>
      </c>
      <c r="H4" s="16">
        <v>45791</v>
      </c>
      <c r="I4" s="16">
        <v>45803</v>
      </c>
      <c r="J4" s="15">
        <v>8</v>
      </c>
      <c r="M4" s="16">
        <v>45814</v>
      </c>
      <c r="O4" s="16">
        <v>45824</v>
      </c>
      <c r="P4" s="15" t="s">
        <v>14</v>
      </c>
      <c r="Q4" s="15">
        <v>24</v>
      </c>
      <c r="R4" s="15" t="s">
        <v>25</v>
      </c>
    </row>
    <row r="5" spans="1:18" x14ac:dyDescent="0.6">
      <c r="A5" s="15">
        <v>2025</v>
      </c>
      <c r="B5" s="15" t="s">
        <v>8</v>
      </c>
      <c r="C5" s="15" t="s">
        <v>26</v>
      </c>
      <c r="D5" s="15" t="s">
        <v>17</v>
      </c>
      <c r="E5" s="15" t="s">
        <v>18</v>
      </c>
      <c r="F5" s="15" t="s">
        <v>12</v>
      </c>
      <c r="G5" s="15" t="s">
        <v>13</v>
      </c>
      <c r="H5" s="16">
        <v>45806</v>
      </c>
      <c r="I5" s="16">
        <v>45812</v>
      </c>
      <c r="J5" s="15">
        <v>4</v>
      </c>
      <c r="M5" s="16">
        <v>45813</v>
      </c>
      <c r="O5" s="16">
        <v>45824</v>
      </c>
      <c r="P5" s="15" t="s">
        <v>14</v>
      </c>
      <c r="Q5" s="15">
        <v>20.079999999999998</v>
      </c>
      <c r="R5" s="15" t="s">
        <v>27</v>
      </c>
    </row>
    <row r="6" spans="1:18" x14ac:dyDescent="0.6">
      <c r="A6" s="15">
        <v>2025</v>
      </c>
      <c r="B6" s="15" t="s">
        <v>8</v>
      </c>
      <c r="C6" s="15" t="s">
        <v>26</v>
      </c>
      <c r="D6" s="15" t="s">
        <v>17</v>
      </c>
      <c r="E6" s="15" t="s">
        <v>18</v>
      </c>
      <c r="F6" s="15" t="s">
        <v>12</v>
      </c>
      <c r="G6" s="15" t="s">
        <v>13</v>
      </c>
      <c r="H6" s="16">
        <v>45806</v>
      </c>
      <c r="I6" s="16">
        <v>45812</v>
      </c>
      <c r="J6" s="15">
        <v>4</v>
      </c>
      <c r="M6" s="16">
        <v>45813</v>
      </c>
      <c r="O6" s="16">
        <v>45824</v>
      </c>
      <c r="P6" s="15" t="s">
        <v>14</v>
      </c>
      <c r="Q6" s="15">
        <v>18.010000000000002</v>
      </c>
      <c r="R6" s="15" t="s">
        <v>28</v>
      </c>
    </row>
    <row r="7" spans="1:18" x14ac:dyDescent="0.6">
      <c r="A7" s="15">
        <v>2025</v>
      </c>
      <c r="B7" s="15" t="s">
        <v>8</v>
      </c>
      <c r="C7" s="15" t="s">
        <v>26</v>
      </c>
      <c r="D7" s="15" t="s">
        <v>17</v>
      </c>
      <c r="E7" s="15" t="s">
        <v>18</v>
      </c>
      <c r="F7" s="15" t="s">
        <v>12</v>
      </c>
      <c r="G7" s="15" t="s">
        <v>13</v>
      </c>
      <c r="H7" s="16">
        <v>45806</v>
      </c>
      <c r="I7" s="16">
        <v>45812</v>
      </c>
      <c r="J7" s="15">
        <v>4</v>
      </c>
      <c r="M7" s="16">
        <v>45813</v>
      </c>
      <c r="O7" s="16">
        <v>45824</v>
      </c>
      <c r="P7" s="15" t="s">
        <v>14</v>
      </c>
      <c r="Q7" s="15">
        <v>27.1</v>
      </c>
      <c r="R7" s="15" t="s">
        <v>29</v>
      </c>
    </row>
    <row r="8" spans="1:18" x14ac:dyDescent="0.6">
      <c r="A8" s="15">
        <v>2025</v>
      </c>
      <c r="B8" s="15" t="s">
        <v>8</v>
      </c>
      <c r="C8" s="15" t="s">
        <v>26</v>
      </c>
      <c r="D8" s="15" t="s">
        <v>17</v>
      </c>
      <c r="E8" s="15" t="s">
        <v>18</v>
      </c>
      <c r="F8" s="15" t="s">
        <v>12</v>
      </c>
      <c r="G8" s="15" t="s">
        <v>13</v>
      </c>
      <c r="H8" s="16">
        <v>45806</v>
      </c>
      <c r="I8" s="16">
        <v>45812</v>
      </c>
      <c r="J8" s="15">
        <v>4</v>
      </c>
      <c r="M8" s="16">
        <v>45813</v>
      </c>
      <c r="O8" s="16">
        <v>45824</v>
      </c>
      <c r="P8" s="15" t="s">
        <v>14</v>
      </c>
      <c r="Q8" s="15">
        <v>23.04</v>
      </c>
      <c r="R8" s="15" t="s">
        <v>30</v>
      </c>
    </row>
    <row r="9" spans="1:18" x14ac:dyDescent="0.6">
      <c r="A9" s="15">
        <v>2025</v>
      </c>
      <c r="B9" s="15" t="s">
        <v>8</v>
      </c>
      <c r="C9" s="15" t="s">
        <v>26</v>
      </c>
      <c r="D9" s="15" t="s">
        <v>17</v>
      </c>
      <c r="E9" s="15" t="s">
        <v>18</v>
      </c>
      <c r="F9" s="15" t="s">
        <v>12</v>
      </c>
      <c r="G9" s="15" t="s">
        <v>13</v>
      </c>
      <c r="H9" s="16">
        <v>45806</v>
      </c>
      <c r="I9" s="16">
        <v>45812</v>
      </c>
      <c r="J9" s="15">
        <v>4</v>
      </c>
      <c r="M9" s="16">
        <v>45813</v>
      </c>
      <c r="O9" s="16">
        <v>45824</v>
      </c>
      <c r="P9" s="15" t="s">
        <v>14</v>
      </c>
      <c r="Q9" s="15">
        <v>20.02</v>
      </c>
      <c r="R9" s="15" t="s">
        <v>31</v>
      </c>
    </row>
    <row r="10" spans="1:18" x14ac:dyDescent="0.6">
      <c r="A10" s="15">
        <v>2025</v>
      </c>
      <c r="B10" s="15" t="s">
        <v>8</v>
      </c>
      <c r="C10" s="15" t="s">
        <v>26</v>
      </c>
      <c r="D10" s="15" t="s">
        <v>17</v>
      </c>
      <c r="E10" s="15" t="s">
        <v>18</v>
      </c>
      <c r="F10" s="15" t="s">
        <v>12</v>
      </c>
      <c r="G10" s="15" t="s">
        <v>13</v>
      </c>
      <c r="H10" s="16">
        <v>45806</v>
      </c>
      <c r="I10" s="16">
        <v>45818</v>
      </c>
      <c r="J10" s="15">
        <v>8</v>
      </c>
      <c r="M10" s="16">
        <v>45819</v>
      </c>
      <c r="O10" s="16">
        <v>45839</v>
      </c>
      <c r="P10" s="15" t="s">
        <v>14</v>
      </c>
      <c r="Q10" s="15">
        <v>20.07</v>
      </c>
      <c r="R10" s="15" t="s">
        <v>32</v>
      </c>
    </row>
    <row r="11" spans="1:18" x14ac:dyDescent="0.6">
      <c r="A11" s="15">
        <v>2025</v>
      </c>
      <c r="B11" s="15" t="s">
        <v>8</v>
      </c>
      <c r="C11" s="15" t="s">
        <v>33</v>
      </c>
      <c r="D11" s="15" t="s">
        <v>17</v>
      </c>
      <c r="E11" s="15" t="s">
        <v>18</v>
      </c>
      <c r="F11" s="15" t="s">
        <v>12</v>
      </c>
      <c r="G11" s="15" t="s">
        <v>13</v>
      </c>
      <c r="H11" s="16">
        <v>45868</v>
      </c>
      <c r="I11" s="16">
        <v>45870</v>
      </c>
      <c r="J11" s="15">
        <v>2</v>
      </c>
      <c r="L11" s="15" t="s">
        <v>80</v>
      </c>
      <c r="M11" s="16">
        <v>45873</v>
      </c>
      <c r="O11" s="16">
        <v>45885</v>
      </c>
      <c r="P11" s="15" t="s">
        <v>14</v>
      </c>
      <c r="Q11" s="15">
        <v>23.11</v>
      </c>
      <c r="R11" s="15" t="s">
        <v>34</v>
      </c>
    </row>
    <row r="12" spans="1:18" x14ac:dyDescent="0.6">
      <c r="A12" s="15">
        <v>2025</v>
      </c>
      <c r="B12" s="15" t="s">
        <v>8</v>
      </c>
      <c r="C12" s="15" t="s">
        <v>35</v>
      </c>
      <c r="D12" s="15" t="s">
        <v>36</v>
      </c>
      <c r="E12" s="15" t="s">
        <v>37</v>
      </c>
      <c r="F12" s="15" t="s">
        <v>38</v>
      </c>
      <c r="G12" s="15" t="s">
        <v>13</v>
      </c>
      <c r="H12" s="16">
        <v>45859</v>
      </c>
      <c r="I12" s="16">
        <v>45868</v>
      </c>
      <c r="J12" s="15">
        <v>7</v>
      </c>
      <c r="L12" s="15" t="s">
        <v>81</v>
      </c>
      <c r="M12" s="16">
        <v>45877</v>
      </c>
      <c r="O12" s="16">
        <v>45901</v>
      </c>
      <c r="P12" s="15" t="s">
        <v>14</v>
      </c>
      <c r="Q12" s="15">
        <v>20.09</v>
      </c>
      <c r="R12" s="15" t="s">
        <v>39</v>
      </c>
    </row>
    <row r="13" spans="1:18" x14ac:dyDescent="0.6">
      <c r="A13" s="15">
        <v>2025</v>
      </c>
      <c r="B13" s="15" t="s">
        <v>8</v>
      </c>
      <c r="C13" s="15" t="s">
        <v>40</v>
      </c>
      <c r="D13" s="15" t="s">
        <v>10</v>
      </c>
      <c r="E13" s="15" t="s">
        <v>11</v>
      </c>
      <c r="F13" s="15" t="s">
        <v>12</v>
      </c>
      <c r="G13" s="15" t="s">
        <v>13</v>
      </c>
      <c r="H13" s="16">
        <v>45946</v>
      </c>
      <c r="I13" s="16">
        <v>45955</v>
      </c>
      <c r="J13" s="15">
        <v>6</v>
      </c>
      <c r="M13" s="16">
        <v>45958</v>
      </c>
      <c r="O13" s="16">
        <v>45992</v>
      </c>
      <c r="P13" s="15" t="s">
        <v>14</v>
      </c>
      <c r="Q13" s="15">
        <v>31.08</v>
      </c>
      <c r="R13" s="15" t="s">
        <v>41</v>
      </c>
    </row>
    <row r="14" spans="1:18" x14ac:dyDescent="0.6">
      <c r="A14" s="15">
        <v>2026</v>
      </c>
      <c r="B14" s="15" t="s">
        <v>8</v>
      </c>
      <c r="C14" s="15" t="s">
        <v>42</v>
      </c>
      <c r="D14" s="15" t="s">
        <v>17</v>
      </c>
      <c r="E14" s="15" t="s">
        <v>18</v>
      </c>
      <c r="F14" s="15" t="s">
        <v>12</v>
      </c>
      <c r="G14" s="15" t="s">
        <v>13</v>
      </c>
      <c r="H14" s="16">
        <v>46055</v>
      </c>
      <c r="I14" s="16">
        <v>46057</v>
      </c>
      <c r="J14" s="15">
        <v>2</v>
      </c>
      <c r="L14" s="15" t="s">
        <v>82</v>
      </c>
      <c r="M14" s="16">
        <v>46059</v>
      </c>
      <c r="O14" s="16">
        <v>46069</v>
      </c>
      <c r="P14" s="15" t="s">
        <v>14</v>
      </c>
      <c r="Q14" s="15">
        <v>22.11</v>
      </c>
      <c r="R14" s="15" t="s">
        <v>43</v>
      </c>
    </row>
    <row r="15" spans="1:18" x14ac:dyDescent="0.6">
      <c r="A15" s="15">
        <v>2026</v>
      </c>
      <c r="B15" s="15" t="s">
        <v>8</v>
      </c>
      <c r="C15" s="15" t="s">
        <v>42</v>
      </c>
      <c r="D15" s="15" t="s">
        <v>17</v>
      </c>
      <c r="E15" s="15" t="s">
        <v>18</v>
      </c>
      <c r="F15" s="15" t="s">
        <v>12</v>
      </c>
      <c r="G15" s="15" t="s">
        <v>13</v>
      </c>
      <c r="H15" s="16">
        <v>46056</v>
      </c>
      <c r="I15" s="16">
        <v>46057</v>
      </c>
      <c r="J15" s="15">
        <v>1</v>
      </c>
      <c r="K15" s="15" t="s">
        <v>84</v>
      </c>
      <c r="L15" s="15" t="s">
        <v>83</v>
      </c>
      <c r="M15" s="16">
        <v>46059</v>
      </c>
      <c r="N15" s="16">
        <v>46063</v>
      </c>
      <c r="O15" s="16">
        <v>46069</v>
      </c>
      <c r="P15" s="15" t="s">
        <v>14</v>
      </c>
      <c r="Q15" s="15">
        <v>22.11</v>
      </c>
      <c r="R15" s="15" t="s">
        <v>44</v>
      </c>
    </row>
    <row r="16" spans="1:18" x14ac:dyDescent="0.6">
      <c r="A16" s="15">
        <v>2026</v>
      </c>
      <c r="B16" s="15" t="s">
        <v>8</v>
      </c>
      <c r="C16" s="15" t="s">
        <v>42</v>
      </c>
      <c r="D16" s="15" t="s">
        <v>17</v>
      </c>
      <c r="E16" s="15" t="s">
        <v>18</v>
      </c>
      <c r="F16" s="15" t="s">
        <v>12</v>
      </c>
      <c r="G16" s="15" t="s">
        <v>13</v>
      </c>
      <c r="H16" s="16">
        <v>46056</v>
      </c>
      <c r="I16" s="16">
        <v>46057</v>
      </c>
      <c r="J16" s="15">
        <v>1</v>
      </c>
      <c r="K16" s="15" t="s">
        <v>85</v>
      </c>
      <c r="L16" s="15" t="s">
        <v>86</v>
      </c>
      <c r="M16" s="16">
        <v>46059</v>
      </c>
      <c r="N16" s="16">
        <v>46063</v>
      </c>
      <c r="O16" s="16">
        <v>46082</v>
      </c>
      <c r="P16" s="15" t="s">
        <v>14</v>
      </c>
      <c r="Q16" s="15">
        <v>23.02</v>
      </c>
      <c r="R16" s="15" t="s">
        <v>45</v>
      </c>
    </row>
    <row r="17" spans="1:18" x14ac:dyDescent="0.6">
      <c r="A17" s="15">
        <v>2026</v>
      </c>
      <c r="B17" s="15" t="s">
        <v>8</v>
      </c>
      <c r="C17" s="15" t="s">
        <v>46</v>
      </c>
      <c r="D17" s="15" t="s">
        <v>47</v>
      </c>
      <c r="E17" s="15" t="s">
        <v>48</v>
      </c>
      <c r="F17" s="15" t="s">
        <v>49</v>
      </c>
      <c r="G17" s="15" t="s">
        <v>24</v>
      </c>
      <c r="H17" s="16">
        <v>46149</v>
      </c>
      <c r="I17" s="16">
        <v>46154</v>
      </c>
      <c r="J17" s="15">
        <v>3</v>
      </c>
      <c r="L17" s="15" t="s">
        <v>50</v>
      </c>
      <c r="M17" s="16">
        <v>46160</v>
      </c>
      <c r="O17" s="16">
        <v>46174</v>
      </c>
      <c r="P17" s="15" t="s">
        <v>14</v>
      </c>
      <c r="Q17" s="15">
        <v>28.09</v>
      </c>
      <c r="R17" s="15" t="s">
        <v>51</v>
      </c>
    </row>
    <row r="18" spans="1:18" x14ac:dyDescent="0.6">
      <c r="A18" s="15">
        <v>2026</v>
      </c>
      <c r="B18" s="15" t="s">
        <v>8</v>
      </c>
      <c r="C18" s="15" t="s">
        <v>52</v>
      </c>
      <c r="D18" s="15" t="s">
        <v>53</v>
      </c>
      <c r="E18" s="15" t="s">
        <v>54</v>
      </c>
      <c r="F18" s="15" t="s">
        <v>12</v>
      </c>
      <c r="O18" s="16">
        <v>46204</v>
      </c>
      <c r="P18" s="15" t="s">
        <v>14</v>
      </c>
      <c r="Q18" s="15">
        <v>23</v>
      </c>
      <c r="R18" s="15" t="s">
        <v>55</v>
      </c>
    </row>
    <row r="19" spans="1:18" x14ac:dyDescent="0.6">
      <c r="A19" s="15">
        <v>2026</v>
      </c>
      <c r="B19" s="15" t="s">
        <v>8</v>
      </c>
      <c r="C19" s="15" t="s">
        <v>56</v>
      </c>
      <c r="D19" s="15" t="s">
        <v>17</v>
      </c>
      <c r="E19" s="15" t="s">
        <v>18</v>
      </c>
      <c r="F19" s="15" t="s">
        <v>12</v>
      </c>
      <c r="H19" s="16">
        <v>46182</v>
      </c>
      <c r="I19" s="16">
        <v>46185</v>
      </c>
      <c r="P19" s="15" t="s">
        <v>14</v>
      </c>
    </row>
    <row r="20" spans="1:18" x14ac:dyDescent="0.6">
      <c r="A20" s="15">
        <v>2026</v>
      </c>
      <c r="B20" s="15" t="s">
        <v>8</v>
      </c>
      <c r="C20" s="15" t="s">
        <v>56</v>
      </c>
      <c r="D20" s="15" t="s">
        <v>17</v>
      </c>
      <c r="E20" s="15" t="s">
        <v>18</v>
      </c>
      <c r="F20" s="15" t="s">
        <v>12</v>
      </c>
      <c r="H20" s="16">
        <v>46182</v>
      </c>
      <c r="I20" s="16">
        <v>46185</v>
      </c>
      <c r="P20" s="15" t="s">
        <v>14</v>
      </c>
    </row>
    <row r="21" spans="1:18" x14ac:dyDescent="0.6">
      <c r="A21" s="15">
        <v>2026</v>
      </c>
      <c r="B21" s="15" t="s">
        <v>8</v>
      </c>
      <c r="C21" s="15" t="s">
        <v>56</v>
      </c>
      <c r="D21" s="15" t="s">
        <v>17</v>
      </c>
      <c r="E21" s="15" t="s">
        <v>18</v>
      </c>
      <c r="F21" s="15" t="s">
        <v>12</v>
      </c>
      <c r="H21" s="16">
        <v>46182</v>
      </c>
      <c r="I21" s="16">
        <v>46185</v>
      </c>
      <c r="P21" s="15" t="s">
        <v>14</v>
      </c>
    </row>
    <row r="22" spans="1:18" x14ac:dyDescent="0.6">
      <c r="A22" s="15">
        <v>2025</v>
      </c>
      <c r="B22" s="15" t="s">
        <v>63</v>
      </c>
      <c r="C22" s="15" t="s">
        <v>64</v>
      </c>
      <c r="D22" s="15" t="s">
        <v>65</v>
      </c>
      <c r="E22" s="15" t="s">
        <v>66</v>
      </c>
      <c r="F22" s="15" t="s">
        <v>67</v>
      </c>
      <c r="G22" s="15" t="s">
        <v>68</v>
      </c>
      <c r="H22" s="16">
        <v>45982</v>
      </c>
      <c r="I22" s="16">
        <v>45988</v>
      </c>
      <c r="J22" s="15">
        <v>4</v>
      </c>
      <c r="L22" s="15" t="s">
        <v>69</v>
      </c>
      <c r="M22" s="16">
        <v>46049</v>
      </c>
      <c r="O22" s="16">
        <v>46055</v>
      </c>
      <c r="P22" s="15" t="s">
        <v>14</v>
      </c>
      <c r="Q22" s="15">
        <v>20.03</v>
      </c>
      <c r="R22" s="15" t="s">
        <v>70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9427C63-6845-4BB8-8FCC-66FD1127F430}">
          <x14:formula1>
            <xm:f>Dropdown!$A:$A</xm:f>
          </x14:formula1>
          <xm:sqref>B1:B21 B23:B1048576</xm:sqref>
        </x14:dataValidation>
        <x14:dataValidation type="list" allowBlank="1" showInputMessage="1" showErrorMessage="1" xr:uid="{2B275FD4-C84C-493E-A81B-A84BE97B1AD4}">
          <x14:formula1>
            <xm:f>Dropdown!$B$2:$B$5</xm:f>
          </x14:formula1>
          <xm:sqref>P2:P1048576</xm:sqref>
        </x14:dataValidation>
        <x14:dataValidation type="list" allowBlank="1" showInputMessage="1" showErrorMessage="1" xr:uid="{B3B0B065-84E7-476C-B836-B214933EC6DC}">
          <x14:formula1>
            <xm:f>Dropdown!$A$2:$A3</xm:f>
          </x14:formula1>
          <xm:sqref>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09B5-A42C-4311-9169-EDDC52287E89}">
  <dimension ref="A1:M76"/>
  <sheetViews>
    <sheetView topLeftCell="A29" workbookViewId="0">
      <selection activeCell="A64" sqref="A1:XFD1048576"/>
    </sheetView>
  </sheetViews>
  <sheetFormatPr defaultRowHeight="15.6" x14ac:dyDescent="0.25"/>
  <cols>
    <col min="1" max="2" width="14" style="44" customWidth="1"/>
    <col min="3" max="3" width="19" style="44" customWidth="1"/>
    <col min="4" max="9" width="14" style="44" customWidth="1"/>
    <col min="10" max="10" width="14" style="68" customWidth="1"/>
    <col min="11" max="13" width="14" style="44" customWidth="1"/>
    <col min="14" max="16384" width="8.796875" style="44"/>
  </cols>
  <sheetData>
    <row r="1" spans="1:13" ht="17.399999999999999" customHeight="1" x14ac:dyDescent="0.25">
      <c r="A1" s="42" t="s">
        <v>91</v>
      </c>
      <c r="B1" s="42" t="s">
        <v>1768</v>
      </c>
      <c r="C1" s="42" t="s">
        <v>1769</v>
      </c>
      <c r="D1" s="42" t="s">
        <v>96</v>
      </c>
      <c r="E1" s="42" t="s">
        <v>97</v>
      </c>
      <c r="F1" s="42" t="s">
        <v>98</v>
      </c>
      <c r="G1" s="42" t="s">
        <v>99</v>
      </c>
      <c r="H1" s="42" t="s">
        <v>100</v>
      </c>
      <c r="I1" s="42" t="s">
        <v>1770</v>
      </c>
      <c r="J1" s="43" t="s">
        <v>112</v>
      </c>
      <c r="K1" s="42" t="s">
        <v>113</v>
      </c>
      <c r="L1" s="42" t="s">
        <v>1771</v>
      </c>
      <c r="M1" s="42" t="s">
        <v>1772</v>
      </c>
    </row>
    <row r="2" spans="1:13" ht="17.399999999999999" customHeight="1" x14ac:dyDescent="0.25">
      <c r="A2" s="45" t="s">
        <v>1609</v>
      </c>
      <c r="B2" s="46">
        <v>45658</v>
      </c>
      <c r="C2" s="47" t="s">
        <v>1610</v>
      </c>
      <c r="D2" s="45"/>
      <c r="E2" s="47" t="s">
        <v>1611</v>
      </c>
      <c r="F2" s="47" t="s">
        <v>1612</v>
      </c>
      <c r="G2" s="47" t="s">
        <v>1612</v>
      </c>
      <c r="H2" s="45"/>
      <c r="I2" s="45"/>
      <c r="J2" s="48">
        <v>25.01</v>
      </c>
      <c r="K2" s="45">
        <v>0.01</v>
      </c>
      <c r="L2" s="45"/>
      <c r="M2" s="47" t="s">
        <v>1613</v>
      </c>
    </row>
    <row r="3" spans="1:13" ht="17.399999999999999" customHeight="1" x14ac:dyDescent="0.25">
      <c r="A3" s="45" t="s">
        <v>1614</v>
      </c>
      <c r="B3" s="46">
        <v>45658</v>
      </c>
      <c r="C3" s="47" t="s">
        <v>734</v>
      </c>
      <c r="D3" s="45"/>
      <c r="E3" s="47" t="s">
        <v>443</v>
      </c>
      <c r="F3" s="47" t="s">
        <v>444</v>
      </c>
      <c r="G3" s="47" t="s">
        <v>565</v>
      </c>
      <c r="H3" s="45"/>
      <c r="I3" s="45"/>
      <c r="J3" s="48">
        <v>25</v>
      </c>
      <c r="K3" s="45">
        <v>0.08</v>
      </c>
      <c r="L3" s="45"/>
      <c r="M3" s="47" t="s">
        <v>1615</v>
      </c>
    </row>
    <row r="4" spans="1:13" ht="17.399999999999999" customHeight="1" x14ac:dyDescent="0.25">
      <c r="A4" s="45" t="s">
        <v>1616</v>
      </c>
      <c r="B4" s="46">
        <v>45658</v>
      </c>
      <c r="C4" s="47" t="s">
        <v>1617</v>
      </c>
      <c r="D4" s="45"/>
      <c r="E4" s="47" t="s">
        <v>683</v>
      </c>
      <c r="F4" s="47" t="s">
        <v>1618</v>
      </c>
      <c r="G4" s="47" t="s">
        <v>1619</v>
      </c>
      <c r="H4" s="45"/>
      <c r="I4" s="45"/>
      <c r="J4" s="48">
        <v>24.02</v>
      </c>
      <c r="K4" s="45">
        <v>1.0900000000000001</v>
      </c>
      <c r="L4" s="45"/>
      <c r="M4" s="47" t="s">
        <v>1613</v>
      </c>
    </row>
    <row r="5" spans="1:13" ht="17.399999999999999" customHeight="1" x14ac:dyDescent="0.25">
      <c r="A5" s="45" t="s">
        <v>1620</v>
      </c>
      <c r="B5" s="46">
        <v>45658</v>
      </c>
      <c r="C5" s="47" t="s">
        <v>1621</v>
      </c>
      <c r="D5" s="45"/>
      <c r="E5" s="47" t="s">
        <v>866</v>
      </c>
      <c r="F5" s="47" t="s">
        <v>1622</v>
      </c>
      <c r="G5" s="47" t="s">
        <v>1623</v>
      </c>
      <c r="H5" s="45"/>
      <c r="I5" s="45"/>
      <c r="J5" s="48">
        <v>26</v>
      </c>
      <c r="K5" s="45">
        <v>1.07</v>
      </c>
      <c r="L5" s="45"/>
      <c r="M5" s="47" t="s">
        <v>1624</v>
      </c>
    </row>
    <row r="6" spans="1:13" ht="17.399999999999999" customHeight="1" x14ac:dyDescent="0.25">
      <c r="A6" s="45" t="s">
        <v>1625</v>
      </c>
      <c r="B6" s="46">
        <v>45658</v>
      </c>
      <c r="C6" s="47" t="s">
        <v>1626</v>
      </c>
      <c r="D6" s="45"/>
      <c r="E6" s="47" t="s">
        <v>12</v>
      </c>
      <c r="F6" s="47" t="s">
        <v>18</v>
      </c>
      <c r="G6" s="47" t="s">
        <v>211</v>
      </c>
      <c r="H6" s="45"/>
      <c r="I6" s="45"/>
      <c r="J6" s="48">
        <v>20.07</v>
      </c>
      <c r="K6" s="45">
        <v>0.06</v>
      </c>
      <c r="L6" s="45"/>
      <c r="M6" s="47" t="s">
        <v>1613</v>
      </c>
    </row>
    <row r="7" spans="1:13" ht="17.399999999999999" customHeight="1" x14ac:dyDescent="0.25">
      <c r="A7" s="45" t="s">
        <v>1627</v>
      </c>
      <c r="B7" s="46">
        <v>45658</v>
      </c>
      <c r="C7" s="47" t="s">
        <v>1628</v>
      </c>
      <c r="D7" s="45"/>
      <c r="E7" s="47" t="s">
        <v>866</v>
      </c>
      <c r="F7" s="47" t="s">
        <v>1629</v>
      </c>
      <c r="G7" s="47" t="s">
        <v>1575</v>
      </c>
      <c r="H7" s="45"/>
      <c r="I7" s="45"/>
      <c r="J7" s="48">
        <v>23.03</v>
      </c>
      <c r="K7" s="45">
        <v>2.0699999999999998</v>
      </c>
      <c r="L7" s="45"/>
      <c r="M7" s="47" t="s">
        <v>1630</v>
      </c>
    </row>
    <row r="8" spans="1:13" ht="17.399999999999999" customHeight="1" x14ac:dyDescent="0.25">
      <c r="A8" s="45" t="s">
        <v>1631</v>
      </c>
      <c r="B8" s="46">
        <v>45658</v>
      </c>
      <c r="C8" s="47" t="s">
        <v>1632</v>
      </c>
      <c r="D8" s="45"/>
      <c r="E8" s="47" t="s">
        <v>12</v>
      </c>
      <c r="F8" s="47" t="s">
        <v>18</v>
      </c>
      <c r="G8" s="47" t="s">
        <v>17</v>
      </c>
      <c r="H8" s="45"/>
      <c r="I8" s="45"/>
      <c r="J8" s="48">
        <v>25.05</v>
      </c>
      <c r="K8" s="45">
        <v>4.03</v>
      </c>
      <c r="L8" s="45"/>
      <c r="M8" s="47" t="s">
        <v>1613</v>
      </c>
    </row>
    <row r="9" spans="1:13" ht="17.399999999999999" customHeight="1" x14ac:dyDescent="0.25">
      <c r="A9" s="45" t="s">
        <v>1633</v>
      </c>
      <c r="B9" s="46">
        <v>45658</v>
      </c>
      <c r="C9" s="47" t="s">
        <v>1634</v>
      </c>
      <c r="D9" s="45"/>
      <c r="E9" s="47" t="s">
        <v>866</v>
      </c>
      <c r="F9" s="47" t="s">
        <v>867</v>
      </c>
      <c r="G9" s="47" t="s">
        <v>868</v>
      </c>
      <c r="H9" s="45"/>
      <c r="I9" s="45"/>
      <c r="J9" s="48">
        <v>27</v>
      </c>
      <c r="K9" s="45">
        <v>2.02</v>
      </c>
      <c r="L9" s="45"/>
      <c r="M9" s="47" t="s">
        <v>1613</v>
      </c>
    </row>
    <row r="10" spans="1:13" ht="17.399999999999999" customHeight="1" x14ac:dyDescent="0.25">
      <c r="A10" s="45" t="s">
        <v>1635</v>
      </c>
      <c r="B10" s="46">
        <v>45658</v>
      </c>
      <c r="C10" s="47" t="s">
        <v>1636</v>
      </c>
      <c r="D10" s="45"/>
      <c r="E10" s="47" t="s">
        <v>12</v>
      </c>
      <c r="F10" s="47" t="s">
        <v>18</v>
      </c>
      <c r="G10" s="47" t="s">
        <v>659</v>
      </c>
      <c r="H10" s="45"/>
      <c r="I10" s="45"/>
      <c r="J10" s="48">
        <v>25.08</v>
      </c>
      <c r="K10" s="45">
        <v>0.1</v>
      </c>
      <c r="L10" s="45"/>
      <c r="M10" s="47" t="s">
        <v>1613</v>
      </c>
    </row>
    <row r="11" spans="1:13" ht="17.399999999999999" customHeight="1" x14ac:dyDescent="0.25">
      <c r="A11" s="45" t="s">
        <v>1637</v>
      </c>
      <c r="B11" s="46">
        <v>45658</v>
      </c>
      <c r="C11" s="47" t="s">
        <v>1638</v>
      </c>
      <c r="D11" s="45"/>
      <c r="E11" s="47" t="s">
        <v>866</v>
      </c>
      <c r="F11" s="47" t="s">
        <v>902</v>
      </c>
      <c r="G11" s="47" t="s">
        <v>1366</v>
      </c>
      <c r="H11" s="45"/>
      <c r="I11" s="45"/>
      <c r="J11" s="48">
        <v>31.01</v>
      </c>
      <c r="K11" s="45">
        <v>2.0699999999999998</v>
      </c>
      <c r="L11" s="45"/>
      <c r="M11" s="47" t="s">
        <v>1624</v>
      </c>
    </row>
    <row r="12" spans="1:13" ht="17.399999999999999" customHeight="1" x14ac:dyDescent="0.25">
      <c r="A12" s="45" t="s">
        <v>1639</v>
      </c>
      <c r="B12" s="46">
        <v>45689</v>
      </c>
      <c r="C12" s="47" t="s">
        <v>1640</v>
      </c>
      <c r="D12" s="45"/>
      <c r="E12" s="47" t="s">
        <v>866</v>
      </c>
      <c r="F12" s="47" t="s">
        <v>1629</v>
      </c>
      <c r="G12" s="47" t="s">
        <v>1641</v>
      </c>
      <c r="H12" s="45"/>
      <c r="I12" s="45"/>
      <c r="J12" s="48">
        <v>27.07</v>
      </c>
      <c r="K12" s="45">
        <v>2.0699999999999998</v>
      </c>
      <c r="L12" s="45"/>
      <c r="M12" s="47" t="s">
        <v>1624</v>
      </c>
    </row>
    <row r="13" spans="1:13" ht="17.399999999999999" customHeight="1" x14ac:dyDescent="0.25">
      <c r="A13" s="45" t="s">
        <v>1642</v>
      </c>
      <c r="B13" s="46">
        <v>45689</v>
      </c>
      <c r="C13" s="47" t="s">
        <v>1643</v>
      </c>
      <c r="D13" s="45"/>
      <c r="E13" s="47" t="s">
        <v>866</v>
      </c>
      <c r="F13" s="47" t="s">
        <v>1629</v>
      </c>
      <c r="G13" s="47" t="s">
        <v>1641</v>
      </c>
      <c r="H13" s="45"/>
      <c r="I13" s="45"/>
      <c r="J13" s="48">
        <v>30.11</v>
      </c>
      <c r="K13" s="45">
        <v>2.06</v>
      </c>
      <c r="L13" s="45"/>
      <c r="M13" s="47" t="s">
        <v>1624</v>
      </c>
    </row>
    <row r="14" spans="1:13" ht="17.399999999999999" customHeight="1" x14ac:dyDescent="0.25">
      <c r="A14" s="45" t="s">
        <v>1644</v>
      </c>
      <c r="B14" s="46">
        <v>45717</v>
      </c>
      <c r="C14" s="47" t="s">
        <v>1645</v>
      </c>
      <c r="D14" s="45"/>
      <c r="E14" s="47" t="s">
        <v>866</v>
      </c>
      <c r="F14" s="47" t="s">
        <v>1629</v>
      </c>
      <c r="G14" s="47" t="s">
        <v>1125</v>
      </c>
      <c r="H14" s="45"/>
      <c r="I14" s="45"/>
      <c r="J14" s="48">
        <v>39.08</v>
      </c>
      <c r="K14" s="45">
        <v>2.09</v>
      </c>
      <c r="L14" s="45"/>
      <c r="M14" s="47" t="s">
        <v>1613</v>
      </c>
    </row>
    <row r="15" spans="1:13" ht="17.399999999999999" customHeight="1" x14ac:dyDescent="0.25">
      <c r="A15" s="45" t="s">
        <v>1646</v>
      </c>
      <c r="B15" s="46">
        <v>45717</v>
      </c>
      <c r="C15" s="47" t="s">
        <v>1647</v>
      </c>
      <c r="D15" s="45"/>
      <c r="E15" s="47" t="s">
        <v>1648</v>
      </c>
      <c r="F15" s="47" t="s">
        <v>169</v>
      </c>
      <c r="G15" s="47" t="s">
        <v>170</v>
      </c>
      <c r="H15" s="45"/>
      <c r="I15" s="45"/>
      <c r="J15" s="48">
        <v>24.03</v>
      </c>
      <c r="K15" s="45">
        <v>0.05</v>
      </c>
      <c r="L15" s="45"/>
      <c r="M15" s="47" t="s">
        <v>1613</v>
      </c>
    </row>
    <row r="16" spans="1:13" ht="17.399999999999999" customHeight="1" x14ac:dyDescent="0.25">
      <c r="A16" s="45" t="s">
        <v>1649</v>
      </c>
      <c r="B16" s="46">
        <v>45717</v>
      </c>
      <c r="C16" s="47" t="s">
        <v>1650</v>
      </c>
      <c r="D16" s="45"/>
      <c r="E16" s="47" t="s">
        <v>866</v>
      </c>
      <c r="F16" s="47" t="s">
        <v>1629</v>
      </c>
      <c r="G16" s="47" t="s">
        <v>1032</v>
      </c>
      <c r="H16" s="45"/>
      <c r="I16" s="45"/>
      <c r="J16" s="48">
        <v>28.08</v>
      </c>
      <c r="K16" s="45">
        <v>2.0099999999999998</v>
      </c>
      <c r="L16" s="45"/>
      <c r="M16" s="47" t="s">
        <v>1624</v>
      </c>
    </row>
    <row r="17" spans="1:13" ht="17.399999999999999" customHeight="1" x14ac:dyDescent="0.25">
      <c r="A17" s="45" t="s">
        <v>1651</v>
      </c>
      <c r="B17" s="46">
        <v>45717</v>
      </c>
      <c r="C17" s="47" t="s">
        <v>1652</v>
      </c>
      <c r="D17" s="45"/>
      <c r="E17" s="47" t="s">
        <v>866</v>
      </c>
      <c r="F17" s="47" t="s">
        <v>1622</v>
      </c>
      <c r="G17" s="47" t="s">
        <v>1653</v>
      </c>
      <c r="H17" s="45"/>
      <c r="I17" s="45"/>
      <c r="J17" s="48">
        <v>27.02</v>
      </c>
      <c r="K17" s="45">
        <v>2.02</v>
      </c>
      <c r="L17" s="45"/>
      <c r="M17" s="47" t="s">
        <v>1654</v>
      </c>
    </row>
    <row r="18" spans="1:13" ht="17.399999999999999" customHeight="1" x14ac:dyDescent="0.25">
      <c r="A18" s="45" t="s">
        <v>1655</v>
      </c>
      <c r="B18" s="46">
        <v>45717</v>
      </c>
      <c r="C18" s="47" t="s">
        <v>1656</v>
      </c>
      <c r="D18" s="45"/>
      <c r="E18" s="47" t="s">
        <v>866</v>
      </c>
      <c r="F18" s="47" t="s">
        <v>1629</v>
      </c>
      <c r="G18" s="47" t="s">
        <v>1188</v>
      </c>
      <c r="H18" s="45"/>
      <c r="I18" s="45"/>
      <c r="J18" s="48">
        <v>24.06</v>
      </c>
      <c r="K18" s="45">
        <v>3.06</v>
      </c>
      <c r="L18" s="45"/>
      <c r="M18" s="47" t="s">
        <v>1657</v>
      </c>
    </row>
    <row r="19" spans="1:13" ht="17.399999999999999" customHeight="1" x14ac:dyDescent="0.25">
      <c r="A19" s="45" t="s">
        <v>1658</v>
      </c>
      <c r="B19" s="46">
        <v>45748</v>
      </c>
      <c r="C19" s="47" t="s">
        <v>1659</v>
      </c>
      <c r="D19" s="45"/>
      <c r="E19" s="47" t="s">
        <v>866</v>
      </c>
      <c r="F19" s="47" t="s">
        <v>1622</v>
      </c>
      <c r="G19" s="47" t="s">
        <v>1660</v>
      </c>
      <c r="H19" s="45"/>
      <c r="I19" s="45"/>
      <c r="J19" s="48">
        <v>27.06</v>
      </c>
      <c r="K19" s="45">
        <v>1.07</v>
      </c>
      <c r="L19" s="45"/>
      <c r="M19" s="47" t="s">
        <v>1624</v>
      </c>
    </row>
    <row r="20" spans="1:13" ht="17.399999999999999" customHeight="1" x14ac:dyDescent="0.25">
      <c r="A20" s="45" t="s">
        <v>1661</v>
      </c>
      <c r="B20" s="46">
        <v>45748</v>
      </c>
      <c r="C20" s="47" t="s">
        <v>1662</v>
      </c>
      <c r="D20" s="45"/>
      <c r="E20" s="47" t="s">
        <v>866</v>
      </c>
      <c r="F20" s="47" t="s">
        <v>867</v>
      </c>
      <c r="G20" s="47" t="s">
        <v>868</v>
      </c>
      <c r="H20" s="45"/>
      <c r="I20" s="45"/>
      <c r="J20" s="48">
        <v>25.04</v>
      </c>
      <c r="K20" s="45" t="s">
        <v>1802</v>
      </c>
      <c r="L20" s="45"/>
      <c r="M20" s="47" t="s">
        <v>1613</v>
      </c>
    </row>
    <row r="21" spans="1:13" ht="17.399999999999999" customHeight="1" x14ac:dyDescent="0.25">
      <c r="A21" s="45" t="s">
        <v>1663</v>
      </c>
      <c r="B21" s="46">
        <v>45748</v>
      </c>
      <c r="C21" s="47" t="s">
        <v>1664</v>
      </c>
      <c r="D21" s="45"/>
      <c r="E21" s="47" t="s">
        <v>12</v>
      </c>
      <c r="F21" s="47" t="s">
        <v>18</v>
      </c>
      <c r="G21" s="47" t="s">
        <v>17</v>
      </c>
      <c r="H21" s="45"/>
      <c r="I21" s="45"/>
      <c r="J21" s="48">
        <v>21.08</v>
      </c>
      <c r="K21" s="45" t="s">
        <v>1803</v>
      </c>
      <c r="L21" s="45"/>
      <c r="M21" s="47" t="s">
        <v>1657</v>
      </c>
    </row>
    <row r="22" spans="1:13" ht="17.399999999999999" customHeight="1" x14ac:dyDescent="0.25">
      <c r="A22" s="49" t="s">
        <v>1665</v>
      </c>
      <c r="B22" s="50">
        <v>45809</v>
      </c>
      <c r="C22" s="49" t="s">
        <v>1666</v>
      </c>
      <c r="D22" s="49" t="s">
        <v>141</v>
      </c>
      <c r="E22" s="49" t="s">
        <v>12</v>
      </c>
      <c r="F22" s="49" t="s">
        <v>18</v>
      </c>
      <c r="G22" s="49" t="s">
        <v>1667</v>
      </c>
      <c r="H22" s="49" t="s">
        <v>17</v>
      </c>
      <c r="I22" s="50">
        <v>45809</v>
      </c>
      <c r="J22" s="51">
        <v>20.02</v>
      </c>
      <c r="K22" s="49">
        <v>10.02</v>
      </c>
      <c r="L22" s="52" t="s">
        <v>1796</v>
      </c>
      <c r="M22" s="45"/>
    </row>
    <row r="23" spans="1:13" ht="17.399999999999999" customHeight="1" x14ac:dyDescent="0.25">
      <c r="A23" s="49" t="s">
        <v>1668</v>
      </c>
      <c r="B23" s="50">
        <v>45840</v>
      </c>
      <c r="C23" s="49" t="s">
        <v>1669</v>
      </c>
      <c r="D23" s="49" t="s">
        <v>141</v>
      </c>
      <c r="E23" s="49" t="s">
        <v>12</v>
      </c>
      <c r="F23" s="49" t="s">
        <v>18</v>
      </c>
      <c r="G23" s="49" t="s">
        <v>1667</v>
      </c>
      <c r="H23" s="49" t="s">
        <v>17</v>
      </c>
      <c r="I23" s="50">
        <v>45824</v>
      </c>
      <c r="J23" s="51">
        <v>18.010000000000002</v>
      </c>
      <c r="K23" s="49">
        <v>0.01</v>
      </c>
      <c r="L23" s="53" t="s">
        <v>1776</v>
      </c>
      <c r="M23" s="45"/>
    </row>
    <row r="24" spans="1:13" ht="17.399999999999999" customHeight="1" x14ac:dyDescent="0.25">
      <c r="A24" s="49" t="s">
        <v>1797</v>
      </c>
      <c r="B24" s="50">
        <v>45854</v>
      </c>
      <c r="C24" s="49" t="s">
        <v>1798</v>
      </c>
      <c r="D24" s="49" t="s">
        <v>141</v>
      </c>
      <c r="E24" s="49" t="s">
        <v>12</v>
      </c>
      <c r="F24" s="49" t="s">
        <v>18</v>
      </c>
      <c r="G24" s="49" t="s">
        <v>17</v>
      </c>
      <c r="H24" s="49" t="s">
        <v>17</v>
      </c>
      <c r="I24" s="50">
        <v>42784</v>
      </c>
      <c r="J24" s="51">
        <v>34</v>
      </c>
      <c r="K24" s="49">
        <v>8.0399999999999991</v>
      </c>
      <c r="L24" s="54" t="s">
        <v>1787</v>
      </c>
      <c r="M24" s="45"/>
    </row>
    <row r="25" spans="1:13" ht="17.399999999999999" customHeight="1" x14ac:dyDescent="0.25">
      <c r="A25" s="49" t="s">
        <v>1670</v>
      </c>
      <c r="B25" s="50">
        <v>45871</v>
      </c>
      <c r="C25" s="49" t="s">
        <v>1671</v>
      </c>
      <c r="D25" s="49" t="s">
        <v>125</v>
      </c>
      <c r="E25" s="49" t="s">
        <v>12</v>
      </c>
      <c r="F25" s="49" t="s">
        <v>18</v>
      </c>
      <c r="G25" s="49" t="s">
        <v>17</v>
      </c>
      <c r="H25" s="49" t="s">
        <v>828</v>
      </c>
      <c r="I25" s="50">
        <v>45809</v>
      </c>
      <c r="J25" s="51">
        <v>25.06</v>
      </c>
      <c r="K25" s="49">
        <v>0.02</v>
      </c>
      <c r="L25" s="52" t="s">
        <v>1796</v>
      </c>
      <c r="M25" s="45"/>
    </row>
    <row r="26" spans="1:13" ht="17.399999999999999" customHeight="1" x14ac:dyDescent="0.25">
      <c r="A26" s="49" t="s">
        <v>1672</v>
      </c>
      <c r="B26" s="50">
        <v>45888</v>
      </c>
      <c r="C26" s="49" t="s">
        <v>1673</v>
      </c>
      <c r="D26" s="49" t="s">
        <v>141</v>
      </c>
      <c r="E26" s="49" t="s">
        <v>12</v>
      </c>
      <c r="F26" s="49" t="s">
        <v>18</v>
      </c>
      <c r="G26" s="49" t="s">
        <v>17</v>
      </c>
      <c r="H26" s="49" t="s">
        <v>17</v>
      </c>
      <c r="I26" s="50">
        <v>43538</v>
      </c>
      <c r="J26" s="51">
        <v>25.01</v>
      </c>
      <c r="K26" s="49">
        <v>6.05</v>
      </c>
      <c r="L26" s="54" t="s">
        <v>1787</v>
      </c>
      <c r="M26" s="45"/>
    </row>
    <row r="27" spans="1:13" ht="17.399999999999999" customHeight="1" x14ac:dyDescent="0.25">
      <c r="A27" s="49" t="s">
        <v>1674</v>
      </c>
      <c r="B27" s="50">
        <v>45888</v>
      </c>
      <c r="C27" s="49" t="s">
        <v>1675</v>
      </c>
      <c r="D27" s="49" t="s">
        <v>141</v>
      </c>
      <c r="E27" s="49" t="s">
        <v>12</v>
      </c>
      <c r="F27" s="49" t="s">
        <v>18</v>
      </c>
      <c r="G27" s="49" t="s">
        <v>17</v>
      </c>
      <c r="H27" s="49" t="s">
        <v>17</v>
      </c>
      <c r="I27" s="50">
        <v>44411</v>
      </c>
      <c r="J27" s="51">
        <v>35.049999999999997</v>
      </c>
      <c r="K27" s="49">
        <v>4</v>
      </c>
      <c r="L27" s="54" t="s">
        <v>1787</v>
      </c>
      <c r="M27" s="45"/>
    </row>
    <row r="28" spans="1:13" ht="17.399999999999999" customHeight="1" x14ac:dyDescent="0.25">
      <c r="A28" s="49" t="s">
        <v>1799</v>
      </c>
      <c r="B28" s="50">
        <v>45901</v>
      </c>
      <c r="C28" s="49" t="s">
        <v>1800</v>
      </c>
      <c r="D28" s="49" t="s">
        <v>125</v>
      </c>
      <c r="E28" s="49" t="s">
        <v>38</v>
      </c>
      <c r="F28" s="49" t="s">
        <v>1801</v>
      </c>
      <c r="G28" s="49" t="s">
        <v>223</v>
      </c>
      <c r="H28" s="49" t="s">
        <v>223</v>
      </c>
      <c r="I28" s="50">
        <v>45474</v>
      </c>
      <c r="J28" s="51">
        <v>27.04</v>
      </c>
      <c r="K28" s="49">
        <v>1.01</v>
      </c>
      <c r="L28" s="54" t="s">
        <v>1787</v>
      </c>
      <c r="M28" s="45"/>
    </row>
    <row r="29" spans="1:13" ht="17.399999999999999" customHeight="1" x14ac:dyDescent="0.25">
      <c r="A29" s="49" t="s">
        <v>1676</v>
      </c>
      <c r="B29" s="50">
        <v>45901</v>
      </c>
      <c r="C29" s="49" t="s">
        <v>80</v>
      </c>
      <c r="D29" s="49" t="s">
        <v>125</v>
      </c>
      <c r="E29" s="49" t="s">
        <v>12</v>
      </c>
      <c r="F29" s="49" t="s">
        <v>18</v>
      </c>
      <c r="G29" s="49" t="s">
        <v>808</v>
      </c>
      <c r="H29" s="49" t="s">
        <v>809</v>
      </c>
      <c r="I29" s="50">
        <v>45320</v>
      </c>
      <c r="J29" s="51">
        <v>24.06</v>
      </c>
      <c r="K29" s="49">
        <v>1.06</v>
      </c>
      <c r="L29" s="54" t="s">
        <v>1787</v>
      </c>
      <c r="M29" s="45"/>
    </row>
    <row r="30" spans="1:13" ht="17.399999999999999" customHeight="1" x14ac:dyDescent="0.25">
      <c r="A30" s="49" t="s">
        <v>1677</v>
      </c>
      <c r="B30" s="50">
        <v>45916</v>
      </c>
      <c r="C30" s="49" t="s">
        <v>82</v>
      </c>
      <c r="D30" s="49" t="s">
        <v>141</v>
      </c>
      <c r="E30" s="49" t="s">
        <v>12</v>
      </c>
      <c r="F30" s="49" t="s">
        <v>18</v>
      </c>
      <c r="G30" s="49" t="s">
        <v>17</v>
      </c>
      <c r="H30" s="49" t="s">
        <v>17</v>
      </c>
      <c r="I30" s="50">
        <v>45824</v>
      </c>
      <c r="J30" s="51">
        <v>28</v>
      </c>
      <c r="K30" s="49">
        <v>0.03</v>
      </c>
      <c r="L30" s="55" t="s">
        <v>1785</v>
      </c>
      <c r="M30" s="45"/>
    </row>
    <row r="31" spans="1:13" ht="17.399999999999999" customHeight="1" x14ac:dyDescent="0.25">
      <c r="A31" s="49" t="s">
        <v>1678</v>
      </c>
      <c r="B31" s="50">
        <v>45926</v>
      </c>
      <c r="C31" s="49" t="s">
        <v>1679</v>
      </c>
      <c r="D31" s="49" t="s">
        <v>141</v>
      </c>
      <c r="E31" s="49" t="s">
        <v>12</v>
      </c>
      <c r="F31" s="49" t="s">
        <v>18</v>
      </c>
      <c r="G31" s="49" t="s">
        <v>17</v>
      </c>
      <c r="H31" s="49" t="s">
        <v>17</v>
      </c>
      <c r="I31" s="50">
        <v>45839</v>
      </c>
      <c r="J31" s="51">
        <v>20.09</v>
      </c>
      <c r="K31" s="49">
        <v>0.02</v>
      </c>
      <c r="L31" s="54" t="s">
        <v>1787</v>
      </c>
      <c r="M31" s="45"/>
    </row>
    <row r="32" spans="1:13" ht="17.399999999999999" customHeight="1" x14ac:dyDescent="0.25">
      <c r="A32" s="49" t="s">
        <v>1680</v>
      </c>
      <c r="B32" s="50">
        <v>45931</v>
      </c>
      <c r="C32" s="49" t="s">
        <v>1681</v>
      </c>
      <c r="D32" s="49" t="s">
        <v>141</v>
      </c>
      <c r="E32" s="49" t="s">
        <v>12</v>
      </c>
      <c r="F32" s="49" t="s">
        <v>18</v>
      </c>
      <c r="G32" s="49" t="s">
        <v>17</v>
      </c>
      <c r="H32" s="49" t="s">
        <v>17</v>
      </c>
      <c r="I32" s="50">
        <v>44669</v>
      </c>
      <c r="J32" s="51">
        <v>28.07</v>
      </c>
      <c r="K32" s="49">
        <v>3.05</v>
      </c>
      <c r="L32" s="55" t="s">
        <v>1785</v>
      </c>
      <c r="M32" s="45"/>
    </row>
    <row r="33" spans="1:13" ht="17.399999999999999" customHeight="1" x14ac:dyDescent="0.25">
      <c r="A33" s="49" t="s">
        <v>1682</v>
      </c>
      <c r="B33" s="50">
        <v>45931</v>
      </c>
      <c r="C33" s="49" t="s">
        <v>1683</v>
      </c>
      <c r="D33" s="49" t="s">
        <v>141</v>
      </c>
      <c r="E33" s="49" t="s">
        <v>12</v>
      </c>
      <c r="F33" s="49" t="s">
        <v>18</v>
      </c>
      <c r="G33" s="49" t="s">
        <v>17</v>
      </c>
      <c r="H33" s="49" t="s">
        <v>17</v>
      </c>
      <c r="I33" s="50">
        <v>45824</v>
      </c>
      <c r="J33" s="51">
        <v>20.11</v>
      </c>
      <c r="K33" s="49">
        <v>0.03</v>
      </c>
      <c r="L33" s="54" t="s">
        <v>1787</v>
      </c>
      <c r="M33" s="45"/>
    </row>
    <row r="34" spans="1:13" ht="17.399999999999999" customHeight="1" x14ac:dyDescent="0.25">
      <c r="A34" s="49" t="s">
        <v>1718</v>
      </c>
      <c r="B34" s="50">
        <v>46023</v>
      </c>
      <c r="C34" s="49" t="s">
        <v>1719</v>
      </c>
      <c r="D34" s="49" t="s">
        <v>125</v>
      </c>
      <c r="E34" s="49" t="s">
        <v>443</v>
      </c>
      <c r="F34" s="49" t="s">
        <v>444</v>
      </c>
      <c r="G34" s="49" t="s">
        <v>565</v>
      </c>
      <c r="H34" s="49" t="s">
        <v>565</v>
      </c>
      <c r="I34" s="50">
        <v>44669</v>
      </c>
      <c r="J34" s="51">
        <v>27</v>
      </c>
      <c r="K34" s="49">
        <v>3.08</v>
      </c>
      <c r="L34" s="54" t="s">
        <v>1787</v>
      </c>
      <c r="M34" s="45"/>
    </row>
    <row r="35" spans="1:13" ht="17.399999999999999" customHeight="1" x14ac:dyDescent="0.25">
      <c r="A35" s="49" t="s">
        <v>1684</v>
      </c>
      <c r="B35" s="50">
        <v>45793</v>
      </c>
      <c r="C35" s="49" t="s">
        <v>1685</v>
      </c>
      <c r="D35" s="49" t="s">
        <v>865</v>
      </c>
      <c r="E35" s="49" t="s">
        <v>866</v>
      </c>
      <c r="F35" s="49" t="s">
        <v>1622</v>
      </c>
      <c r="G35" s="49" t="s">
        <v>1660</v>
      </c>
      <c r="H35" s="49" t="s">
        <v>978</v>
      </c>
      <c r="I35" s="49" t="s">
        <v>1784</v>
      </c>
      <c r="J35" s="51">
        <v>28.04</v>
      </c>
      <c r="K35" s="49">
        <v>3.03</v>
      </c>
      <c r="L35" s="55" t="s">
        <v>1785</v>
      </c>
      <c r="M35" s="49" t="s">
        <v>1613</v>
      </c>
    </row>
    <row r="36" spans="1:13" ht="17.399999999999999" customHeight="1" x14ac:dyDescent="0.25">
      <c r="A36" s="49" t="s">
        <v>1686</v>
      </c>
      <c r="B36" s="50">
        <v>45812</v>
      </c>
      <c r="C36" s="49" t="s">
        <v>1687</v>
      </c>
      <c r="D36" s="49" t="s">
        <v>865</v>
      </c>
      <c r="E36" s="49" t="s">
        <v>880</v>
      </c>
      <c r="F36" s="49" t="s">
        <v>1688</v>
      </c>
      <c r="G36" s="49" t="s">
        <v>1689</v>
      </c>
      <c r="H36" s="49" t="s">
        <v>1786</v>
      </c>
      <c r="I36" s="50">
        <v>44688</v>
      </c>
      <c r="J36" s="51">
        <v>23.1</v>
      </c>
      <c r="K36" s="49">
        <v>2.1</v>
      </c>
      <c r="L36" s="56" t="s">
        <v>1787</v>
      </c>
      <c r="M36" s="49" t="s">
        <v>1690</v>
      </c>
    </row>
    <row r="37" spans="1:13" ht="17.399999999999999" customHeight="1" x14ac:dyDescent="0.25">
      <c r="A37" s="49" t="s">
        <v>1691</v>
      </c>
      <c r="B37" s="50">
        <v>45810</v>
      </c>
      <c r="C37" s="49" t="s">
        <v>1692</v>
      </c>
      <c r="D37" s="49" t="s">
        <v>865</v>
      </c>
      <c r="E37" s="49" t="s">
        <v>866</v>
      </c>
      <c r="F37" s="49" t="s">
        <v>1622</v>
      </c>
      <c r="G37" s="49" t="s">
        <v>1693</v>
      </c>
      <c r="H37" s="49" t="s">
        <v>1623</v>
      </c>
      <c r="I37" s="49" t="s">
        <v>1788</v>
      </c>
      <c r="J37" s="51">
        <v>29.03</v>
      </c>
      <c r="K37" s="49">
        <v>2.0099999999999998</v>
      </c>
      <c r="L37" s="55" t="s">
        <v>1785</v>
      </c>
      <c r="M37" s="49" t="s">
        <v>1613</v>
      </c>
    </row>
    <row r="38" spans="1:13" ht="17.399999999999999" customHeight="1" x14ac:dyDescent="0.25">
      <c r="A38" s="49" t="s">
        <v>1694</v>
      </c>
      <c r="B38" s="50">
        <v>45839</v>
      </c>
      <c r="C38" s="49" t="s">
        <v>1695</v>
      </c>
      <c r="D38" s="49" t="s">
        <v>865</v>
      </c>
      <c r="E38" s="49" t="s">
        <v>866</v>
      </c>
      <c r="F38" s="49" t="s">
        <v>1629</v>
      </c>
      <c r="G38" s="49" t="s">
        <v>892</v>
      </c>
      <c r="H38" s="49" t="s">
        <v>1641</v>
      </c>
      <c r="I38" s="50">
        <v>44228</v>
      </c>
      <c r="J38" s="51">
        <v>27.08</v>
      </c>
      <c r="K38" s="49">
        <v>4.04</v>
      </c>
      <c r="L38" s="56" t="s">
        <v>1787</v>
      </c>
      <c r="M38" s="49" t="s">
        <v>1690</v>
      </c>
    </row>
    <row r="39" spans="1:13" ht="17.399999999999999" customHeight="1" x14ac:dyDescent="0.25">
      <c r="A39" s="49" t="s">
        <v>1696</v>
      </c>
      <c r="B39" s="50">
        <v>45839</v>
      </c>
      <c r="C39" s="49" t="s">
        <v>1697</v>
      </c>
      <c r="D39" s="49" t="s">
        <v>865</v>
      </c>
      <c r="E39" s="49" t="s">
        <v>67</v>
      </c>
      <c r="F39" s="49" t="s">
        <v>66</v>
      </c>
      <c r="G39" s="49" t="s">
        <v>65</v>
      </c>
      <c r="H39" s="49" t="s">
        <v>65</v>
      </c>
      <c r="I39" s="50">
        <v>45586</v>
      </c>
      <c r="J39" s="51">
        <v>21.09</v>
      </c>
      <c r="K39" s="49">
        <v>7.0000000000000007E-2</v>
      </c>
      <c r="L39" s="55" t="s">
        <v>1785</v>
      </c>
      <c r="M39" s="49" t="s">
        <v>1613</v>
      </c>
    </row>
    <row r="40" spans="1:13" ht="17.399999999999999" customHeight="1" x14ac:dyDescent="0.25">
      <c r="A40" s="49" t="s">
        <v>1698</v>
      </c>
      <c r="B40" s="50">
        <v>45846</v>
      </c>
      <c r="C40" s="49" t="s">
        <v>1699</v>
      </c>
      <c r="D40" s="49" t="s">
        <v>865</v>
      </c>
      <c r="E40" s="49" t="s">
        <v>866</v>
      </c>
      <c r="F40" s="49" t="s">
        <v>915</v>
      </c>
      <c r="G40" s="49" t="s">
        <v>916</v>
      </c>
      <c r="H40" s="49" t="s">
        <v>916</v>
      </c>
      <c r="I40" s="50">
        <v>44305</v>
      </c>
      <c r="J40" s="51">
        <v>27.1</v>
      </c>
      <c r="K40" s="49">
        <v>4.01</v>
      </c>
      <c r="L40" s="56" t="s">
        <v>1787</v>
      </c>
      <c r="M40" s="49" t="s">
        <v>1690</v>
      </c>
    </row>
    <row r="41" spans="1:13" ht="17.399999999999999" customHeight="1" x14ac:dyDescent="0.25">
      <c r="A41" s="49" t="s">
        <v>1789</v>
      </c>
      <c r="B41" s="50">
        <v>45870</v>
      </c>
      <c r="C41" s="49" t="s">
        <v>1790</v>
      </c>
      <c r="D41" s="49" t="s">
        <v>865</v>
      </c>
      <c r="E41" s="49" t="s">
        <v>866</v>
      </c>
      <c r="F41" s="49" t="s">
        <v>915</v>
      </c>
      <c r="G41" s="49" t="s">
        <v>1101</v>
      </c>
      <c r="H41" s="49" t="s">
        <v>1101</v>
      </c>
      <c r="I41" s="50">
        <v>44609</v>
      </c>
      <c r="J41" s="51">
        <v>26.03</v>
      </c>
      <c r="K41" s="49">
        <v>3.03</v>
      </c>
      <c r="L41" s="56" t="s">
        <v>1787</v>
      </c>
      <c r="M41" s="49" t="s">
        <v>1791</v>
      </c>
    </row>
    <row r="42" spans="1:13" ht="17.399999999999999" customHeight="1" x14ac:dyDescent="0.25">
      <c r="A42" s="49" t="s">
        <v>1700</v>
      </c>
      <c r="B42" s="50">
        <v>45909</v>
      </c>
      <c r="C42" s="49" t="s">
        <v>1701</v>
      </c>
      <c r="D42" s="49" t="s">
        <v>865</v>
      </c>
      <c r="E42" s="49" t="s">
        <v>880</v>
      </c>
      <c r="F42" s="49" t="s">
        <v>1015</v>
      </c>
      <c r="G42" s="49" t="s">
        <v>1283</v>
      </c>
      <c r="H42" s="49" t="s">
        <v>1283</v>
      </c>
      <c r="I42" s="50">
        <v>45033</v>
      </c>
      <c r="J42" s="51">
        <v>28.11</v>
      </c>
      <c r="K42" s="49">
        <v>2.0099999999999998</v>
      </c>
      <c r="L42" s="56" t="s">
        <v>1787</v>
      </c>
      <c r="M42" s="49" t="s">
        <v>1702</v>
      </c>
    </row>
    <row r="43" spans="1:13" ht="17.399999999999999" customHeight="1" x14ac:dyDescent="0.25">
      <c r="A43" s="49" t="s">
        <v>1792</v>
      </c>
      <c r="B43" s="50">
        <v>45931</v>
      </c>
      <c r="C43" s="49" t="s">
        <v>1793</v>
      </c>
      <c r="D43" s="49" t="s">
        <v>865</v>
      </c>
      <c r="E43" s="49" t="s">
        <v>866</v>
      </c>
      <c r="F43" s="49" t="s">
        <v>902</v>
      </c>
      <c r="G43" s="49" t="s">
        <v>1660</v>
      </c>
      <c r="H43" s="49" t="s">
        <v>978</v>
      </c>
      <c r="I43" s="50">
        <v>43473</v>
      </c>
      <c r="J43" s="51">
        <v>29.09</v>
      </c>
      <c r="K43" s="49">
        <v>6.04</v>
      </c>
      <c r="L43" s="56" t="s">
        <v>1787</v>
      </c>
      <c r="M43" s="49" t="s">
        <v>1791</v>
      </c>
    </row>
    <row r="44" spans="1:13" ht="17.399999999999999" customHeight="1" x14ac:dyDescent="0.25">
      <c r="A44" s="49" t="s">
        <v>1703</v>
      </c>
      <c r="B44" s="50">
        <v>45951</v>
      </c>
      <c r="C44" s="57" t="s">
        <v>1704</v>
      </c>
      <c r="D44" s="49" t="s">
        <v>865</v>
      </c>
      <c r="E44" s="57" t="s">
        <v>880</v>
      </c>
      <c r="F44" s="57" t="s">
        <v>881</v>
      </c>
      <c r="G44" s="57" t="s">
        <v>1705</v>
      </c>
      <c r="H44" s="57" t="s">
        <v>1705</v>
      </c>
      <c r="I44" s="50">
        <v>44620</v>
      </c>
      <c r="J44" s="51">
        <v>27.03</v>
      </c>
      <c r="K44" s="49">
        <v>3.03</v>
      </c>
      <c r="L44" s="56" t="s">
        <v>1787</v>
      </c>
      <c r="M44" s="49" t="s">
        <v>1706</v>
      </c>
    </row>
    <row r="45" spans="1:13" ht="17.399999999999999" customHeight="1" x14ac:dyDescent="0.25">
      <c r="A45" s="58" t="s">
        <v>1707</v>
      </c>
      <c r="B45" s="50">
        <v>45971</v>
      </c>
      <c r="C45" s="49" t="s">
        <v>1708</v>
      </c>
      <c r="D45" s="49" t="s">
        <v>865</v>
      </c>
      <c r="E45" s="49" t="s">
        <v>866</v>
      </c>
      <c r="F45" s="49" t="s">
        <v>867</v>
      </c>
      <c r="G45" s="49" t="s">
        <v>868</v>
      </c>
      <c r="H45" s="49" t="s">
        <v>987</v>
      </c>
      <c r="I45" s="50">
        <v>44256</v>
      </c>
      <c r="J45" s="51">
        <v>23.11</v>
      </c>
      <c r="K45" s="49">
        <v>4.03</v>
      </c>
      <c r="L45" s="56" t="s">
        <v>1787</v>
      </c>
      <c r="M45" s="49" t="s">
        <v>1706</v>
      </c>
    </row>
    <row r="46" spans="1:13" ht="17.399999999999999" customHeight="1" x14ac:dyDescent="0.25">
      <c r="A46" s="59" t="s">
        <v>1709</v>
      </c>
      <c r="B46" s="50">
        <v>45974</v>
      </c>
      <c r="C46" s="49" t="s">
        <v>1710</v>
      </c>
      <c r="D46" s="49" t="s">
        <v>865</v>
      </c>
      <c r="E46" s="49" t="s">
        <v>866</v>
      </c>
      <c r="F46" s="49" t="s">
        <v>915</v>
      </c>
      <c r="G46" s="49" t="s">
        <v>1052</v>
      </c>
      <c r="H46" s="49" t="s">
        <v>1210</v>
      </c>
      <c r="I46" s="50">
        <v>43710</v>
      </c>
      <c r="J46" s="51">
        <v>30.11</v>
      </c>
      <c r="K46" s="49">
        <v>5.08</v>
      </c>
      <c r="L46" s="56" t="s">
        <v>1787</v>
      </c>
      <c r="M46" s="49" t="s">
        <v>1711</v>
      </c>
    </row>
    <row r="47" spans="1:13" ht="17.399999999999999" customHeight="1" x14ac:dyDescent="0.25">
      <c r="A47" s="57" t="s">
        <v>1712</v>
      </c>
      <c r="B47" s="60">
        <v>45992</v>
      </c>
      <c r="C47" s="57" t="s">
        <v>69</v>
      </c>
      <c r="D47" s="57" t="s">
        <v>865</v>
      </c>
      <c r="E47" s="57" t="s">
        <v>67</v>
      </c>
      <c r="F47" s="57" t="s">
        <v>66</v>
      </c>
      <c r="G47" s="57" t="s">
        <v>65</v>
      </c>
      <c r="H47" s="57" t="s">
        <v>65</v>
      </c>
      <c r="I47" s="60">
        <v>45901</v>
      </c>
      <c r="J47" s="51">
        <v>20.11</v>
      </c>
      <c r="K47" s="57">
        <v>0.02</v>
      </c>
      <c r="L47" s="53" t="s">
        <v>1776</v>
      </c>
      <c r="M47" s="57" t="s">
        <v>1713</v>
      </c>
    </row>
    <row r="48" spans="1:13" ht="17.399999999999999" customHeight="1" x14ac:dyDescent="0.25">
      <c r="A48" s="57" t="s">
        <v>1714</v>
      </c>
      <c r="B48" s="60">
        <v>45992</v>
      </c>
      <c r="C48" s="57" t="s">
        <v>1715</v>
      </c>
      <c r="D48" s="57" t="s">
        <v>865</v>
      </c>
      <c r="E48" s="57" t="s">
        <v>866</v>
      </c>
      <c r="F48" s="57" t="s">
        <v>915</v>
      </c>
      <c r="G48" s="57" t="s">
        <v>1101</v>
      </c>
      <c r="H48" s="57" t="s">
        <v>1101</v>
      </c>
      <c r="I48" s="60">
        <v>45005</v>
      </c>
      <c r="J48" s="51">
        <v>29</v>
      </c>
      <c r="K48" s="57">
        <v>2.02</v>
      </c>
      <c r="L48" s="56" t="s">
        <v>1787</v>
      </c>
      <c r="M48" s="57" t="s">
        <v>1706</v>
      </c>
    </row>
    <row r="49" spans="1:13" ht="17.399999999999999" customHeight="1" x14ac:dyDescent="0.25">
      <c r="A49" s="49" t="s">
        <v>1779</v>
      </c>
      <c r="B49" s="50">
        <v>46023</v>
      </c>
      <c r="C49" s="57" t="s">
        <v>1794</v>
      </c>
      <c r="D49" s="57" t="s">
        <v>865</v>
      </c>
      <c r="E49" s="57" t="s">
        <v>880</v>
      </c>
      <c r="F49" s="57" t="s">
        <v>1015</v>
      </c>
      <c r="G49" s="57" t="s">
        <v>1283</v>
      </c>
      <c r="H49" s="57" t="s">
        <v>1283</v>
      </c>
      <c r="I49" s="60">
        <v>45000</v>
      </c>
      <c r="J49" s="51">
        <v>33.11</v>
      </c>
      <c r="K49" s="57">
        <v>2.02</v>
      </c>
      <c r="L49" s="56" t="s">
        <v>1787</v>
      </c>
      <c r="M49" s="49" t="s">
        <v>1795</v>
      </c>
    </row>
    <row r="50" spans="1:13" ht="17.399999999999999" customHeight="1" x14ac:dyDescent="0.25">
      <c r="A50" s="49" t="s">
        <v>1716</v>
      </c>
      <c r="B50" s="50">
        <v>46023</v>
      </c>
      <c r="C50" s="49" t="s">
        <v>1717</v>
      </c>
      <c r="D50" s="57" t="s">
        <v>865</v>
      </c>
      <c r="E50" s="49" t="s">
        <v>866</v>
      </c>
      <c r="F50" s="49" t="s">
        <v>902</v>
      </c>
      <c r="G50" s="49" t="s">
        <v>1366</v>
      </c>
      <c r="H50" s="49" t="s">
        <v>1366</v>
      </c>
      <c r="I50" s="60">
        <v>44060</v>
      </c>
      <c r="J50" s="51">
        <v>28.03</v>
      </c>
      <c r="K50" s="57">
        <v>4.09</v>
      </c>
      <c r="L50" s="56" t="s">
        <v>1787</v>
      </c>
      <c r="M50" s="49" t="s">
        <v>1690</v>
      </c>
    </row>
    <row r="51" spans="1:13" ht="17.399999999999999" customHeight="1" x14ac:dyDescent="0.25">
      <c r="A51" s="61" t="s">
        <v>1773</v>
      </c>
      <c r="B51" s="62">
        <v>46023</v>
      </c>
      <c r="C51" s="61" t="s">
        <v>50</v>
      </c>
      <c r="D51" s="61" t="s">
        <v>125</v>
      </c>
      <c r="E51" s="61" t="s">
        <v>49</v>
      </c>
      <c r="F51" s="61" t="s">
        <v>768</v>
      </c>
      <c r="G51" s="61" t="s">
        <v>47</v>
      </c>
      <c r="H51" s="61" t="s">
        <v>47</v>
      </c>
      <c r="I51" s="62">
        <v>42562</v>
      </c>
      <c r="J51" s="51">
        <v>36.03</v>
      </c>
      <c r="K51" s="61">
        <v>9.0500000000000007</v>
      </c>
      <c r="L51" s="63" t="s">
        <v>1774</v>
      </c>
      <c r="M51" s="61" t="s">
        <v>1775</v>
      </c>
    </row>
    <row r="52" spans="1:13" ht="17.399999999999999" customHeight="1" x14ac:dyDescent="0.25">
      <c r="A52" s="61" t="s">
        <v>84</v>
      </c>
      <c r="B52" s="62">
        <v>46032</v>
      </c>
      <c r="C52" s="61" t="s">
        <v>1720</v>
      </c>
      <c r="D52" s="61" t="s">
        <v>141</v>
      </c>
      <c r="E52" s="61" t="s">
        <v>12</v>
      </c>
      <c r="F52" s="61" t="s">
        <v>18</v>
      </c>
      <c r="G52" s="61" t="s">
        <v>17</v>
      </c>
      <c r="H52" s="61" t="s">
        <v>17</v>
      </c>
      <c r="I52" s="62">
        <v>44703</v>
      </c>
      <c r="J52" s="51">
        <v>25.07</v>
      </c>
      <c r="K52" s="61">
        <v>2.0699999999999998</v>
      </c>
      <c r="L52" s="63" t="s">
        <v>1774</v>
      </c>
      <c r="M52" s="61" t="s">
        <v>1624</v>
      </c>
    </row>
    <row r="53" spans="1:13" ht="17.399999999999999" customHeight="1" x14ac:dyDescent="0.25">
      <c r="A53" s="61" t="s">
        <v>85</v>
      </c>
      <c r="B53" s="62">
        <v>46082</v>
      </c>
      <c r="C53" s="61" t="s">
        <v>1721</v>
      </c>
      <c r="D53" s="61" t="s">
        <v>141</v>
      </c>
      <c r="E53" s="61" t="s">
        <v>12</v>
      </c>
      <c r="F53" s="61" t="s">
        <v>54</v>
      </c>
      <c r="G53" s="61" t="s">
        <v>53</v>
      </c>
      <c r="H53" s="61" t="s">
        <v>142</v>
      </c>
      <c r="I53" s="62">
        <v>46082</v>
      </c>
      <c r="J53" s="51">
        <v>27.08</v>
      </c>
      <c r="K53" s="61">
        <v>5</v>
      </c>
      <c r="L53" s="63" t="s">
        <v>1774</v>
      </c>
      <c r="M53" s="61" t="s">
        <v>1722</v>
      </c>
    </row>
    <row r="54" spans="1:13" ht="17.399999999999999" customHeight="1" x14ac:dyDescent="0.25">
      <c r="A54" s="61" t="s">
        <v>1723</v>
      </c>
      <c r="B54" s="62">
        <v>46082</v>
      </c>
      <c r="C54" s="61" t="s">
        <v>1724</v>
      </c>
      <c r="D54" s="61" t="s">
        <v>141</v>
      </c>
      <c r="E54" s="61" t="s">
        <v>12</v>
      </c>
      <c r="F54" s="61" t="s">
        <v>18</v>
      </c>
      <c r="G54" s="61" t="s">
        <v>17</v>
      </c>
      <c r="H54" s="61" t="s">
        <v>17</v>
      </c>
      <c r="I54" s="62">
        <v>45824</v>
      </c>
      <c r="J54" s="51">
        <v>20.100000000000001</v>
      </c>
      <c r="K54" s="61">
        <v>0.08</v>
      </c>
      <c r="L54" s="64" t="s">
        <v>1776</v>
      </c>
      <c r="M54" s="61" t="s">
        <v>1725</v>
      </c>
    </row>
    <row r="55" spans="1:13" ht="17.399999999999999" customHeight="1" x14ac:dyDescent="0.25">
      <c r="A55" s="61" t="s">
        <v>1726</v>
      </c>
      <c r="B55" s="62">
        <v>46113</v>
      </c>
      <c r="C55" s="61" t="s">
        <v>1727</v>
      </c>
      <c r="D55" s="61" t="s">
        <v>125</v>
      </c>
      <c r="E55" s="61" t="s">
        <v>1728</v>
      </c>
      <c r="F55" s="61" t="s">
        <v>1729</v>
      </c>
      <c r="G55" s="61" t="s">
        <v>1730</v>
      </c>
      <c r="H55" s="61" t="s">
        <v>1730</v>
      </c>
      <c r="I55" s="62">
        <v>44634</v>
      </c>
      <c r="J55" s="51">
        <v>28.05</v>
      </c>
      <c r="K55" s="61">
        <v>4</v>
      </c>
      <c r="L55" s="63" t="s">
        <v>1774</v>
      </c>
      <c r="M55" s="61" t="s">
        <v>1731</v>
      </c>
    </row>
    <row r="56" spans="1:13" ht="17.399999999999999" customHeight="1" x14ac:dyDescent="0.25">
      <c r="A56" s="61" t="s">
        <v>1758</v>
      </c>
      <c r="B56" s="62">
        <v>46143</v>
      </c>
      <c r="C56" s="61" t="s">
        <v>1759</v>
      </c>
      <c r="D56" s="61" t="s">
        <v>141</v>
      </c>
      <c r="E56" s="61" t="s">
        <v>12</v>
      </c>
      <c r="F56" s="61" t="s">
        <v>18</v>
      </c>
      <c r="G56" s="61" t="s">
        <v>17</v>
      </c>
      <c r="H56" s="61" t="s">
        <v>17</v>
      </c>
      <c r="I56" s="62">
        <v>43192</v>
      </c>
      <c r="J56" s="51">
        <v>27.11</v>
      </c>
      <c r="K56" s="61">
        <v>5</v>
      </c>
      <c r="L56" s="63" t="s">
        <v>1774</v>
      </c>
      <c r="M56" s="61" t="s">
        <v>1624</v>
      </c>
    </row>
    <row r="57" spans="1:13" ht="17.399999999999999" customHeight="1" x14ac:dyDescent="0.25">
      <c r="A57" s="61" t="s">
        <v>1760</v>
      </c>
      <c r="B57" s="62">
        <v>46174</v>
      </c>
      <c r="C57" s="61" t="s">
        <v>1761</v>
      </c>
      <c r="D57" s="61" t="s">
        <v>141</v>
      </c>
      <c r="E57" s="61" t="s">
        <v>12</v>
      </c>
      <c r="F57" s="61" t="s">
        <v>18</v>
      </c>
      <c r="G57" s="61" t="s">
        <v>17</v>
      </c>
      <c r="H57" s="61" t="s">
        <v>17</v>
      </c>
      <c r="I57" s="62">
        <v>44326</v>
      </c>
      <c r="J57" s="51">
        <v>32.06</v>
      </c>
      <c r="K57" s="61">
        <v>8</v>
      </c>
      <c r="L57" s="63" t="s">
        <v>1774</v>
      </c>
      <c r="M57" s="61" t="s">
        <v>1722</v>
      </c>
    </row>
    <row r="58" spans="1:13" ht="17.399999999999999" customHeight="1" x14ac:dyDescent="0.25">
      <c r="A58" s="61" t="s">
        <v>1762</v>
      </c>
      <c r="B58" s="62">
        <v>46174</v>
      </c>
      <c r="C58" s="61" t="s">
        <v>1763</v>
      </c>
      <c r="D58" s="61" t="s">
        <v>141</v>
      </c>
      <c r="E58" s="61" t="s">
        <v>12</v>
      </c>
      <c r="F58" s="61" t="s">
        <v>18</v>
      </c>
      <c r="G58" s="61" t="s">
        <v>210</v>
      </c>
      <c r="H58" s="61" t="s">
        <v>211</v>
      </c>
      <c r="I58" s="62">
        <v>45705</v>
      </c>
      <c r="J58" s="51">
        <v>23.07</v>
      </c>
      <c r="K58" s="61">
        <v>1.03</v>
      </c>
      <c r="L58" s="63" t="s">
        <v>1774</v>
      </c>
      <c r="M58" s="61" t="s">
        <v>1624</v>
      </c>
    </row>
    <row r="59" spans="1:13" ht="17.399999999999999" customHeight="1" x14ac:dyDescent="0.25">
      <c r="A59" s="61" t="s">
        <v>1764</v>
      </c>
      <c r="B59" s="62">
        <v>46174</v>
      </c>
      <c r="C59" s="61" t="s">
        <v>1765</v>
      </c>
      <c r="D59" s="61" t="s">
        <v>141</v>
      </c>
      <c r="E59" s="61" t="s">
        <v>12</v>
      </c>
      <c r="F59" s="61" t="s">
        <v>18</v>
      </c>
      <c r="G59" s="61" t="s">
        <v>17</v>
      </c>
      <c r="H59" s="61" t="s">
        <v>17</v>
      </c>
      <c r="I59" s="62">
        <v>45733</v>
      </c>
      <c r="J59" s="51">
        <v>26.07</v>
      </c>
      <c r="K59" s="61">
        <v>1.02</v>
      </c>
      <c r="L59" s="63" t="s">
        <v>1774</v>
      </c>
      <c r="M59" s="61" t="s">
        <v>1722</v>
      </c>
    </row>
    <row r="60" spans="1:13" ht="17.399999999999999" customHeight="1" x14ac:dyDescent="0.25">
      <c r="A60" s="61" t="s">
        <v>1766</v>
      </c>
      <c r="B60" s="62">
        <v>46174</v>
      </c>
      <c r="C60" s="61" t="s">
        <v>1767</v>
      </c>
      <c r="D60" s="61" t="s">
        <v>141</v>
      </c>
      <c r="E60" s="61" t="s">
        <v>12</v>
      </c>
      <c r="F60" s="61" t="s">
        <v>54</v>
      </c>
      <c r="G60" s="61" t="s">
        <v>53</v>
      </c>
      <c r="H60" s="61" t="s">
        <v>142</v>
      </c>
      <c r="I60" s="62">
        <v>46082</v>
      </c>
      <c r="J60" s="51">
        <v>23.04</v>
      </c>
      <c r="K60" s="61">
        <v>0.03</v>
      </c>
      <c r="L60" s="63" t="s">
        <v>1774</v>
      </c>
      <c r="M60" s="61" t="s">
        <v>1624</v>
      </c>
    </row>
    <row r="61" spans="1:13" ht="17.399999999999999" customHeight="1" x14ac:dyDescent="0.25">
      <c r="A61" s="61" t="s">
        <v>1716</v>
      </c>
      <c r="B61" s="62">
        <v>46023</v>
      </c>
      <c r="C61" s="61" t="s">
        <v>1777</v>
      </c>
      <c r="D61" s="61" t="s">
        <v>865</v>
      </c>
      <c r="E61" s="61" t="s">
        <v>866</v>
      </c>
      <c r="F61" s="61" t="s">
        <v>902</v>
      </c>
      <c r="G61" s="61" t="s">
        <v>1366</v>
      </c>
      <c r="H61" s="61" t="s">
        <v>1366</v>
      </c>
      <c r="I61" s="62">
        <v>44060</v>
      </c>
      <c r="J61" s="51">
        <v>28.03</v>
      </c>
      <c r="K61" s="61">
        <v>5.04</v>
      </c>
      <c r="L61" s="63" t="s">
        <v>1774</v>
      </c>
      <c r="M61" s="61" t="s">
        <v>1778</v>
      </c>
    </row>
    <row r="62" spans="1:13" ht="17.399999999999999" customHeight="1" x14ac:dyDescent="0.25">
      <c r="A62" s="61" t="s">
        <v>1732</v>
      </c>
      <c r="B62" s="62">
        <v>46054</v>
      </c>
      <c r="C62" s="61" t="s">
        <v>1733</v>
      </c>
      <c r="D62" s="61" t="s">
        <v>865</v>
      </c>
      <c r="E62" s="61" t="s">
        <v>866</v>
      </c>
      <c r="F62" s="61" t="s">
        <v>867</v>
      </c>
      <c r="G62" s="61" t="s">
        <v>1031</v>
      </c>
      <c r="H62" s="61" t="s">
        <v>1140</v>
      </c>
      <c r="I62" s="62">
        <v>44823</v>
      </c>
      <c r="J62" s="51">
        <v>30.01</v>
      </c>
      <c r="K62" s="61">
        <v>3.03</v>
      </c>
      <c r="L62" s="63" t="s">
        <v>1774</v>
      </c>
      <c r="M62" s="61" t="s">
        <v>1734</v>
      </c>
    </row>
    <row r="63" spans="1:13" ht="17.399999999999999" customHeight="1" x14ac:dyDescent="0.25">
      <c r="A63" s="61" t="s">
        <v>1735</v>
      </c>
      <c r="B63" s="62">
        <v>46054</v>
      </c>
      <c r="C63" s="61" t="s">
        <v>1736</v>
      </c>
      <c r="D63" s="61" t="s">
        <v>865</v>
      </c>
      <c r="E63" s="61" t="s">
        <v>866</v>
      </c>
      <c r="F63" s="61" t="s">
        <v>915</v>
      </c>
      <c r="G63" s="61" t="s">
        <v>1101</v>
      </c>
      <c r="H63" s="61" t="s">
        <v>1101</v>
      </c>
      <c r="I63" s="62">
        <v>45587</v>
      </c>
      <c r="J63" s="51">
        <v>24.06</v>
      </c>
      <c r="K63" s="61">
        <v>1.02</v>
      </c>
      <c r="L63" s="63" t="s">
        <v>1774</v>
      </c>
      <c r="M63" s="61" t="s">
        <v>1734</v>
      </c>
    </row>
    <row r="64" spans="1:13" ht="17.399999999999999" customHeight="1" x14ac:dyDescent="0.25">
      <c r="A64" s="61" t="s">
        <v>1737</v>
      </c>
      <c r="B64" s="62">
        <v>46063</v>
      </c>
      <c r="C64" s="61" t="s">
        <v>1738</v>
      </c>
      <c r="D64" s="61" t="s">
        <v>865</v>
      </c>
      <c r="E64" s="61" t="s">
        <v>866</v>
      </c>
      <c r="F64" s="61" t="s">
        <v>867</v>
      </c>
      <c r="G64" s="61" t="s">
        <v>1031</v>
      </c>
      <c r="H64" s="61" t="s">
        <v>1140</v>
      </c>
      <c r="I64" s="62">
        <v>44669</v>
      </c>
      <c r="J64" s="51">
        <v>31.01</v>
      </c>
      <c r="K64" s="61">
        <v>3.08</v>
      </c>
      <c r="L64" s="63" t="s">
        <v>1774</v>
      </c>
      <c r="M64" s="61" t="s">
        <v>1739</v>
      </c>
    </row>
    <row r="65" spans="1:13" ht="17.399999999999999" customHeight="1" x14ac:dyDescent="0.25">
      <c r="A65" s="61" t="s">
        <v>1740</v>
      </c>
      <c r="B65" s="62">
        <v>46066</v>
      </c>
      <c r="C65" s="61" t="s">
        <v>1741</v>
      </c>
      <c r="D65" s="61" t="s">
        <v>865</v>
      </c>
      <c r="E65" s="61" t="s">
        <v>866</v>
      </c>
      <c r="F65" s="61" t="s">
        <v>915</v>
      </c>
      <c r="G65" s="61" t="s">
        <v>916</v>
      </c>
      <c r="H65" s="61" t="s">
        <v>916</v>
      </c>
      <c r="I65" s="62">
        <v>44839</v>
      </c>
      <c r="J65" s="51">
        <v>28.05</v>
      </c>
      <c r="K65" s="61">
        <v>3.03</v>
      </c>
      <c r="L65" s="63" t="s">
        <v>1774</v>
      </c>
      <c r="M65" s="61" t="s">
        <v>1624</v>
      </c>
    </row>
    <row r="66" spans="1:13" ht="17.399999999999999" customHeight="1" x14ac:dyDescent="0.25">
      <c r="A66" s="61" t="s">
        <v>1742</v>
      </c>
      <c r="B66" s="62">
        <v>46072</v>
      </c>
      <c r="C66" s="61" t="s">
        <v>1743</v>
      </c>
      <c r="D66" s="61" t="s">
        <v>865</v>
      </c>
      <c r="E66" s="61" t="s">
        <v>866</v>
      </c>
      <c r="F66" s="61" t="s">
        <v>867</v>
      </c>
      <c r="G66" s="61" t="s">
        <v>892</v>
      </c>
      <c r="H66" s="61" t="s">
        <v>1188</v>
      </c>
      <c r="I66" s="62">
        <v>41975</v>
      </c>
      <c r="J66" s="51">
        <v>31.03</v>
      </c>
      <c r="K66" s="61">
        <v>11.01</v>
      </c>
      <c r="L66" s="63" t="s">
        <v>1774</v>
      </c>
      <c r="M66" s="61" t="s">
        <v>1624</v>
      </c>
    </row>
    <row r="67" spans="1:13" ht="17.399999999999999" customHeight="1" x14ac:dyDescent="0.25">
      <c r="A67" s="61" t="s">
        <v>1744</v>
      </c>
      <c r="B67" s="62">
        <v>46099</v>
      </c>
      <c r="C67" s="61" t="s">
        <v>1745</v>
      </c>
      <c r="D67" s="61" t="s">
        <v>865</v>
      </c>
      <c r="E67" s="61" t="s">
        <v>866</v>
      </c>
      <c r="F67" s="61" t="s">
        <v>867</v>
      </c>
      <c r="G67" s="61" t="s">
        <v>1031</v>
      </c>
      <c r="H67" s="61" t="s">
        <v>1140</v>
      </c>
      <c r="I67" s="62">
        <v>44977</v>
      </c>
      <c r="J67" s="51">
        <v>27.07</v>
      </c>
      <c r="K67" s="61">
        <v>2.09</v>
      </c>
      <c r="L67" s="63" t="s">
        <v>1774</v>
      </c>
      <c r="M67" s="61" t="s">
        <v>1746</v>
      </c>
    </row>
    <row r="68" spans="1:13" ht="17.399999999999999" customHeight="1" x14ac:dyDescent="0.25">
      <c r="A68" s="61" t="s">
        <v>1747</v>
      </c>
      <c r="B68" s="62">
        <v>46109</v>
      </c>
      <c r="C68" s="61" t="s">
        <v>1748</v>
      </c>
      <c r="D68" s="61" t="s">
        <v>865</v>
      </c>
      <c r="E68" s="61" t="s">
        <v>67</v>
      </c>
      <c r="F68" s="61" t="s">
        <v>66</v>
      </c>
      <c r="G68" s="61" t="s">
        <v>65</v>
      </c>
      <c r="H68" s="61" t="s">
        <v>65</v>
      </c>
      <c r="I68" s="62">
        <v>46054</v>
      </c>
      <c r="J68" s="51">
        <v>20.04</v>
      </c>
      <c r="K68" s="61">
        <v>0.01</v>
      </c>
      <c r="L68" s="63" t="s">
        <v>1774</v>
      </c>
      <c r="M68" s="61" t="s">
        <v>1613</v>
      </c>
    </row>
    <row r="69" spans="1:13" ht="17.399999999999999" customHeight="1" x14ac:dyDescent="0.25">
      <c r="A69" s="61" t="s">
        <v>1749</v>
      </c>
      <c r="B69" s="62">
        <v>46113</v>
      </c>
      <c r="C69" s="61" t="s">
        <v>1750</v>
      </c>
      <c r="D69" s="61" t="s">
        <v>865</v>
      </c>
      <c r="E69" s="61" t="s">
        <v>866</v>
      </c>
      <c r="F69" s="61" t="s">
        <v>915</v>
      </c>
      <c r="G69" s="61" t="s">
        <v>1052</v>
      </c>
      <c r="H69" s="61" t="s">
        <v>1210</v>
      </c>
      <c r="I69" s="62">
        <v>45978</v>
      </c>
      <c r="J69" s="51">
        <v>26.01</v>
      </c>
      <c r="K69" s="61">
        <v>0.04</v>
      </c>
      <c r="L69" s="63" t="s">
        <v>1774</v>
      </c>
      <c r="M69" s="61" t="s">
        <v>1734</v>
      </c>
    </row>
    <row r="70" spans="1:13" ht="17.399999999999999" customHeight="1" x14ac:dyDescent="0.25">
      <c r="A70" s="61" t="s">
        <v>1751</v>
      </c>
      <c r="B70" s="62">
        <v>46117</v>
      </c>
      <c r="C70" s="61" t="s">
        <v>1752</v>
      </c>
      <c r="D70" s="61" t="s">
        <v>865</v>
      </c>
      <c r="E70" s="61" t="s">
        <v>67</v>
      </c>
      <c r="F70" s="61" t="s">
        <v>66</v>
      </c>
      <c r="G70" s="61" t="s">
        <v>1548</v>
      </c>
      <c r="H70" s="61" t="s">
        <v>1548</v>
      </c>
      <c r="I70" s="62">
        <v>45663</v>
      </c>
      <c r="J70" s="51">
        <v>24.03</v>
      </c>
      <c r="K70" s="61">
        <v>1.04</v>
      </c>
      <c r="L70" s="63" t="s">
        <v>1774</v>
      </c>
      <c r="M70" s="61" t="s">
        <v>1753</v>
      </c>
    </row>
    <row r="71" spans="1:13" ht="17.399999999999999" customHeight="1" x14ac:dyDescent="0.25">
      <c r="A71" s="61" t="s">
        <v>1780</v>
      </c>
      <c r="B71" s="62">
        <v>46137</v>
      </c>
      <c r="C71" s="61" t="s">
        <v>1781</v>
      </c>
      <c r="D71" s="61" t="s">
        <v>865</v>
      </c>
      <c r="E71" s="61" t="s">
        <v>866</v>
      </c>
      <c r="F71" s="61" t="s">
        <v>902</v>
      </c>
      <c r="G71" s="61" t="s">
        <v>927</v>
      </c>
      <c r="H71" s="61" t="s">
        <v>928</v>
      </c>
      <c r="I71" s="62">
        <v>44844</v>
      </c>
      <c r="J71" s="51">
        <v>28.01</v>
      </c>
      <c r="K71" s="61">
        <v>3.02</v>
      </c>
      <c r="L71" s="63" t="s">
        <v>1774</v>
      </c>
      <c r="M71" s="61" t="s">
        <v>1778</v>
      </c>
    </row>
    <row r="72" spans="1:13" ht="17.399999999999999" customHeight="1" x14ac:dyDescent="0.25">
      <c r="A72" s="61" t="s">
        <v>1782</v>
      </c>
      <c r="B72" s="62">
        <v>46143</v>
      </c>
      <c r="C72" s="61" t="s">
        <v>1783</v>
      </c>
      <c r="D72" s="61" t="s">
        <v>865</v>
      </c>
      <c r="E72" s="61" t="s">
        <v>866</v>
      </c>
      <c r="F72" s="61" t="s">
        <v>902</v>
      </c>
      <c r="G72" s="61" t="s">
        <v>952</v>
      </c>
      <c r="H72" s="61" t="s">
        <v>978</v>
      </c>
      <c r="I72" s="62">
        <v>44606</v>
      </c>
      <c r="J72" s="51">
        <v>35.06</v>
      </c>
      <c r="K72" s="61">
        <v>3.1</v>
      </c>
      <c r="L72" s="63" t="s">
        <v>1774</v>
      </c>
      <c r="M72" s="61" t="s">
        <v>1613</v>
      </c>
    </row>
    <row r="73" spans="1:13" ht="17.399999999999999" customHeight="1" x14ac:dyDescent="0.25">
      <c r="A73" s="61" t="s">
        <v>1754</v>
      </c>
      <c r="B73" s="62">
        <v>46143</v>
      </c>
      <c r="C73" s="61" t="s">
        <v>1755</v>
      </c>
      <c r="D73" s="61" t="s">
        <v>865</v>
      </c>
      <c r="E73" s="61" t="s">
        <v>866</v>
      </c>
      <c r="F73" s="61" t="s">
        <v>867</v>
      </c>
      <c r="G73" s="61" t="s">
        <v>892</v>
      </c>
      <c r="H73" s="61" t="s">
        <v>893</v>
      </c>
      <c r="I73" s="62">
        <v>44711</v>
      </c>
      <c r="J73" s="51">
        <v>31.04</v>
      </c>
      <c r="K73" s="61">
        <v>3.07</v>
      </c>
      <c r="L73" s="63" t="s">
        <v>1774</v>
      </c>
      <c r="M73" s="61" t="s">
        <v>1624</v>
      </c>
    </row>
    <row r="74" spans="1:13" ht="17.399999999999999" customHeight="1" x14ac:dyDescent="0.25">
      <c r="A74" s="61" t="s">
        <v>1756</v>
      </c>
      <c r="B74" s="62">
        <v>46155</v>
      </c>
      <c r="C74" s="61" t="s">
        <v>1757</v>
      </c>
      <c r="D74" s="61" t="s">
        <v>865</v>
      </c>
      <c r="E74" s="61" t="s">
        <v>67</v>
      </c>
      <c r="F74" s="61" t="s">
        <v>66</v>
      </c>
      <c r="G74" s="61" t="s">
        <v>65</v>
      </c>
      <c r="H74" s="61" t="s">
        <v>65</v>
      </c>
      <c r="I74" s="62">
        <v>44972</v>
      </c>
      <c r="J74" s="51">
        <v>28</v>
      </c>
      <c r="K74" s="61">
        <v>3.03</v>
      </c>
      <c r="L74" s="63" t="s">
        <v>1774</v>
      </c>
      <c r="M74" s="61" t="s">
        <v>1624</v>
      </c>
    </row>
    <row r="75" spans="1:13" x14ac:dyDescent="0.45">
      <c r="A75" s="65" t="s">
        <v>849</v>
      </c>
      <c r="B75" s="66">
        <v>46204</v>
      </c>
      <c r="C75" s="65" t="s">
        <v>850</v>
      </c>
      <c r="D75" s="65" t="s">
        <v>125</v>
      </c>
      <c r="E75" s="65" t="s">
        <v>49</v>
      </c>
      <c r="F75" s="65" t="s">
        <v>48</v>
      </c>
      <c r="G75" s="65" t="s">
        <v>47</v>
      </c>
      <c r="H75" s="65" t="s">
        <v>47</v>
      </c>
      <c r="I75" s="66">
        <v>46174</v>
      </c>
      <c r="J75" s="65">
        <v>28.1</v>
      </c>
      <c r="K75" s="65">
        <v>0.01</v>
      </c>
      <c r="L75" s="65" t="s">
        <v>1840</v>
      </c>
    </row>
    <row r="76" spans="1:13" x14ac:dyDescent="0.45">
      <c r="A76" s="65" t="s">
        <v>1088</v>
      </c>
      <c r="B76" s="66">
        <v>46204</v>
      </c>
      <c r="C76" s="65" t="s">
        <v>1089</v>
      </c>
      <c r="D76" s="65" t="s">
        <v>865</v>
      </c>
      <c r="E76" s="65" t="s">
        <v>866</v>
      </c>
      <c r="F76" s="65" t="s">
        <v>902</v>
      </c>
      <c r="G76" s="65" t="s">
        <v>903</v>
      </c>
      <c r="H76" s="65" t="s">
        <v>1077</v>
      </c>
      <c r="I76" s="66">
        <v>44585</v>
      </c>
      <c r="J76" s="65">
        <v>4.05</v>
      </c>
      <c r="K76" s="67" t="s">
        <v>1774</v>
      </c>
      <c r="L76" s="65" t="s">
        <v>1613</v>
      </c>
    </row>
  </sheetData>
  <autoFilter ref="A1:M74" xr:uid="{EF1509B5-A42C-4311-9169-EDDC52287E8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DF02-304F-44BC-A064-6D88D15ACD15}">
  <dimension ref="N2:AB20"/>
  <sheetViews>
    <sheetView topLeftCell="M1" workbookViewId="0">
      <selection activeCell="O17" sqref="O17"/>
    </sheetView>
  </sheetViews>
  <sheetFormatPr defaultColWidth="7.796875" defaultRowHeight="13.8" x14ac:dyDescent="0.25"/>
  <cols>
    <col min="1" max="1" width="2.69921875" customWidth="1"/>
    <col min="2" max="13" width="8.09765625" customWidth="1"/>
    <col min="14" max="14" width="18.09765625" customWidth="1"/>
    <col min="15" max="15" width="16.5" customWidth="1"/>
    <col min="16" max="16" width="18" customWidth="1"/>
    <col min="17" max="17" width="9.8984375" customWidth="1"/>
    <col min="18" max="22" width="17.69921875" customWidth="1"/>
    <col min="23" max="23" width="9.8984375" customWidth="1"/>
    <col min="24" max="28" width="20.09765625" customWidth="1"/>
    <col min="29" max="29" width="4.5" customWidth="1"/>
    <col min="30" max="32" width="9" customWidth="1"/>
  </cols>
  <sheetData>
    <row r="2" spans="16:28" ht="21" x14ac:dyDescent="0.25">
      <c r="Q2" s="40">
        <v>2025</v>
      </c>
      <c r="R2" s="40"/>
      <c r="S2" s="40"/>
      <c r="T2" s="40"/>
      <c r="U2" s="40"/>
      <c r="V2" s="40"/>
      <c r="W2" s="41">
        <v>2026</v>
      </c>
      <c r="X2" s="41"/>
      <c r="Y2" s="41"/>
      <c r="Z2" s="41"/>
      <c r="AA2" s="41"/>
      <c r="AB2" s="41"/>
    </row>
    <row r="3" spans="16:28" ht="24" x14ac:dyDescent="0.25">
      <c r="P3" s="17" t="s">
        <v>859</v>
      </c>
      <c r="Q3" s="17" t="s">
        <v>1804</v>
      </c>
      <c r="R3" s="17" t="s">
        <v>1805</v>
      </c>
      <c r="S3" s="17" t="s">
        <v>1806</v>
      </c>
      <c r="T3" s="17" t="s">
        <v>1807</v>
      </c>
      <c r="U3" s="17" t="s">
        <v>1808</v>
      </c>
      <c r="V3" s="17" t="s">
        <v>1809</v>
      </c>
      <c r="W3" s="17" t="s">
        <v>1810</v>
      </c>
      <c r="X3" s="17" t="s">
        <v>1811</v>
      </c>
      <c r="Y3" s="17" t="s">
        <v>1806</v>
      </c>
      <c r="Z3" s="17" t="s">
        <v>1807</v>
      </c>
      <c r="AA3" s="17" t="s">
        <v>1808</v>
      </c>
      <c r="AB3" s="17" t="s">
        <v>1812</v>
      </c>
    </row>
    <row r="4" spans="16:28" x14ac:dyDescent="0.25">
      <c r="P4" s="18" t="s">
        <v>1813</v>
      </c>
      <c r="Q4" s="19">
        <f>'[1]Turnover 2025'!B4+'[1]Turnover 2025'!J4+'[1]Turnover 2025'!R4+'[1]Turnover 2025'!Z4+'[1]Turnover 2025'!AH4+'[1]Turnover 2025'!AP4+'[1]Turnover 2025'!AX4+'[1]Turnover 2025'!BF4+'[1]Turnover 2025'!BN4+'[1]Turnover 2025'!BV4+'[1]Turnover 2025'!CD4+'[1]Turnover 2025'!CL4+'[1]Turnover 2025'!CT4+'[1]Turnover 2025'!DB4+'[1]Turnover 2025'!DJ4+'[1]Turnover 2025'!DR4+'[1]Turnover 2025'!DZ4+'[1]Turnover 2025'!EH4+'[1]Turnover 2025'!EP4+'[1]Turnover 2025'!EX4+'[1]Turnover 2025'!FF4+'[1]Turnover 2025'!FN4+'[1]Turnover 2025'!FV4+'[1]Turnover 2025'!GD4+'[1]Turnover 2025'!GL4+'[1]Turnover 2025'!GT4+'[1]Turnover 2025'!HB4+'[1]Turnover 2025'!HJ4+'[1]Turnover 2025'!HR4+'[1]Turnover 2025'!HZ4+'[1]Turnover 2025'!IH4+'[1]Turnover 2025'!IP4</f>
        <v>18</v>
      </c>
      <c r="R4" s="19">
        <f>IF(ISNUMBER('[1]Turnover 2025'!C4),'[1]Turnover 2025'!C4,0)+IF(ISNUMBER('[1]Turnover 2025'!K4),'[1]Turnover 2025'!K4,0)+IF(ISNUMBER('[1]Turnover 2025'!S4),'[1]Turnover 2025'!S4,0)+IF(ISNUMBER('[1]Turnover 2025'!AA4),'[1]Turnover 2025'!AA4,0)+IF(ISNUMBER('[1]Turnover 2025'!AI4),'[1]Turnover 2025'!AI4,0)+IF(ISNUMBER('[1]Turnover 2025'!AQ4),'[1]Turnover 2025'!AQ4,0)+IF(ISNUMBER('[1]Turnover 2025'!AY4),'[1]Turnover 2025'!AY4,0)+IF(ISNUMBER('[1]Turnover 2025'!BG4),'[1]Turnover 2025'!BG4,0)+IF(ISNUMBER('[1]Turnover 2025'!BO4),'[1]Turnover 2025'!BO4,0)+IF(ISNUMBER('[1]Turnover 2025'!BW4),'[1]Turnover 2025'!BW4,0)+IF(ISNUMBER('[1]Turnover 2025'!CE4),'[1]Turnover 2025'!CE4,0)+IF(ISNUMBER('[1]Turnover 2025'!CM4),'[1]Turnover 2025'!CM4,0)+IF(ISNUMBER('[1]Turnover 2025'!CU4),'[1]Turnover 2025'!CU4,0)+IF(ISNUMBER('[1]Turnover 2025'!DC4),'[1]Turnover 2025'!DC4,0)+IF(ISNUMBER('[1]Turnover 2025'!DK4),'[1]Turnover 2025'!DK4,0)+IF(ISNUMBER('[1]Turnover 2025'!DS4),'[1]Turnover 2025'!DS4,0)+IF(ISNUMBER('[1]Turnover 2025'!EA4),'[1]Turnover 2025'!EA4,0)+IF(ISNUMBER('[1]Turnover 2025'!EI4),'[1]Turnover 2025'!EI4,0)+IF(ISNUMBER('[1]Turnover 2025'!EQ4),'[1]Turnover 2025'!EQ4,0)+IF(ISNUMBER('[1]Turnover 2025'!EY4),'[1]Turnover 2025'!EY4,0)+IF(ISNUMBER('[1]Turnover 2025'!FG4),'[1]Turnover 2025'!FG4,0)+IF(ISNUMBER('[1]Turnover 2025'!FO4),'[1]Turnover 2025'!FO4,0)+IF(ISNUMBER('[1]Turnover 2025'!FW4),'[1]Turnover 2025'!FW4,0)+IF(ISNUMBER('[1]Turnover 2025'!GE4),'[1]Turnover 2025'!GE4,0)+IF(ISNUMBER('[1]Turnover 2025'!GM4),'[1]Turnover 2025'!GM4,0)+IF(ISNUMBER('[1]Turnover 2025'!GU4),'[1]Turnover 2025'!GU4,0)+IF(ISNUMBER('[1]Turnover 2025'!HC4),'[1]Turnover 2025'!HC4,0)+IF(ISNUMBER('[1]Turnover 2025'!HK4),'[1]Turnover 2025'!HK4,0)+IF(ISNUMBER('[1]Turnover 2025'!HS4),'[1]Turnover 2025'!HS4,0)+IF(ISNUMBER('[1]Turnover 2025'!IA4),'[1]Turnover 2025'!IA4,0)+IF(ISNUMBER('[1]Turnover 2025'!II4),'[1]Turnover 2025'!II4,0)+IF(ISNUMBER('[1]Turnover 2025'!IQ4),'[1]Turnover 2025'!IQ4,0)</f>
        <v>216</v>
      </c>
      <c r="S4" s="20">
        <f t="shared" ref="S4:S15" si="0">Q4/R4</f>
        <v>8.3333333333333329E-2</v>
      </c>
      <c r="T4" s="19">
        <f>SUM($Q$4:Q4)</f>
        <v>18</v>
      </c>
      <c r="U4" s="19">
        <f>AVERAGE($R$4:R4)</f>
        <v>216</v>
      </c>
      <c r="V4" s="20">
        <f t="shared" ref="V4:V15" si="1">T4/U4</f>
        <v>8.3333333333333329E-2</v>
      </c>
      <c r="W4" s="21">
        <f>'[1]Turnover 2026'!B4+'[1]Turnover 2026'!J4+'[1]Turnover 2026'!R4+'[1]Turnover 2026'!Z4+'[1]Turnover 2026'!AH4+'[1]Turnover 2026'!AP4+'[1]Turnover 2026'!AX4+'[1]Turnover 2026'!BF4+'[1]Turnover 2026'!BN4+'[1]Turnover 2026'!BV4+'[1]Turnover 2026'!CD4+'[1]Turnover 2026'!CL4+'[1]Turnover 2026'!CT4+'[1]Turnover 2026'!DB4+'[1]Turnover 2026'!DJ4+'[1]Turnover 2026'!DR4+'[1]Turnover 2026'!DZ4+'[1]Turnover 2026'!EH4+'[1]Turnover 2026'!EP4+'[1]Turnover 2026'!EX4+'[1]Turnover 2026'!FF4+'[1]Turnover 2026'!FN4+'[1]Turnover 2026'!FV4+'[1]Turnover 2026'!GD4+'[1]Turnover 2026'!GL4+'[1]Turnover 2026'!GT4+'[1]Turnover 2026'!HB4+'[1]Turnover 2026'!HJ4+'[1]Turnover 2026'!HR4+'[1]Turnover 2026'!HZ4+'[1]Turnover 2026'!IH4+'[1]Turnover 2026'!IP4</f>
        <v>5</v>
      </c>
      <c r="X4" s="21">
        <f>IF(ISNUMBER('[1]Turnover 2026'!C4),'[1]Turnover 2026'!C4,0)+IF(ISNUMBER('[1]Turnover 2026'!K4),'[1]Turnover 2026'!K4,0)+IF(ISNUMBER('[1]Turnover 2026'!S4),'[1]Turnover 2026'!S4,0)+IF(ISNUMBER('[1]Turnover 2026'!AA4),'[1]Turnover 2026'!AA4,0)+IF(ISNUMBER('[1]Turnover 2026'!AI4),'[1]Turnover 2026'!AI4,0)+IF(ISNUMBER('[1]Turnover 2026'!AQ4),'[1]Turnover 2026'!AQ4,0)+IF(ISNUMBER('[1]Turnover 2026'!AY4),'[1]Turnover 2026'!AY4,0)+IF(ISNUMBER('[1]Turnover 2026'!BG4),'[1]Turnover 2026'!BG4,0)+IF(ISNUMBER('[1]Turnover 2026'!BO4),'[1]Turnover 2026'!BO4,0)+IF(ISNUMBER('[1]Turnover 2026'!BW4),'[1]Turnover 2026'!BW4,0)+IF(ISNUMBER('[1]Turnover 2026'!CE4),'[1]Turnover 2026'!CE4,0)+IF(ISNUMBER('[1]Turnover 2026'!CM4),'[1]Turnover 2026'!CM4,0)+IF(ISNUMBER('[1]Turnover 2026'!CU4),'[1]Turnover 2026'!CU4,0)+IF(ISNUMBER('[1]Turnover 2026'!DC4),'[1]Turnover 2026'!DC4,0)+IF(ISNUMBER('[1]Turnover 2026'!DK4),'[1]Turnover 2026'!DK4,0)+IF(ISNUMBER('[1]Turnover 2026'!DS4),'[1]Turnover 2026'!DS4,0)+IF(ISNUMBER('[1]Turnover 2026'!EA4),'[1]Turnover 2026'!EA4,0)+IF(ISNUMBER('[1]Turnover 2026'!EI4),'[1]Turnover 2026'!EI4,0)+IF(ISNUMBER('[1]Turnover 2026'!EQ4),'[1]Turnover 2026'!EQ4,0)+IF(ISNUMBER('[1]Turnover 2026'!EY4),'[1]Turnover 2026'!EY4,0)+IF(ISNUMBER('[1]Turnover 2026'!FG4),'[1]Turnover 2026'!FG4,0)+IF(ISNUMBER('[1]Turnover 2026'!FO4),'[1]Turnover 2026'!FO4,0)+IF(ISNUMBER('[1]Turnover 2026'!FW4),'[1]Turnover 2026'!FW4,0)+IF(ISNUMBER('[1]Turnover 2026'!GE4),'[1]Turnover 2026'!GE4,0)+IF(ISNUMBER('[1]Turnover 2026'!GM4),'[1]Turnover 2026'!GM4,0)+IF(ISNUMBER('[1]Turnover 2026'!GU4),'[1]Turnover 2026'!GU4,0)+IF(ISNUMBER('[1]Turnover 2026'!HC4),'[1]Turnover 2026'!HC4,0)+IF(ISNUMBER('[1]Turnover 2026'!HK4),'[1]Turnover 2026'!HK4,0)+IF(ISNUMBER('[1]Turnover 2026'!HS4),'[1]Turnover 2026'!HS4,0)+IF(ISNUMBER('[1]Turnover 2026'!IA4),'[1]Turnover 2026'!IA4,0)+IF(ISNUMBER('[1]Turnover 2026'!II4),'[1]Turnover 2026'!II4,0)+IF(ISNUMBER('[1]Turnover 2026'!IQ4),'[1]Turnover 2026'!IQ4,0)</f>
        <v>199</v>
      </c>
      <c r="Y4" s="22">
        <f t="shared" ref="Y4:Y9" si="2">W4/X4</f>
        <v>2.5125628140703519E-2</v>
      </c>
      <c r="Z4" s="21">
        <f>SUM($W$4:W4)</f>
        <v>5</v>
      </c>
      <c r="AA4" s="19">
        <f>AVERAGE($X$4:X4)</f>
        <v>199</v>
      </c>
      <c r="AB4" s="20">
        <f t="shared" ref="AB4:AB9" si="3">Z4/AA4</f>
        <v>2.5125628140703519E-2</v>
      </c>
    </row>
    <row r="5" spans="16:28" x14ac:dyDescent="0.25">
      <c r="P5" s="23" t="s">
        <v>1814</v>
      </c>
      <c r="Q5" s="24">
        <f>'[1]Turnover 2025'!B5+'[1]Turnover 2025'!J5+'[1]Turnover 2025'!R5+'[1]Turnover 2025'!Z5+'[1]Turnover 2025'!AH5+'[1]Turnover 2025'!AP5+'[1]Turnover 2025'!AX5+'[1]Turnover 2025'!BF5+'[1]Turnover 2025'!BN5+'[1]Turnover 2025'!BV5+'[1]Turnover 2025'!CD5+'[1]Turnover 2025'!CL5+'[1]Turnover 2025'!CT5+'[1]Turnover 2025'!DB5+'[1]Turnover 2025'!DJ5+'[1]Turnover 2025'!DR5+'[1]Turnover 2025'!DZ5+'[1]Turnover 2025'!EH5+'[1]Turnover 2025'!EP5+'[1]Turnover 2025'!EX5+'[1]Turnover 2025'!FF5+'[1]Turnover 2025'!FN5+'[1]Turnover 2025'!FV5+'[1]Turnover 2025'!GD5+'[1]Turnover 2025'!GL5+'[1]Turnover 2025'!GT5+'[1]Turnover 2025'!HB5+'[1]Turnover 2025'!HJ5+'[1]Turnover 2025'!HR5+'[1]Turnover 2025'!HZ5+'[1]Turnover 2025'!IH5+'[1]Turnover 2025'!IP5</f>
        <v>2</v>
      </c>
      <c r="R5" s="24">
        <f>IF(ISNUMBER('[1]Turnover 2025'!C5),'[1]Turnover 2025'!C5,0)+IF(ISNUMBER('[1]Turnover 2025'!K5),'[1]Turnover 2025'!K5,0)+IF(ISNUMBER('[1]Turnover 2025'!S5),'[1]Turnover 2025'!S5,0)+IF(ISNUMBER('[1]Turnover 2025'!AA5),'[1]Turnover 2025'!AA5,0)+IF(ISNUMBER('[1]Turnover 2025'!AI5),'[1]Turnover 2025'!AI5,0)+IF(ISNUMBER('[1]Turnover 2025'!AQ5),'[1]Turnover 2025'!AQ5,0)+IF(ISNUMBER('[1]Turnover 2025'!AY5),'[1]Turnover 2025'!AY5,0)+IF(ISNUMBER('[1]Turnover 2025'!BG5),'[1]Turnover 2025'!BG5,0)+IF(ISNUMBER('[1]Turnover 2025'!BO5),'[1]Turnover 2025'!BO5,0)+IF(ISNUMBER('[1]Turnover 2025'!BW5),'[1]Turnover 2025'!BW5,0)+IF(ISNUMBER('[1]Turnover 2025'!CE5),'[1]Turnover 2025'!CE5,0)+IF(ISNUMBER('[1]Turnover 2025'!CM5),'[1]Turnover 2025'!CM5,0)+IF(ISNUMBER('[1]Turnover 2025'!CU5),'[1]Turnover 2025'!CU5,0)+IF(ISNUMBER('[1]Turnover 2025'!DC5),'[1]Turnover 2025'!DC5,0)+IF(ISNUMBER('[1]Turnover 2025'!DK5),'[1]Turnover 2025'!DK5,0)+IF(ISNUMBER('[1]Turnover 2025'!DS5),'[1]Turnover 2025'!DS5,0)+IF(ISNUMBER('[1]Turnover 2025'!EA5),'[1]Turnover 2025'!EA5,0)+IF(ISNUMBER('[1]Turnover 2025'!EI5),'[1]Turnover 2025'!EI5,0)+IF(ISNUMBER('[1]Turnover 2025'!EQ5),'[1]Turnover 2025'!EQ5,0)+IF(ISNUMBER('[1]Turnover 2025'!EY5),'[1]Turnover 2025'!EY5,0)+IF(ISNUMBER('[1]Turnover 2025'!FG5),'[1]Turnover 2025'!FG5,0)+IF(ISNUMBER('[1]Turnover 2025'!FO5),'[1]Turnover 2025'!FO5,0)+IF(ISNUMBER('[1]Turnover 2025'!FW5),'[1]Turnover 2025'!FW5,0)+IF(ISNUMBER('[1]Turnover 2025'!GE5),'[1]Turnover 2025'!GE5,0)+IF(ISNUMBER('[1]Turnover 2025'!GM5),'[1]Turnover 2025'!GM5,0)+IF(ISNUMBER('[1]Turnover 2025'!GU5),'[1]Turnover 2025'!GU5,0)+IF(ISNUMBER('[1]Turnover 2025'!HC5),'[1]Turnover 2025'!HC5,0)+IF(ISNUMBER('[1]Turnover 2025'!HK5),'[1]Turnover 2025'!HK5,0)+IF(ISNUMBER('[1]Turnover 2025'!HS5),'[1]Turnover 2025'!HS5,0)+IF(ISNUMBER('[1]Turnover 2025'!IA5),'[1]Turnover 2025'!IA5,0)+IF(ISNUMBER('[1]Turnover 2025'!II5),'[1]Turnover 2025'!II5,0)+IF(ISNUMBER('[1]Turnover 2025'!IQ5),'[1]Turnover 2025'!IQ5,0)</f>
        <v>218</v>
      </c>
      <c r="S5" s="20">
        <f t="shared" si="0"/>
        <v>9.1743119266055051E-3</v>
      </c>
      <c r="T5" s="19">
        <f>SUM($Q$4:Q5)</f>
        <v>20</v>
      </c>
      <c r="U5" s="19">
        <f>AVERAGE($R$4:R5)</f>
        <v>217</v>
      </c>
      <c r="V5" s="20">
        <f t="shared" si="1"/>
        <v>9.2165898617511524E-2</v>
      </c>
      <c r="W5" s="25">
        <f>'[1]Turnover 2026'!B5+'[1]Turnover 2026'!J5+'[1]Turnover 2026'!R5+'[1]Turnover 2026'!Z5+'[1]Turnover 2026'!AH5+'[1]Turnover 2026'!AP5+'[1]Turnover 2026'!AX5+'[1]Turnover 2026'!BF5+'[1]Turnover 2026'!BN5+'[1]Turnover 2026'!BV5+'[1]Turnover 2026'!CD5+'[1]Turnover 2026'!CL5+'[1]Turnover 2026'!CT5+'[1]Turnover 2026'!DB5+'[1]Turnover 2026'!DJ5+'[1]Turnover 2026'!DR5+'[1]Turnover 2026'!DZ5+'[1]Turnover 2026'!EH5+'[1]Turnover 2026'!EP5+'[1]Turnover 2026'!EX5+'[1]Turnover 2026'!FF5+'[1]Turnover 2026'!FN5+'[1]Turnover 2026'!FV5+'[1]Turnover 2026'!GD5+'[1]Turnover 2026'!GL5+'[1]Turnover 2026'!GT5+'[1]Turnover 2026'!HB5+'[1]Turnover 2026'!HJ5+'[1]Turnover 2026'!HR5+'[1]Turnover 2026'!HZ5+'[1]Turnover 2026'!IH5+'[1]Turnover 2026'!IP5</f>
        <v>5</v>
      </c>
      <c r="X5" s="25">
        <f>IF(ISNUMBER('[1]Turnover 2026'!C5),'[1]Turnover 2026'!C5,0)+IF(ISNUMBER('[1]Turnover 2026'!K5),'[1]Turnover 2026'!K5,0)+IF(ISNUMBER('[1]Turnover 2026'!S5),'[1]Turnover 2026'!S5,0)+IF(ISNUMBER('[1]Turnover 2026'!AA5),'[1]Turnover 2026'!AA5,0)+IF(ISNUMBER('[1]Turnover 2026'!AI5),'[1]Turnover 2026'!AI5,0)+IF(ISNUMBER('[1]Turnover 2026'!AQ5),'[1]Turnover 2026'!AQ5,0)+IF(ISNUMBER('[1]Turnover 2026'!AY5),'[1]Turnover 2026'!AY5,0)+IF(ISNUMBER('[1]Turnover 2026'!BG5),'[1]Turnover 2026'!BG5,0)+IF(ISNUMBER('[1]Turnover 2026'!BO5),'[1]Turnover 2026'!BO5,0)+IF(ISNUMBER('[1]Turnover 2026'!BW5),'[1]Turnover 2026'!BW5,0)+IF(ISNUMBER('[1]Turnover 2026'!CE5),'[1]Turnover 2026'!CE5,0)+IF(ISNUMBER('[1]Turnover 2026'!CM5),'[1]Turnover 2026'!CM5,0)+IF(ISNUMBER('[1]Turnover 2026'!CU5),'[1]Turnover 2026'!CU5,0)+IF(ISNUMBER('[1]Turnover 2026'!DC5),'[1]Turnover 2026'!DC5,0)+IF(ISNUMBER('[1]Turnover 2026'!DK5),'[1]Turnover 2026'!DK5,0)+IF(ISNUMBER('[1]Turnover 2026'!DS5),'[1]Turnover 2026'!DS5,0)+IF(ISNUMBER('[1]Turnover 2026'!EA5),'[1]Turnover 2026'!EA5,0)+IF(ISNUMBER('[1]Turnover 2026'!EI5),'[1]Turnover 2026'!EI5,0)+IF(ISNUMBER('[1]Turnover 2026'!EQ5),'[1]Turnover 2026'!EQ5,0)+IF(ISNUMBER('[1]Turnover 2026'!EY5),'[1]Turnover 2026'!EY5,0)+IF(ISNUMBER('[1]Turnover 2026'!FG5),'[1]Turnover 2026'!FG5,0)+IF(ISNUMBER('[1]Turnover 2026'!FO5),'[1]Turnover 2026'!FO5,0)+IF(ISNUMBER('[1]Turnover 2026'!FW5),'[1]Turnover 2026'!FW5,0)+IF(ISNUMBER('[1]Turnover 2026'!GE5),'[1]Turnover 2026'!GE5,0)+IF(ISNUMBER('[1]Turnover 2026'!GM5),'[1]Turnover 2026'!GM5,0)+IF(ISNUMBER('[1]Turnover 2026'!GU5),'[1]Turnover 2026'!GU5,0)+IF(ISNUMBER('[1]Turnover 2026'!HC5),'[1]Turnover 2026'!HC5,0)+IF(ISNUMBER('[1]Turnover 2026'!HK5),'[1]Turnover 2026'!HK5,0)+IF(ISNUMBER('[1]Turnover 2026'!HS5),'[1]Turnover 2026'!HS5,0)+IF(ISNUMBER('[1]Turnover 2026'!IA5),'[1]Turnover 2026'!IA5,0)+IF(ISNUMBER('[1]Turnover 2026'!II5),'[1]Turnover 2026'!II5,0)+IF(ISNUMBER('[1]Turnover 2026'!IQ5),'[1]Turnover 2026'!IQ5,0)</f>
        <v>196</v>
      </c>
      <c r="Y5" s="22">
        <f t="shared" si="2"/>
        <v>2.5510204081632654E-2</v>
      </c>
      <c r="Z5" s="21">
        <f>SUM($W$4:W5)</f>
        <v>10</v>
      </c>
      <c r="AA5" s="19">
        <f>AVERAGE($X$4:X5)</f>
        <v>197.5</v>
      </c>
      <c r="AB5" s="20">
        <f t="shared" si="3"/>
        <v>5.0632911392405063E-2</v>
      </c>
    </row>
    <row r="6" spans="16:28" x14ac:dyDescent="0.25">
      <c r="P6" s="18" t="s">
        <v>1815</v>
      </c>
      <c r="Q6" s="19">
        <f>'[1]Turnover 2025'!B6+'[1]Turnover 2025'!J6+'[1]Turnover 2025'!R6+'[1]Turnover 2025'!Z6+'[1]Turnover 2025'!AH6+'[1]Turnover 2025'!AP6+'[1]Turnover 2025'!AX6+'[1]Turnover 2025'!BF6+'[1]Turnover 2025'!BN6+'[1]Turnover 2025'!BV6+'[1]Turnover 2025'!CD6+'[1]Turnover 2025'!CL6+'[1]Turnover 2025'!CT6+'[1]Turnover 2025'!DB6+'[1]Turnover 2025'!DJ6+'[1]Turnover 2025'!DR6+'[1]Turnover 2025'!DZ6+'[1]Turnover 2025'!EH6+'[1]Turnover 2025'!EP6+'[1]Turnover 2025'!EX6+'[1]Turnover 2025'!FF6+'[1]Turnover 2025'!FN6+'[1]Turnover 2025'!FV6+'[1]Turnover 2025'!GD6+'[1]Turnover 2025'!GL6+'[1]Turnover 2025'!GT6+'[1]Turnover 2025'!HB6+'[1]Turnover 2025'!HJ6+'[1]Turnover 2025'!HR6+'[1]Turnover 2025'!HZ6+'[1]Turnover 2025'!IH6+'[1]Turnover 2025'!IP6</f>
        <v>7</v>
      </c>
      <c r="R6" s="19">
        <f>IF(ISNUMBER('[1]Turnover 2025'!C6),'[1]Turnover 2025'!C6,0)+IF(ISNUMBER('[1]Turnover 2025'!K6),'[1]Turnover 2025'!K6,0)+IF(ISNUMBER('[1]Turnover 2025'!S6),'[1]Turnover 2025'!S6,0)+IF(ISNUMBER('[1]Turnover 2025'!AA6),'[1]Turnover 2025'!AA6,0)+IF(ISNUMBER('[1]Turnover 2025'!AI6),'[1]Turnover 2025'!AI6,0)+IF(ISNUMBER('[1]Turnover 2025'!AQ6),'[1]Turnover 2025'!AQ6,0)+IF(ISNUMBER('[1]Turnover 2025'!AY6),'[1]Turnover 2025'!AY6,0)+IF(ISNUMBER('[1]Turnover 2025'!BG6),'[1]Turnover 2025'!BG6,0)+IF(ISNUMBER('[1]Turnover 2025'!BO6),'[1]Turnover 2025'!BO6,0)+IF(ISNUMBER('[1]Turnover 2025'!BW6),'[1]Turnover 2025'!BW6,0)+IF(ISNUMBER('[1]Turnover 2025'!CE6),'[1]Turnover 2025'!CE6,0)+IF(ISNUMBER('[1]Turnover 2025'!CM6),'[1]Turnover 2025'!CM6,0)+IF(ISNUMBER('[1]Turnover 2025'!CU6),'[1]Turnover 2025'!CU6,0)+IF(ISNUMBER('[1]Turnover 2025'!DC6),'[1]Turnover 2025'!DC6,0)+IF(ISNUMBER('[1]Turnover 2025'!DK6),'[1]Turnover 2025'!DK6,0)+IF(ISNUMBER('[1]Turnover 2025'!DS6),'[1]Turnover 2025'!DS6,0)+IF(ISNUMBER('[1]Turnover 2025'!EA6),'[1]Turnover 2025'!EA6,0)+IF(ISNUMBER('[1]Turnover 2025'!EI6),'[1]Turnover 2025'!EI6,0)+IF(ISNUMBER('[1]Turnover 2025'!EQ6),'[1]Turnover 2025'!EQ6,0)+IF(ISNUMBER('[1]Turnover 2025'!EY6),'[1]Turnover 2025'!EY6,0)+IF(ISNUMBER('[1]Turnover 2025'!FG6),'[1]Turnover 2025'!FG6,0)+IF(ISNUMBER('[1]Turnover 2025'!FO6),'[1]Turnover 2025'!FO6,0)+IF(ISNUMBER('[1]Turnover 2025'!FW6),'[1]Turnover 2025'!FW6,0)+IF(ISNUMBER('[1]Turnover 2025'!GE6),'[1]Turnover 2025'!GE6,0)+IF(ISNUMBER('[1]Turnover 2025'!GM6),'[1]Turnover 2025'!GM6,0)+IF(ISNUMBER('[1]Turnover 2025'!GU6),'[1]Turnover 2025'!GU6,0)+IF(ISNUMBER('[1]Turnover 2025'!HC6),'[1]Turnover 2025'!HC6,0)+IF(ISNUMBER('[1]Turnover 2025'!HK6),'[1]Turnover 2025'!HK6,0)+IF(ISNUMBER('[1]Turnover 2025'!HS6),'[1]Turnover 2025'!HS6,0)+IF(ISNUMBER('[1]Turnover 2025'!IA6),'[1]Turnover 2025'!IA6,0)+IF(ISNUMBER('[1]Turnover 2025'!II6),'[1]Turnover 2025'!II6,0)+IF(ISNUMBER('[1]Turnover 2025'!IQ6),'[1]Turnover 2025'!IQ6,0)</f>
        <v>218</v>
      </c>
      <c r="S6" s="20">
        <f t="shared" si="0"/>
        <v>3.2110091743119268E-2</v>
      </c>
      <c r="T6" s="19">
        <f>SUM($Q$4:Q6)</f>
        <v>27</v>
      </c>
      <c r="U6" s="19">
        <f>AVERAGE($R$4:R6)</f>
        <v>217.33333333333334</v>
      </c>
      <c r="V6" s="20">
        <f t="shared" si="1"/>
        <v>0.12423312883435582</v>
      </c>
      <c r="W6" s="21">
        <f>'[1]Turnover 2026'!B6+'[1]Turnover 2026'!J6+'[1]Turnover 2026'!R6+'[1]Turnover 2026'!Z6+'[1]Turnover 2026'!AH6+'[1]Turnover 2026'!AP6+'[1]Turnover 2026'!AX6+'[1]Turnover 2026'!BF6+'[1]Turnover 2026'!BN6+'[1]Turnover 2026'!BV6+'[1]Turnover 2026'!CD6+'[1]Turnover 2026'!CL6+'[1]Turnover 2026'!CT6+'[1]Turnover 2026'!DB6+'[1]Turnover 2026'!DJ6+'[1]Turnover 2026'!DR6+'[1]Turnover 2026'!DZ6+'[1]Turnover 2026'!EH6+'[1]Turnover 2026'!EP6+'[1]Turnover 2026'!EX6+'[1]Turnover 2026'!FF6+'[1]Turnover 2026'!FN6+'[1]Turnover 2026'!FV6+'[1]Turnover 2026'!GD6+'[1]Turnover 2026'!GL6+'[1]Turnover 2026'!GT6+'[1]Turnover 2026'!HB6+'[1]Turnover 2026'!HJ6+'[1]Turnover 2026'!HR6+'[1]Turnover 2026'!HZ6+'[1]Turnover 2026'!IH6+'[1]Turnover 2026'!IP6</f>
        <v>4</v>
      </c>
      <c r="X6" s="21">
        <f>IF(ISNUMBER('[1]Turnover 2026'!C6),'[1]Turnover 2026'!C6,0)+IF(ISNUMBER('[1]Turnover 2026'!K6),'[1]Turnover 2026'!K6,0)+IF(ISNUMBER('[1]Turnover 2026'!S6),'[1]Turnover 2026'!S6,0)+IF(ISNUMBER('[1]Turnover 2026'!AA6),'[1]Turnover 2026'!AA6,0)+IF(ISNUMBER('[1]Turnover 2026'!AI6),'[1]Turnover 2026'!AI6,0)+IF(ISNUMBER('[1]Turnover 2026'!AQ6),'[1]Turnover 2026'!AQ6,0)+IF(ISNUMBER('[1]Turnover 2026'!AY6),'[1]Turnover 2026'!AY6,0)+IF(ISNUMBER('[1]Turnover 2026'!BG6),'[1]Turnover 2026'!BG6,0)+IF(ISNUMBER('[1]Turnover 2026'!BO6),'[1]Turnover 2026'!BO6,0)+IF(ISNUMBER('[1]Turnover 2026'!BW6),'[1]Turnover 2026'!BW6,0)+IF(ISNUMBER('[1]Turnover 2026'!CE6),'[1]Turnover 2026'!CE6,0)+IF(ISNUMBER('[1]Turnover 2026'!CM6),'[1]Turnover 2026'!CM6,0)+IF(ISNUMBER('[1]Turnover 2026'!CU6),'[1]Turnover 2026'!CU6,0)+IF(ISNUMBER('[1]Turnover 2026'!DC6),'[1]Turnover 2026'!DC6,0)+IF(ISNUMBER('[1]Turnover 2026'!DK6),'[1]Turnover 2026'!DK6,0)+IF(ISNUMBER('[1]Turnover 2026'!DS6),'[1]Turnover 2026'!DS6,0)+IF(ISNUMBER('[1]Turnover 2026'!EA6),'[1]Turnover 2026'!EA6,0)+IF(ISNUMBER('[1]Turnover 2026'!EI6),'[1]Turnover 2026'!EI6,0)+IF(ISNUMBER('[1]Turnover 2026'!EQ6),'[1]Turnover 2026'!EQ6,0)+IF(ISNUMBER('[1]Turnover 2026'!EY6),'[1]Turnover 2026'!EY6,0)+IF(ISNUMBER('[1]Turnover 2026'!FG6),'[1]Turnover 2026'!FG6,0)+IF(ISNUMBER('[1]Turnover 2026'!FO6),'[1]Turnover 2026'!FO6,0)+IF(ISNUMBER('[1]Turnover 2026'!FW6),'[1]Turnover 2026'!FW6,0)+IF(ISNUMBER('[1]Turnover 2026'!GE6),'[1]Turnover 2026'!GE6,0)+IF(ISNUMBER('[1]Turnover 2026'!GM6),'[1]Turnover 2026'!GM6,0)+IF(ISNUMBER('[1]Turnover 2026'!GU6),'[1]Turnover 2026'!GU6,0)+IF(ISNUMBER('[1]Turnover 2026'!HC6),'[1]Turnover 2026'!HC6,0)+IF(ISNUMBER('[1]Turnover 2026'!HK6),'[1]Turnover 2026'!HK6,0)+IF(ISNUMBER('[1]Turnover 2026'!HS6),'[1]Turnover 2026'!HS6,0)+IF(ISNUMBER('[1]Turnover 2026'!IA6),'[1]Turnover 2026'!IA6,0)+IF(ISNUMBER('[1]Turnover 2026'!II6),'[1]Turnover 2026'!II6,0)+IF(ISNUMBER('[1]Turnover 2026'!IQ6),'[1]Turnover 2026'!IQ6,0)</f>
        <v>194</v>
      </c>
      <c r="Y6" s="22">
        <f t="shared" si="2"/>
        <v>2.0618556701030927E-2</v>
      </c>
      <c r="Z6" s="21">
        <f>SUM($W$4:W6)</f>
        <v>14</v>
      </c>
      <c r="AA6" s="19">
        <f>AVERAGE($X$4:X6)</f>
        <v>196.33333333333334</v>
      </c>
      <c r="AB6" s="20">
        <f t="shared" si="3"/>
        <v>7.1307300509337854E-2</v>
      </c>
    </row>
    <row r="7" spans="16:28" x14ac:dyDescent="0.25">
      <c r="P7" s="23" t="s">
        <v>1816</v>
      </c>
      <c r="Q7" s="24">
        <f>'[1]Turnover 2025'!B7+'[1]Turnover 2025'!J7+'[1]Turnover 2025'!R7+'[1]Turnover 2025'!Z7+'[1]Turnover 2025'!AH7+'[1]Turnover 2025'!AP7+'[1]Turnover 2025'!AX7+'[1]Turnover 2025'!BF7+'[1]Turnover 2025'!BN7+'[1]Turnover 2025'!BV7+'[1]Turnover 2025'!CD7+'[1]Turnover 2025'!CL7+'[1]Turnover 2025'!CT7+'[1]Turnover 2025'!DB7+'[1]Turnover 2025'!DJ7+'[1]Turnover 2025'!DR7+'[1]Turnover 2025'!DZ7+'[1]Turnover 2025'!EH7+'[1]Turnover 2025'!EP7+'[1]Turnover 2025'!EX7+'[1]Turnover 2025'!FF7+'[1]Turnover 2025'!FN7+'[1]Turnover 2025'!FV7+'[1]Turnover 2025'!GD7+'[1]Turnover 2025'!GL7+'[1]Turnover 2025'!GT7+'[1]Turnover 2025'!HB7+'[1]Turnover 2025'!HJ7+'[1]Turnover 2025'!HR7+'[1]Turnover 2025'!HZ7+'[1]Turnover 2025'!IH7+'[1]Turnover 2025'!IP7</f>
        <v>3</v>
      </c>
      <c r="R7" s="24">
        <f>IF(ISNUMBER('[1]Turnover 2025'!C7),'[1]Turnover 2025'!C7,0)+IF(ISNUMBER('[1]Turnover 2025'!K7),'[1]Turnover 2025'!K7,0)+IF(ISNUMBER('[1]Turnover 2025'!S7),'[1]Turnover 2025'!S7,0)+IF(ISNUMBER('[1]Turnover 2025'!AA7),'[1]Turnover 2025'!AA7,0)+IF(ISNUMBER('[1]Turnover 2025'!AI7),'[1]Turnover 2025'!AI7,0)+IF(ISNUMBER('[1]Turnover 2025'!AQ7),'[1]Turnover 2025'!AQ7,0)+IF(ISNUMBER('[1]Turnover 2025'!AY7),'[1]Turnover 2025'!AY7,0)+IF(ISNUMBER('[1]Turnover 2025'!BG7),'[1]Turnover 2025'!BG7,0)+IF(ISNUMBER('[1]Turnover 2025'!BO7),'[1]Turnover 2025'!BO7,0)+IF(ISNUMBER('[1]Turnover 2025'!BW7),'[1]Turnover 2025'!BW7,0)+IF(ISNUMBER('[1]Turnover 2025'!CE7),'[1]Turnover 2025'!CE7,0)+IF(ISNUMBER('[1]Turnover 2025'!CM7),'[1]Turnover 2025'!CM7,0)+IF(ISNUMBER('[1]Turnover 2025'!CU7),'[1]Turnover 2025'!CU7,0)+IF(ISNUMBER('[1]Turnover 2025'!DC7),'[1]Turnover 2025'!DC7,0)+IF(ISNUMBER('[1]Turnover 2025'!DK7),'[1]Turnover 2025'!DK7,0)+IF(ISNUMBER('[1]Turnover 2025'!DS7),'[1]Turnover 2025'!DS7,0)+IF(ISNUMBER('[1]Turnover 2025'!EA7),'[1]Turnover 2025'!EA7,0)+IF(ISNUMBER('[1]Turnover 2025'!EI7),'[1]Turnover 2025'!EI7,0)+IF(ISNUMBER('[1]Turnover 2025'!EQ7),'[1]Turnover 2025'!EQ7,0)+IF(ISNUMBER('[1]Turnover 2025'!EY7),'[1]Turnover 2025'!EY7,0)+IF(ISNUMBER('[1]Turnover 2025'!FG7),'[1]Turnover 2025'!FG7,0)+IF(ISNUMBER('[1]Turnover 2025'!FO7),'[1]Turnover 2025'!FO7,0)+IF(ISNUMBER('[1]Turnover 2025'!FW7),'[1]Turnover 2025'!FW7,0)+IF(ISNUMBER('[1]Turnover 2025'!GE7),'[1]Turnover 2025'!GE7,0)+IF(ISNUMBER('[1]Turnover 2025'!GM7),'[1]Turnover 2025'!GM7,0)+IF(ISNUMBER('[1]Turnover 2025'!GU7),'[1]Turnover 2025'!GU7,0)+IF(ISNUMBER('[1]Turnover 2025'!HC7),'[1]Turnover 2025'!HC7,0)+IF(ISNUMBER('[1]Turnover 2025'!HK7),'[1]Turnover 2025'!HK7,0)+IF(ISNUMBER('[1]Turnover 2025'!HS7),'[1]Turnover 2025'!HS7,0)+IF(ISNUMBER('[1]Turnover 2025'!IA7),'[1]Turnover 2025'!IA7,0)+IF(ISNUMBER('[1]Turnover 2025'!II7),'[1]Turnover 2025'!II7,0)+IF(ISNUMBER('[1]Turnover 2025'!IQ7),'[1]Turnover 2025'!IQ7,0)</f>
        <v>220</v>
      </c>
      <c r="S7" s="20">
        <f t="shared" si="0"/>
        <v>1.3636363636363636E-2</v>
      </c>
      <c r="T7" s="19">
        <f>SUM($Q$4:Q7)</f>
        <v>30</v>
      </c>
      <c r="U7" s="19">
        <f>AVERAGE($R$4:R7)</f>
        <v>218</v>
      </c>
      <c r="V7" s="20">
        <f t="shared" si="1"/>
        <v>0.13761467889908258</v>
      </c>
      <c r="W7" s="25">
        <f>'[1]Turnover 2026'!B7+'[1]Turnover 2026'!J7+'[1]Turnover 2026'!R7+'[1]Turnover 2026'!Z7+'[1]Turnover 2026'!AH7+'[1]Turnover 2026'!AP7+'[1]Turnover 2026'!AX7+'[1]Turnover 2026'!BF7+'[1]Turnover 2026'!BN7+'[1]Turnover 2026'!BV7+'[1]Turnover 2026'!CD7+'[1]Turnover 2026'!CL7+'[1]Turnover 2026'!CT7+'[1]Turnover 2026'!DB7+'[1]Turnover 2026'!DJ7+'[1]Turnover 2026'!DR7+'[1]Turnover 2026'!DZ7+'[1]Turnover 2026'!EH7+'[1]Turnover 2026'!EP7+'[1]Turnover 2026'!EX7+'[1]Turnover 2026'!FF7+'[1]Turnover 2026'!FN7+'[1]Turnover 2026'!FV7+'[1]Turnover 2026'!GD7+'[1]Turnover 2026'!GL7+'[1]Turnover 2026'!GT7+'[1]Turnover 2026'!HB7+'[1]Turnover 2026'!HJ7+'[1]Turnover 2026'!HR7+'[1]Turnover 2026'!HZ7+'[1]Turnover 2026'!IH7+'[1]Turnover 2026'!IP7</f>
        <v>4</v>
      </c>
      <c r="X7" s="25">
        <f>IF(ISNUMBER('[1]Turnover 2026'!C7),'[1]Turnover 2026'!C7,0)+IF(ISNUMBER('[1]Turnover 2026'!K7),'[1]Turnover 2026'!K7,0)+IF(ISNUMBER('[1]Turnover 2026'!S7),'[1]Turnover 2026'!S7,0)+IF(ISNUMBER('[1]Turnover 2026'!AA7),'[1]Turnover 2026'!AA7,0)+IF(ISNUMBER('[1]Turnover 2026'!AI7),'[1]Turnover 2026'!AI7,0)+IF(ISNUMBER('[1]Turnover 2026'!AQ7),'[1]Turnover 2026'!AQ7,0)+IF(ISNUMBER('[1]Turnover 2026'!AY7),'[1]Turnover 2026'!AY7,0)+IF(ISNUMBER('[1]Turnover 2026'!BG7),'[1]Turnover 2026'!BG7,0)+IF(ISNUMBER('[1]Turnover 2026'!BO7),'[1]Turnover 2026'!BO7,0)+IF(ISNUMBER('[1]Turnover 2026'!BW7),'[1]Turnover 2026'!BW7,0)+IF(ISNUMBER('[1]Turnover 2026'!CE7),'[1]Turnover 2026'!CE7,0)+IF(ISNUMBER('[1]Turnover 2026'!CM7),'[1]Turnover 2026'!CM7,0)+IF(ISNUMBER('[1]Turnover 2026'!CU7),'[1]Turnover 2026'!CU7,0)+IF(ISNUMBER('[1]Turnover 2026'!DC7),'[1]Turnover 2026'!DC7,0)+IF(ISNUMBER('[1]Turnover 2026'!DK7),'[1]Turnover 2026'!DK7,0)+IF(ISNUMBER('[1]Turnover 2026'!DS7),'[1]Turnover 2026'!DS7,0)+IF(ISNUMBER('[1]Turnover 2026'!EA7),'[1]Turnover 2026'!EA7,0)+IF(ISNUMBER('[1]Turnover 2026'!EI7),'[1]Turnover 2026'!EI7,0)+IF(ISNUMBER('[1]Turnover 2026'!EQ7),'[1]Turnover 2026'!EQ7,0)+IF(ISNUMBER('[1]Turnover 2026'!EY7),'[1]Turnover 2026'!EY7,0)+IF(ISNUMBER('[1]Turnover 2026'!FG7),'[1]Turnover 2026'!FG7,0)+IF(ISNUMBER('[1]Turnover 2026'!FO7),'[1]Turnover 2026'!FO7,0)+IF(ISNUMBER('[1]Turnover 2026'!FW7),'[1]Turnover 2026'!FW7,0)+IF(ISNUMBER('[1]Turnover 2026'!GE7),'[1]Turnover 2026'!GE7,0)+IF(ISNUMBER('[1]Turnover 2026'!GM7),'[1]Turnover 2026'!GM7,0)+IF(ISNUMBER('[1]Turnover 2026'!GU7),'[1]Turnover 2026'!GU7,0)+IF(ISNUMBER('[1]Turnover 2026'!HC7),'[1]Turnover 2026'!HC7,0)+IF(ISNUMBER('[1]Turnover 2026'!HK7),'[1]Turnover 2026'!HK7,0)+IF(ISNUMBER('[1]Turnover 2026'!HS7),'[1]Turnover 2026'!HS7,0)+IF(ISNUMBER('[1]Turnover 2026'!IA7),'[1]Turnover 2026'!IA7,0)+IF(ISNUMBER('[1]Turnover 2026'!II7),'[1]Turnover 2026'!II7,0)+IF(ISNUMBER('[1]Turnover 2026'!IQ7),'[1]Turnover 2026'!IQ7,0)</f>
        <v>190</v>
      </c>
      <c r="Y7" s="22">
        <f t="shared" si="2"/>
        <v>2.1052631578947368E-2</v>
      </c>
      <c r="Z7" s="21">
        <f>SUM($W$4:W7)</f>
        <v>18</v>
      </c>
      <c r="AA7" s="19">
        <f>AVERAGE($X$4:X7)</f>
        <v>194.75</v>
      </c>
      <c r="AB7" s="20">
        <f t="shared" si="3"/>
        <v>9.2426187419768935E-2</v>
      </c>
    </row>
    <row r="8" spans="16:28" x14ac:dyDescent="0.25">
      <c r="P8" s="18" t="s">
        <v>1817</v>
      </c>
      <c r="Q8" s="19">
        <f>'[1]Turnover 2025'!B8+'[1]Turnover 2025'!J8+'[1]Turnover 2025'!R8+'[1]Turnover 2025'!Z8+'[1]Turnover 2025'!AH8+'[1]Turnover 2025'!AP8+'[1]Turnover 2025'!AX8+'[1]Turnover 2025'!BF8+'[1]Turnover 2025'!BN8+'[1]Turnover 2025'!BV8+'[1]Turnover 2025'!CD8+'[1]Turnover 2025'!CL8+'[1]Turnover 2025'!CT8+'[1]Turnover 2025'!DB8+'[1]Turnover 2025'!DJ8+'[1]Turnover 2025'!DR8+'[1]Turnover 2025'!DZ8+'[1]Turnover 2025'!EH8+'[1]Turnover 2025'!EP8+'[1]Turnover 2025'!EX8+'[1]Turnover 2025'!FF8+'[1]Turnover 2025'!FN8+'[1]Turnover 2025'!FV8+'[1]Turnover 2025'!GD8+'[1]Turnover 2025'!GL8+'[1]Turnover 2025'!GT8+'[1]Turnover 2025'!HB8+'[1]Turnover 2025'!HJ8+'[1]Turnover 2025'!HR8+'[1]Turnover 2025'!HZ8+'[1]Turnover 2025'!IH8+'[1]Turnover 2025'!IP8</f>
        <v>1</v>
      </c>
      <c r="R8" s="19">
        <f>IF(ISNUMBER('[1]Turnover 2025'!C8),'[1]Turnover 2025'!C8,0)+IF(ISNUMBER('[1]Turnover 2025'!K8),'[1]Turnover 2025'!K8,0)+IF(ISNUMBER('[1]Turnover 2025'!S8),'[1]Turnover 2025'!S8,0)+IF(ISNUMBER('[1]Turnover 2025'!AA8),'[1]Turnover 2025'!AA8,0)+IF(ISNUMBER('[1]Turnover 2025'!AI8),'[1]Turnover 2025'!AI8,0)+IF(ISNUMBER('[1]Turnover 2025'!AQ8),'[1]Turnover 2025'!AQ8,0)+IF(ISNUMBER('[1]Turnover 2025'!AY8),'[1]Turnover 2025'!AY8,0)+IF(ISNUMBER('[1]Turnover 2025'!BG8),'[1]Turnover 2025'!BG8,0)+IF(ISNUMBER('[1]Turnover 2025'!BO8),'[1]Turnover 2025'!BO8,0)+IF(ISNUMBER('[1]Turnover 2025'!BW8),'[1]Turnover 2025'!BW8,0)+IF(ISNUMBER('[1]Turnover 2025'!CE8),'[1]Turnover 2025'!CE8,0)+IF(ISNUMBER('[1]Turnover 2025'!CM8),'[1]Turnover 2025'!CM8,0)+IF(ISNUMBER('[1]Turnover 2025'!CU8),'[1]Turnover 2025'!CU8,0)+IF(ISNUMBER('[1]Turnover 2025'!DC8),'[1]Turnover 2025'!DC8,0)+IF(ISNUMBER('[1]Turnover 2025'!DK8),'[1]Turnover 2025'!DK8,0)+IF(ISNUMBER('[1]Turnover 2025'!DS8),'[1]Turnover 2025'!DS8,0)+IF(ISNUMBER('[1]Turnover 2025'!EA8),'[1]Turnover 2025'!EA8,0)+IF(ISNUMBER('[1]Turnover 2025'!EI8),'[1]Turnover 2025'!EI8,0)+IF(ISNUMBER('[1]Turnover 2025'!EQ8),'[1]Turnover 2025'!EQ8,0)+IF(ISNUMBER('[1]Turnover 2025'!EY8),'[1]Turnover 2025'!EY8,0)+IF(ISNUMBER('[1]Turnover 2025'!FG8),'[1]Turnover 2025'!FG8,0)+IF(ISNUMBER('[1]Turnover 2025'!FO8),'[1]Turnover 2025'!FO8,0)+IF(ISNUMBER('[1]Turnover 2025'!FW8),'[1]Turnover 2025'!FW8,0)+IF(ISNUMBER('[1]Turnover 2025'!GE8),'[1]Turnover 2025'!GE8,0)+IF(ISNUMBER('[1]Turnover 2025'!GM8),'[1]Turnover 2025'!GM8,0)+IF(ISNUMBER('[1]Turnover 2025'!GU8),'[1]Turnover 2025'!GU8,0)+IF(ISNUMBER('[1]Turnover 2025'!HC8),'[1]Turnover 2025'!HC8,0)+IF(ISNUMBER('[1]Turnover 2025'!HK8),'[1]Turnover 2025'!HK8,0)+IF(ISNUMBER('[1]Turnover 2025'!HS8),'[1]Turnover 2025'!HS8,0)+IF(ISNUMBER('[1]Turnover 2025'!IA8),'[1]Turnover 2025'!IA8,0)+IF(ISNUMBER('[1]Turnover 2025'!II8),'[1]Turnover 2025'!II8,0)+IF(ISNUMBER('[1]Turnover 2025'!IQ8),'[1]Turnover 2025'!IQ8,0)</f>
        <v>218</v>
      </c>
      <c r="S8" s="20">
        <f t="shared" si="0"/>
        <v>4.5871559633027525E-3</v>
      </c>
      <c r="T8" s="19">
        <f>SUM($Q$4:Q8)</f>
        <v>31</v>
      </c>
      <c r="U8" s="19">
        <f>AVERAGE($R$4:R8)</f>
        <v>218</v>
      </c>
      <c r="V8" s="20">
        <f t="shared" si="1"/>
        <v>0.14220183486238533</v>
      </c>
      <c r="W8" s="21">
        <f>'[1]Turnover 2026'!B8+'[1]Turnover 2026'!J8+'[1]Turnover 2026'!R8+'[1]Turnover 2026'!Z8+'[1]Turnover 2026'!AH8+'[1]Turnover 2026'!AP8+'[1]Turnover 2026'!AX8+'[1]Turnover 2026'!BF8+'[1]Turnover 2026'!BN8+'[1]Turnover 2026'!BV8+'[1]Turnover 2026'!CD8+'[1]Turnover 2026'!CL8+'[1]Turnover 2026'!CT8+'[1]Turnover 2026'!DB8+'[1]Turnover 2026'!DJ8+'[1]Turnover 2026'!DR8+'[1]Turnover 2026'!DZ8+'[1]Turnover 2026'!EH8+'[1]Turnover 2026'!EP8+'[1]Turnover 2026'!EX8+'[1]Turnover 2026'!FF8+'[1]Turnover 2026'!FN8+'[1]Turnover 2026'!FV8+'[1]Turnover 2026'!GD8+'[1]Turnover 2026'!GL8+'[1]Turnover 2026'!GT8+'[1]Turnover 2026'!HB8+'[1]Turnover 2026'!HJ8+'[1]Turnover 2026'!HR8+'[1]Turnover 2026'!HZ8+'[1]Turnover 2026'!IH8+'[1]Turnover 2026'!IP8</f>
        <v>4</v>
      </c>
      <c r="X8" s="21">
        <f>IF(ISNUMBER('[1]Turnover 2026'!C8),'[1]Turnover 2026'!C8,0)+IF(ISNUMBER('[1]Turnover 2026'!K8),'[1]Turnover 2026'!K8,0)+IF(ISNUMBER('[1]Turnover 2026'!S8),'[1]Turnover 2026'!S8,0)+IF(ISNUMBER('[1]Turnover 2026'!AA8),'[1]Turnover 2026'!AA8,0)+IF(ISNUMBER('[1]Turnover 2026'!AI8),'[1]Turnover 2026'!AI8,0)+IF(ISNUMBER('[1]Turnover 2026'!AQ8),'[1]Turnover 2026'!AQ8,0)+IF(ISNUMBER('[1]Turnover 2026'!AY8),'[1]Turnover 2026'!AY8,0)+IF(ISNUMBER('[1]Turnover 2026'!BG8),'[1]Turnover 2026'!BG8,0)+IF(ISNUMBER('[1]Turnover 2026'!BO8),'[1]Turnover 2026'!BO8,0)+IF(ISNUMBER('[1]Turnover 2026'!BW8),'[1]Turnover 2026'!BW8,0)+IF(ISNUMBER('[1]Turnover 2026'!CE8),'[1]Turnover 2026'!CE8,0)+IF(ISNUMBER('[1]Turnover 2026'!CM8),'[1]Turnover 2026'!CM8,0)+IF(ISNUMBER('[1]Turnover 2026'!CU8),'[1]Turnover 2026'!CU8,0)+IF(ISNUMBER('[1]Turnover 2026'!DC8),'[1]Turnover 2026'!DC8,0)+IF(ISNUMBER('[1]Turnover 2026'!DK8),'[1]Turnover 2026'!DK8,0)+IF(ISNUMBER('[1]Turnover 2026'!DS8),'[1]Turnover 2026'!DS8,0)+IF(ISNUMBER('[1]Turnover 2026'!EA8),'[1]Turnover 2026'!EA8,0)+IF(ISNUMBER('[1]Turnover 2026'!EI8),'[1]Turnover 2026'!EI8,0)+IF(ISNUMBER('[1]Turnover 2026'!EQ8),'[1]Turnover 2026'!EQ8,0)+IF(ISNUMBER('[1]Turnover 2026'!EY8),'[1]Turnover 2026'!EY8,0)+IF(ISNUMBER('[1]Turnover 2026'!FG8),'[1]Turnover 2026'!FG8,0)+IF(ISNUMBER('[1]Turnover 2026'!FO8),'[1]Turnover 2026'!FO8,0)+IF(ISNUMBER('[1]Turnover 2026'!FW8),'[1]Turnover 2026'!FW8,0)+IF(ISNUMBER('[1]Turnover 2026'!GE8),'[1]Turnover 2026'!GE8,0)+IF(ISNUMBER('[1]Turnover 2026'!GM8),'[1]Turnover 2026'!GM8,0)+IF(ISNUMBER('[1]Turnover 2026'!GU8),'[1]Turnover 2026'!GU8,0)+IF(ISNUMBER('[1]Turnover 2026'!HC8),'[1]Turnover 2026'!HC8,0)+IF(ISNUMBER('[1]Turnover 2026'!HK8),'[1]Turnover 2026'!HK8,0)+IF(ISNUMBER('[1]Turnover 2026'!HS8),'[1]Turnover 2026'!HS8,0)+IF(ISNUMBER('[1]Turnover 2026'!IA8),'[1]Turnover 2026'!IA8,0)+IF(ISNUMBER('[1]Turnover 2026'!II8),'[1]Turnover 2026'!II8,0)+IF(ISNUMBER('[1]Turnover 2026'!IQ8),'[1]Turnover 2026'!IQ8,0)</f>
        <v>185</v>
      </c>
      <c r="Y8" s="22">
        <f t="shared" si="2"/>
        <v>2.1621621621621623E-2</v>
      </c>
      <c r="Z8" s="26">
        <f>SUM($W$4:W8)</f>
        <v>22</v>
      </c>
      <c r="AA8" s="19">
        <f>AVERAGE($X$4:X8)</f>
        <v>192.8</v>
      </c>
      <c r="AB8" s="20">
        <f t="shared" si="3"/>
        <v>0.11410788381742738</v>
      </c>
    </row>
    <row r="9" spans="16:28" x14ac:dyDescent="0.25">
      <c r="P9" s="23" t="s">
        <v>1818</v>
      </c>
      <c r="Q9" s="24">
        <f>'[1]Turnover 2025'!B9+'[1]Turnover 2025'!J9+'[1]Turnover 2025'!R9+'[1]Turnover 2025'!Z9+'[1]Turnover 2025'!AH9+'[1]Turnover 2025'!AP9+'[1]Turnover 2025'!AX9+'[1]Turnover 2025'!BF9+'[1]Turnover 2025'!BN9+'[1]Turnover 2025'!BV9+'[1]Turnover 2025'!CD9+'[1]Turnover 2025'!CL9+'[1]Turnover 2025'!CT9+'[1]Turnover 2025'!DB9+'[1]Turnover 2025'!DJ9+'[1]Turnover 2025'!DR9+'[1]Turnover 2025'!DZ9+'[1]Turnover 2025'!EH9+'[1]Turnover 2025'!EP9+'[1]Turnover 2025'!EX9+'[1]Turnover 2025'!FF9+'[1]Turnover 2025'!FN9+'[1]Turnover 2025'!FV9+'[1]Turnover 2025'!GD9+'[1]Turnover 2025'!GL9+'[1]Turnover 2025'!GT9+'[1]Turnover 2025'!HB9+'[1]Turnover 2025'!HJ9+'[1]Turnover 2025'!HR9+'[1]Turnover 2025'!HZ9+'[1]Turnover 2025'!IH9+'[1]Turnover 2025'!IP9</f>
        <v>3</v>
      </c>
      <c r="R9" s="24">
        <f>IF(ISNUMBER('[1]Turnover 2025'!C9),'[1]Turnover 2025'!C9,0)+IF(ISNUMBER('[1]Turnover 2025'!K9),'[1]Turnover 2025'!K9,0)+IF(ISNUMBER('[1]Turnover 2025'!S9),'[1]Turnover 2025'!S9,0)+IF(ISNUMBER('[1]Turnover 2025'!AA9),'[1]Turnover 2025'!AA9,0)+IF(ISNUMBER('[1]Turnover 2025'!AI9),'[1]Turnover 2025'!AI9,0)+IF(ISNUMBER('[1]Turnover 2025'!AQ9),'[1]Turnover 2025'!AQ9,0)+IF(ISNUMBER('[1]Turnover 2025'!AY9),'[1]Turnover 2025'!AY9,0)+IF(ISNUMBER('[1]Turnover 2025'!BG9),'[1]Turnover 2025'!BG9,0)+IF(ISNUMBER('[1]Turnover 2025'!BO9),'[1]Turnover 2025'!BO9,0)+IF(ISNUMBER('[1]Turnover 2025'!BW9),'[1]Turnover 2025'!BW9,0)+IF(ISNUMBER('[1]Turnover 2025'!CE9),'[1]Turnover 2025'!CE9,0)+IF(ISNUMBER('[1]Turnover 2025'!CM9),'[1]Turnover 2025'!CM9,0)+IF(ISNUMBER('[1]Turnover 2025'!CU9),'[1]Turnover 2025'!CU9,0)+IF(ISNUMBER('[1]Turnover 2025'!DC9),'[1]Turnover 2025'!DC9,0)+IF(ISNUMBER('[1]Turnover 2025'!DK9),'[1]Turnover 2025'!DK9,0)+IF(ISNUMBER('[1]Turnover 2025'!DS9),'[1]Turnover 2025'!DS9,0)+IF(ISNUMBER('[1]Turnover 2025'!EA9),'[1]Turnover 2025'!EA9,0)+IF(ISNUMBER('[1]Turnover 2025'!EI9),'[1]Turnover 2025'!EI9,0)+IF(ISNUMBER('[1]Turnover 2025'!EQ9),'[1]Turnover 2025'!EQ9,0)+IF(ISNUMBER('[1]Turnover 2025'!EY9),'[1]Turnover 2025'!EY9,0)+IF(ISNUMBER('[1]Turnover 2025'!FG9),'[1]Turnover 2025'!FG9,0)+IF(ISNUMBER('[1]Turnover 2025'!FO9),'[1]Turnover 2025'!FO9,0)+IF(ISNUMBER('[1]Turnover 2025'!FW9),'[1]Turnover 2025'!FW9,0)+IF(ISNUMBER('[1]Turnover 2025'!GE9),'[1]Turnover 2025'!GE9,0)+IF(ISNUMBER('[1]Turnover 2025'!GM9),'[1]Turnover 2025'!GM9,0)+IF(ISNUMBER('[1]Turnover 2025'!GU9),'[1]Turnover 2025'!GU9,0)+IF(ISNUMBER('[1]Turnover 2025'!HC9),'[1]Turnover 2025'!HC9,0)+IF(ISNUMBER('[1]Turnover 2025'!HK9),'[1]Turnover 2025'!HK9,0)+IF(ISNUMBER('[1]Turnover 2025'!HS9),'[1]Turnover 2025'!HS9,0)+IF(ISNUMBER('[1]Turnover 2025'!IA9),'[1]Turnover 2025'!IA9,0)+IF(ISNUMBER('[1]Turnover 2025'!II9),'[1]Turnover 2025'!II9,0)+IF(ISNUMBER('[1]Turnover 2025'!IQ9),'[1]Turnover 2025'!IQ9,0)</f>
        <v>213</v>
      </c>
      <c r="S9" s="20">
        <f t="shared" si="0"/>
        <v>1.4084507042253521E-2</v>
      </c>
      <c r="T9" s="19">
        <f>SUM($Q$4:Q9)</f>
        <v>34</v>
      </c>
      <c r="U9" s="19">
        <f>AVERAGE($R$4:R9)</f>
        <v>217.16666666666666</v>
      </c>
      <c r="V9" s="20">
        <f t="shared" si="1"/>
        <v>0.15656178050652342</v>
      </c>
      <c r="W9" s="21">
        <f>'[1]Turnover 2026'!B9+'[1]Turnover 2026'!J9+'[1]Turnover 2026'!R9+'[1]Turnover 2026'!Z9+'[1]Turnover 2026'!AH9+'[1]Turnover 2026'!AP9+'[1]Turnover 2026'!AX9+'[1]Turnover 2026'!BF9+'[1]Turnover 2026'!BN9+'[1]Turnover 2026'!BV9+'[1]Turnover 2026'!CD9+'[1]Turnover 2026'!CL9+'[1]Turnover 2026'!CT9+'[1]Turnover 2026'!DB9+'[1]Turnover 2026'!DJ9+'[1]Turnover 2026'!DR9+'[1]Turnover 2026'!DZ9+'[1]Turnover 2026'!EH9+'[1]Turnover 2026'!EP9+'[1]Turnover 2026'!EX9+'[1]Turnover 2026'!FF9+'[1]Turnover 2026'!FN9+'[1]Turnover 2026'!FV9+'[1]Turnover 2026'!GD9+'[1]Turnover 2026'!GL9+'[1]Turnover 2026'!GT9+'[1]Turnover 2026'!HB9+'[1]Turnover 2026'!HJ9+'[1]Turnover 2026'!HR9+'[1]Turnover 2026'!HZ9+'[1]Turnover 2026'!IH9+'[1]Turnover 2026'!IP9</f>
        <v>4</v>
      </c>
      <c r="X9" s="21">
        <f>IF(ISNUMBER('[1]Turnover 2026'!C9),'[1]Turnover 2026'!C9,0)+IF(ISNUMBER('[1]Turnover 2026'!K9),'[1]Turnover 2026'!K9,0)+IF(ISNUMBER('[1]Turnover 2026'!S9),'[1]Turnover 2026'!S9,0)+IF(ISNUMBER('[1]Turnover 2026'!AA9),'[1]Turnover 2026'!AA9,0)+IF(ISNUMBER('[1]Turnover 2026'!AI9),'[1]Turnover 2026'!AI9,0)+IF(ISNUMBER('[1]Turnover 2026'!AQ9),'[1]Turnover 2026'!AQ9,0)+IF(ISNUMBER('[1]Turnover 2026'!AY9),'[1]Turnover 2026'!AY9,0)+IF(ISNUMBER('[1]Turnover 2026'!BG9),'[1]Turnover 2026'!BG9,0)+IF(ISNUMBER('[1]Turnover 2026'!BO9),'[1]Turnover 2026'!BO9,0)+IF(ISNUMBER('[1]Turnover 2026'!BW9),'[1]Turnover 2026'!BW9,0)+IF(ISNUMBER('[1]Turnover 2026'!CE9),'[1]Turnover 2026'!CE9,0)+IF(ISNUMBER('[1]Turnover 2026'!CM9),'[1]Turnover 2026'!CM9,0)+IF(ISNUMBER('[1]Turnover 2026'!CU9),'[1]Turnover 2026'!CU9,0)+IF(ISNUMBER('[1]Turnover 2026'!DC9),'[1]Turnover 2026'!DC9,0)+IF(ISNUMBER('[1]Turnover 2026'!DK9),'[1]Turnover 2026'!DK9,0)+IF(ISNUMBER('[1]Turnover 2026'!DS9),'[1]Turnover 2026'!DS9,0)+IF(ISNUMBER('[1]Turnover 2026'!EA9),'[1]Turnover 2026'!EA9,0)+IF(ISNUMBER('[1]Turnover 2026'!EI9),'[1]Turnover 2026'!EI9,0)+IF(ISNUMBER('[1]Turnover 2026'!EQ9),'[1]Turnover 2026'!EQ9,0)+IF(ISNUMBER('[1]Turnover 2026'!EY9),'[1]Turnover 2026'!EY9,0)+IF(ISNUMBER('[1]Turnover 2026'!FG9),'[1]Turnover 2026'!FG9,0)+IF(ISNUMBER('[1]Turnover 2026'!FO9),'[1]Turnover 2026'!FO9,0)+IF(ISNUMBER('[1]Turnover 2026'!FW9),'[1]Turnover 2026'!FW9,0)+IF(ISNUMBER('[1]Turnover 2026'!GE9),'[1]Turnover 2026'!GE9,0)+IF(ISNUMBER('[1]Turnover 2026'!GM9),'[1]Turnover 2026'!GM9,0)+IF(ISNUMBER('[1]Turnover 2026'!GU9),'[1]Turnover 2026'!GU9,0)+IF(ISNUMBER('[1]Turnover 2026'!HC9),'[1]Turnover 2026'!HC9,0)+IF(ISNUMBER('[1]Turnover 2026'!HK9),'[1]Turnover 2026'!HK9,0)+IF(ISNUMBER('[1]Turnover 2026'!HS9),'[1]Turnover 2026'!HS9,0)+IF(ISNUMBER('[1]Turnover 2026'!IA9),'[1]Turnover 2026'!IA9,0)+IF(ISNUMBER('[1]Turnover 2026'!II9),'[1]Turnover 2026'!II9,0)+IF(ISNUMBER('[1]Turnover 2026'!IQ9),'[1]Turnover 2026'!IQ9,0)</f>
        <v>181</v>
      </c>
      <c r="Y9" s="22">
        <f t="shared" si="2"/>
        <v>2.2099447513812154E-2</v>
      </c>
      <c r="Z9" s="21">
        <f>SUM($W$4:W9)</f>
        <v>26</v>
      </c>
      <c r="AA9" s="19">
        <f>AVERAGE($X$4:X9)</f>
        <v>190.83333333333334</v>
      </c>
      <c r="AB9" s="20">
        <f t="shared" si="3"/>
        <v>0.13624454148471615</v>
      </c>
    </row>
    <row r="10" spans="16:28" x14ac:dyDescent="0.25">
      <c r="P10" s="18" t="s">
        <v>1819</v>
      </c>
      <c r="Q10" s="19">
        <f>'[1]Turnover 2025'!B10+'[1]Turnover 2025'!J10+'[1]Turnover 2025'!R10+'[1]Turnover 2025'!Z10+'[1]Turnover 2025'!AH10+'[1]Turnover 2025'!AP10+'[1]Turnover 2025'!AX10+'[1]Turnover 2025'!BF10+'[1]Turnover 2025'!BN10+'[1]Turnover 2025'!BV10+'[1]Turnover 2025'!CD10+'[1]Turnover 2025'!CL10+'[1]Turnover 2025'!CT10+'[1]Turnover 2025'!DB10+'[1]Turnover 2025'!DJ10+'[1]Turnover 2025'!DR10+'[1]Turnover 2025'!DZ10+'[1]Turnover 2025'!EH10+'[1]Turnover 2025'!EP10+'[1]Turnover 2025'!EX10+'[1]Turnover 2025'!FF10+'[1]Turnover 2025'!FN10+'[1]Turnover 2025'!FV10+'[1]Turnover 2025'!GD10+'[1]Turnover 2025'!GL10+'[1]Turnover 2025'!GT10+'[1]Turnover 2025'!HB10+'[1]Turnover 2025'!HJ10+'[1]Turnover 2025'!HR10+'[1]Turnover 2025'!HZ10+'[1]Turnover 2025'!IH10+'[1]Turnover 2025'!IP10</f>
        <v>5</v>
      </c>
      <c r="R10" s="19">
        <f>IF(ISNUMBER('[1]Turnover 2025'!C10),'[1]Turnover 2025'!C10,0)+IF(ISNUMBER('[1]Turnover 2025'!K10),'[1]Turnover 2025'!K10,0)+IF(ISNUMBER('[1]Turnover 2025'!S10),'[1]Turnover 2025'!S10,0)+IF(ISNUMBER('[1]Turnover 2025'!AA10),'[1]Turnover 2025'!AA10,0)+IF(ISNUMBER('[1]Turnover 2025'!AI10),'[1]Turnover 2025'!AI10,0)+IF(ISNUMBER('[1]Turnover 2025'!AQ10),'[1]Turnover 2025'!AQ10,0)+IF(ISNUMBER('[1]Turnover 2025'!AY10),'[1]Turnover 2025'!AY10,0)+IF(ISNUMBER('[1]Turnover 2025'!BG10),'[1]Turnover 2025'!BG10,0)+IF(ISNUMBER('[1]Turnover 2025'!BO10),'[1]Turnover 2025'!BO10,0)+IF(ISNUMBER('[1]Turnover 2025'!BW10),'[1]Turnover 2025'!BW10,0)+IF(ISNUMBER('[1]Turnover 2025'!CE10),'[1]Turnover 2025'!CE10,0)+IF(ISNUMBER('[1]Turnover 2025'!CM10),'[1]Turnover 2025'!CM10,0)+IF(ISNUMBER('[1]Turnover 2025'!CU10),'[1]Turnover 2025'!CU10,0)+IF(ISNUMBER('[1]Turnover 2025'!DC10),'[1]Turnover 2025'!DC10,0)+IF(ISNUMBER('[1]Turnover 2025'!DK10),'[1]Turnover 2025'!DK10,0)+IF(ISNUMBER('[1]Turnover 2025'!DS10),'[1]Turnover 2025'!DS10,0)+IF(ISNUMBER('[1]Turnover 2025'!EA10),'[1]Turnover 2025'!EA10,0)+IF(ISNUMBER('[1]Turnover 2025'!EI10),'[1]Turnover 2025'!EI10,0)+IF(ISNUMBER('[1]Turnover 2025'!EQ10),'[1]Turnover 2025'!EQ10,0)+IF(ISNUMBER('[1]Turnover 2025'!EY10),'[1]Turnover 2025'!EY10,0)+IF(ISNUMBER('[1]Turnover 2025'!FG10),'[1]Turnover 2025'!FG10,0)+IF(ISNUMBER('[1]Turnover 2025'!FO10),'[1]Turnover 2025'!FO10,0)+IF(ISNUMBER('[1]Turnover 2025'!FW10),'[1]Turnover 2025'!FW10,0)+IF(ISNUMBER('[1]Turnover 2025'!GE10),'[1]Turnover 2025'!GE10,0)+IF(ISNUMBER('[1]Turnover 2025'!GM10),'[1]Turnover 2025'!GM10,0)+IF(ISNUMBER('[1]Turnover 2025'!GU10),'[1]Turnover 2025'!GU10,0)+IF(ISNUMBER('[1]Turnover 2025'!HC10),'[1]Turnover 2025'!HC10,0)+IF(ISNUMBER('[1]Turnover 2025'!HK10),'[1]Turnover 2025'!HK10,0)+IF(ISNUMBER('[1]Turnover 2025'!HS10),'[1]Turnover 2025'!HS10,0)+IF(ISNUMBER('[1]Turnover 2025'!IA10),'[1]Turnover 2025'!IA10,0)+IF(ISNUMBER('[1]Turnover 2025'!II10),'[1]Turnover 2025'!II10,0)+IF(ISNUMBER('[1]Turnover 2025'!IQ10),'[1]Turnover 2025'!IQ10,0)</f>
        <v>216</v>
      </c>
      <c r="S10" s="20">
        <f t="shared" si="0"/>
        <v>2.3148148148148147E-2</v>
      </c>
      <c r="T10" s="19">
        <f>SUM($Q$4:Q10)</f>
        <v>39</v>
      </c>
      <c r="U10" s="19">
        <f>AVERAGE($R$4:R10)</f>
        <v>217</v>
      </c>
      <c r="V10" s="20">
        <f t="shared" si="1"/>
        <v>0.17972350230414746</v>
      </c>
      <c r="W10" s="21"/>
      <c r="X10" s="21"/>
      <c r="Y10" s="22"/>
      <c r="Z10" s="22"/>
      <c r="AA10" s="19"/>
      <c r="AB10" s="20"/>
    </row>
    <row r="11" spans="16:28" x14ac:dyDescent="0.25">
      <c r="P11" s="23" t="s">
        <v>1820</v>
      </c>
      <c r="Q11" s="24">
        <f>'[1]Turnover 2025'!B11+'[1]Turnover 2025'!J11+'[1]Turnover 2025'!R11+'[1]Turnover 2025'!Z11+'[1]Turnover 2025'!AH11+'[1]Turnover 2025'!AP11+'[1]Turnover 2025'!AX11+'[1]Turnover 2025'!BF11+'[1]Turnover 2025'!BN11+'[1]Turnover 2025'!BV11+'[1]Turnover 2025'!CD11+'[1]Turnover 2025'!CL11+'[1]Turnover 2025'!CT11+'[1]Turnover 2025'!DB11+'[1]Turnover 2025'!DJ11+'[1]Turnover 2025'!DR11+'[1]Turnover 2025'!DZ11+'[1]Turnover 2025'!EH11+'[1]Turnover 2025'!EP11+'[1]Turnover 2025'!EX11+'[1]Turnover 2025'!FF11+'[1]Turnover 2025'!FN11+'[1]Turnover 2025'!FV11+'[1]Turnover 2025'!GD11+'[1]Turnover 2025'!GL11+'[1]Turnover 2025'!GT11+'[1]Turnover 2025'!HB11+'[1]Turnover 2025'!HJ11+'[1]Turnover 2025'!HR11+'[1]Turnover 2025'!HZ11+'[1]Turnover 2025'!IH11+'[1]Turnover 2025'!IP11</f>
        <v>4</v>
      </c>
      <c r="R11" s="24">
        <f>IF(ISNUMBER('[1]Turnover 2025'!C11),'[1]Turnover 2025'!C11,0)+IF(ISNUMBER('[1]Turnover 2025'!K11),'[1]Turnover 2025'!K11,0)+IF(ISNUMBER('[1]Turnover 2025'!S11),'[1]Turnover 2025'!S11,0)+IF(ISNUMBER('[1]Turnover 2025'!AA11),'[1]Turnover 2025'!AA11,0)+IF(ISNUMBER('[1]Turnover 2025'!AI11),'[1]Turnover 2025'!AI11,0)+IF(ISNUMBER('[1]Turnover 2025'!AQ11),'[1]Turnover 2025'!AQ11,0)+IF(ISNUMBER('[1]Turnover 2025'!AY11),'[1]Turnover 2025'!AY11,0)+IF(ISNUMBER('[1]Turnover 2025'!BG11),'[1]Turnover 2025'!BG11,0)+IF(ISNUMBER('[1]Turnover 2025'!BO11),'[1]Turnover 2025'!BO11,0)+IF(ISNUMBER('[1]Turnover 2025'!BW11),'[1]Turnover 2025'!BW11,0)+IF(ISNUMBER('[1]Turnover 2025'!CE11),'[1]Turnover 2025'!CE11,0)+IF(ISNUMBER('[1]Turnover 2025'!CM11),'[1]Turnover 2025'!CM11,0)+IF(ISNUMBER('[1]Turnover 2025'!CU11),'[1]Turnover 2025'!CU11,0)+IF(ISNUMBER('[1]Turnover 2025'!DC11),'[1]Turnover 2025'!DC11,0)+IF(ISNUMBER('[1]Turnover 2025'!DK11),'[1]Turnover 2025'!DK11,0)+IF(ISNUMBER('[1]Turnover 2025'!DS11),'[1]Turnover 2025'!DS11,0)+IF(ISNUMBER('[1]Turnover 2025'!EA11),'[1]Turnover 2025'!EA11,0)+IF(ISNUMBER('[1]Turnover 2025'!EI11),'[1]Turnover 2025'!EI11,0)+IF(ISNUMBER('[1]Turnover 2025'!EQ11),'[1]Turnover 2025'!EQ11,0)+IF(ISNUMBER('[1]Turnover 2025'!EY11),'[1]Turnover 2025'!EY11,0)+IF(ISNUMBER('[1]Turnover 2025'!FG11),'[1]Turnover 2025'!FG11,0)+IF(ISNUMBER('[1]Turnover 2025'!FO11),'[1]Turnover 2025'!FO11,0)+IF(ISNUMBER('[1]Turnover 2025'!FW11),'[1]Turnover 2025'!FW11,0)+IF(ISNUMBER('[1]Turnover 2025'!GE11),'[1]Turnover 2025'!GE11,0)+IF(ISNUMBER('[1]Turnover 2025'!GM11),'[1]Turnover 2025'!GM11,0)+IF(ISNUMBER('[1]Turnover 2025'!GU11),'[1]Turnover 2025'!GU11,0)+IF(ISNUMBER('[1]Turnover 2025'!HC11),'[1]Turnover 2025'!HC11,0)+IF(ISNUMBER('[1]Turnover 2025'!HK11),'[1]Turnover 2025'!HK11,0)+IF(ISNUMBER('[1]Turnover 2025'!HS11),'[1]Turnover 2025'!HS11,0)+IF(ISNUMBER('[1]Turnover 2025'!IA11),'[1]Turnover 2025'!IA11,0)+IF(ISNUMBER('[1]Turnover 2025'!II11),'[1]Turnover 2025'!II11,0)+IF(ISNUMBER('[1]Turnover 2025'!IQ11),'[1]Turnover 2025'!IQ11,0)</f>
        <v>215</v>
      </c>
      <c r="S11" s="20">
        <f t="shared" si="0"/>
        <v>1.8604651162790697E-2</v>
      </c>
      <c r="T11" s="19">
        <f>SUM($Q$4:Q11)</f>
        <v>43</v>
      </c>
      <c r="U11" s="19">
        <f>AVERAGE($R$4:R11)</f>
        <v>216.75</v>
      </c>
      <c r="V11" s="20">
        <f t="shared" si="1"/>
        <v>0.19838523644752018</v>
      </c>
      <c r="W11" s="21"/>
      <c r="X11" s="21"/>
      <c r="Y11" s="22"/>
      <c r="Z11" s="22"/>
      <c r="AA11" s="19"/>
      <c r="AB11" s="20"/>
    </row>
    <row r="12" spans="16:28" x14ac:dyDescent="0.25">
      <c r="P12" s="18" t="s">
        <v>1821</v>
      </c>
      <c r="Q12" s="19">
        <f>'[1]Turnover 2025'!B12+'[1]Turnover 2025'!J12+'[1]Turnover 2025'!R12+'[1]Turnover 2025'!Z12+'[1]Turnover 2025'!AH12+'[1]Turnover 2025'!AP12+'[1]Turnover 2025'!AX12+'[1]Turnover 2025'!BF12+'[1]Turnover 2025'!BN12+'[1]Turnover 2025'!BV12+'[1]Turnover 2025'!CD12+'[1]Turnover 2025'!CL12+'[1]Turnover 2025'!CT12+'[1]Turnover 2025'!DB12+'[1]Turnover 2025'!DJ12+'[1]Turnover 2025'!DR12+'[1]Turnover 2025'!DZ12+'[1]Turnover 2025'!EH12+'[1]Turnover 2025'!EP12+'[1]Turnover 2025'!EX12+'[1]Turnover 2025'!FF12+'[1]Turnover 2025'!FN12+'[1]Turnover 2025'!FV12+'[1]Turnover 2025'!GD12+'[1]Turnover 2025'!GL12+'[1]Turnover 2025'!GT12+'[1]Turnover 2025'!HB12+'[1]Turnover 2025'!HJ12+'[1]Turnover 2025'!HR12+'[1]Turnover 2025'!HZ12+'[1]Turnover 2025'!IH12+'[1]Turnover 2025'!IP12</f>
        <v>5</v>
      </c>
      <c r="R12" s="19">
        <f>IF(ISNUMBER('[1]Turnover 2025'!C12),'[1]Turnover 2025'!C12,0)+IF(ISNUMBER('[1]Turnover 2025'!K12),'[1]Turnover 2025'!K12,0)+IF(ISNUMBER('[1]Turnover 2025'!S12),'[1]Turnover 2025'!S12,0)+IF(ISNUMBER('[1]Turnover 2025'!AA12),'[1]Turnover 2025'!AA12,0)+IF(ISNUMBER('[1]Turnover 2025'!AI12),'[1]Turnover 2025'!AI12,0)+IF(ISNUMBER('[1]Turnover 2025'!AQ12),'[1]Turnover 2025'!AQ12,0)+IF(ISNUMBER('[1]Turnover 2025'!AY12),'[1]Turnover 2025'!AY12,0)+IF(ISNUMBER('[1]Turnover 2025'!BG12),'[1]Turnover 2025'!BG12,0)+IF(ISNUMBER('[1]Turnover 2025'!BO12),'[1]Turnover 2025'!BO12,0)+IF(ISNUMBER('[1]Turnover 2025'!BW12),'[1]Turnover 2025'!BW12,0)+IF(ISNUMBER('[1]Turnover 2025'!CE12),'[1]Turnover 2025'!CE12,0)+IF(ISNUMBER('[1]Turnover 2025'!CM12),'[1]Turnover 2025'!CM12,0)+IF(ISNUMBER('[1]Turnover 2025'!CU12),'[1]Turnover 2025'!CU12,0)+IF(ISNUMBER('[1]Turnover 2025'!DC12),'[1]Turnover 2025'!DC12,0)+IF(ISNUMBER('[1]Turnover 2025'!DK12),'[1]Turnover 2025'!DK12,0)+IF(ISNUMBER('[1]Turnover 2025'!DS12),'[1]Turnover 2025'!DS12,0)+IF(ISNUMBER('[1]Turnover 2025'!EA12),'[1]Turnover 2025'!EA12,0)+IF(ISNUMBER('[1]Turnover 2025'!EI12),'[1]Turnover 2025'!EI12,0)+IF(ISNUMBER('[1]Turnover 2025'!EQ12),'[1]Turnover 2025'!EQ12,0)+IF(ISNUMBER('[1]Turnover 2025'!EY12),'[1]Turnover 2025'!EY12,0)+IF(ISNUMBER('[1]Turnover 2025'!FG12),'[1]Turnover 2025'!FG12,0)+IF(ISNUMBER('[1]Turnover 2025'!FO12),'[1]Turnover 2025'!FO12,0)+IF(ISNUMBER('[1]Turnover 2025'!FW12),'[1]Turnover 2025'!FW12,0)+IF(ISNUMBER('[1]Turnover 2025'!GE12),'[1]Turnover 2025'!GE12,0)+IF(ISNUMBER('[1]Turnover 2025'!GM12),'[1]Turnover 2025'!GM12,0)+IF(ISNUMBER('[1]Turnover 2025'!GU12),'[1]Turnover 2025'!GU12,0)+IF(ISNUMBER('[1]Turnover 2025'!HC12),'[1]Turnover 2025'!HC12,0)+IF(ISNUMBER('[1]Turnover 2025'!HK12),'[1]Turnover 2025'!HK12,0)+IF(ISNUMBER('[1]Turnover 2025'!HS12),'[1]Turnover 2025'!HS12,0)+IF(ISNUMBER('[1]Turnover 2025'!IA12),'[1]Turnover 2025'!IA12,0)+IF(ISNUMBER('[1]Turnover 2025'!II12),'[1]Turnover 2025'!II12,0)+IF(ISNUMBER('[1]Turnover 2025'!IQ12),'[1]Turnover 2025'!IQ12,0)</f>
        <v>212</v>
      </c>
      <c r="S12" s="20">
        <f t="shared" si="0"/>
        <v>2.358490566037736E-2</v>
      </c>
      <c r="T12" s="19">
        <f>SUM($Q$4:Q12)</f>
        <v>48</v>
      </c>
      <c r="U12" s="19">
        <f>AVERAGE($R$4:R12)</f>
        <v>216.22222222222223</v>
      </c>
      <c r="V12" s="20">
        <f t="shared" si="1"/>
        <v>0.22199383350462487</v>
      </c>
      <c r="W12" s="21"/>
      <c r="X12" s="21"/>
      <c r="Y12" s="22"/>
      <c r="Z12" s="22"/>
      <c r="AA12" s="19"/>
      <c r="AB12" s="20"/>
    </row>
    <row r="13" spans="16:28" x14ac:dyDescent="0.25">
      <c r="P13" s="23" t="s">
        <v>1822</v>
      </c>
      <c r="Q13" s="24">
        <f>'[1]Turnover 2025'!B13+'[1]Turnover 2025'!J13+'[1]Turnover 2025'!R13+'[1]Turnover 2025'!Z13+'[1]Turnover 2025'!AH13+'[1]Turnover 2025'!AP13+'[1]Turnover 2025'!AX13+'[1]Turnover 2025'!BF13+'[1]Turnover 2025'!BN13+'[1]Turnover 2025'!BV13+'[1]Turnover 2025'!CD13+'[1]Turnover 2025'!CL13+'[1]Turnover 2025'!CT13+'[1]Turnover 2025'!DB13+'[1]Turnover 2025'!DJ13+'[1]Turnover 2025'!DR13+'[1]Turnover 2025'!DZ13+'[1]Turnover 2025'!EH13+'[1]Turnover 2025'!EP13+'[1]Turnover 2025'!EX13+'[1]Turnover 2025'!FF13+'[1]Turnover 2025'!FN13+'[1]Turnover 2025'!FV13+'[1]Turnover 2025'!GD13+'[1]Turnover 2025'!GL13+'[1]Turnover 2025'!GT13+'[1]Turnover 2025'!HB13+'[1]Turnover 2025'!HJ13+'[1]Turnover 2025'!HR13+'[1]Turnover 2025'!HZ13+'[1]Turnover 2025'!IH13+'[1]Turnover 2025'!IP13</f>
        <v>4</v>
      </c>
      <c r="R13" s="24">
        <f>IF(ISNUMBER('[1]Turnover 2025'!C13),'[1]Turnover 2025'!C13,0)+IF(ISNUMBER('[1]Turnover 2025'!K13),'[1]Turnover 2025'!K13,0)+IF(ISNUMBER('[1]Turnover 2025'!S13),'[1]Turnover 2025'!S13,0)+IF(ISNUMBER('[1]Turnover 2025'!AA13),'[1]Turnover 2025'!AA13,0)+IF(ISNUMBER('[1]Turnover 2025'!AI13),'[1]Turnover 2025'!AI13,0)+IF(ISNUMBER('[1]Turnover 2025'!AQ13),'[1]Turnover 2025'!AQ13,0)+IF(ISNUMBER('[1]Turnover 2025'!AY13),'[1]Turnover 2025'!AY13,0)+IF(ISNUMBER('[1]Turnover 2025'!BG13),'[1]Turnover 2025'!BG13,0)+IF(ISNUMBER('[1]Turnover 2025'!BO13),'[1]Turnover 2025'!BO13,0)+IF(ISNUMBER('[1]Turnover 2025'!BW13),'[1]Turnover 2025'!BW13,0)+IF(ISNUMBER('[1]Turnover 2025'!CE13),'[1]Turnover 2025'!CE13,0)+IF(ISNUMBER('[1]Turnover 2025'!CM13),'[1]Turnover 2025'!CM13,0)+IF(ISNUMBER('[1]Turnover 2025'!CU13),'[1]Turnover 2025'!CU13,0)+IF(ISNUMBER('[1]Turnover 2025'!DC13),'[1]Turnover 2025'!DC13,0)+IF(ISNUMBER('[1]Turnover 2025'!DK13),'[1]Turnover 2025'!DK13,0)+IF(ISNUMBER('[1]Turnover 2025'!DS13),'[1]Turnover 2025'!DS13,0)+IF(ISNUMBER('[1]Turnover 2025'!EA13),'[1]Turnover 2025'!EA13,0)+IF(ISNUMBER('[1]Turnover 2025'!EI13),'[1]Turnover 2025'!EI13,0)+IF(ISNUMBER('[1]Turnover 2025'!EQ13),'[1]Turnover 2025'!EQ13,0)+IF(ISNUMBER('[1]Turnover 2025'!EY13),'[1]Turnover 2025'!EY13,0)+IF(ISNUMBER('[1]Turnover 2025'!FG13),'[1]Turnover 2025'!FG13,0)+IF(ISNUMBER('[1]Turnover 2025'!FO13),'[1]Turnover 2025'!FO13,0)+IF(ISNUMBER('[1]Turnover 2025'!FW13),'[1]Turnover 2025'!FW13,0)+IF(ISNUMBER('[1]Turnover 2025'!GE13),'[1]Turnover 2025'!GE13,0)+IF(ISNUMBER('[1]Turnover 2025'!GM13),'[1]Turnover 2025'!GM13,0)+IF(ISNUMBER('[1]Turnover 2025'!GU13),'[1]Turnover 2025'!GU13,0)+IF(ISNUMBER('[1]Turnover 2025'!HC13),'[1]Turnover 2025'!HC13,0)+IF(ISNUMBER('[1]Turnover 2025'!HK13),'[1]Turnover 2025'!HK13,0)+IF(ISNUMBER('[1]Turnover 2025'!HS13),'[1]Turnover 2025'!HS13,0)+IF(ISNUMBER('[1]Turnover 2025'!IA13),'[1]Turnover 2025'!IA13,0)+IF(ISNUMBER('[1]Turnover 2025'!II13),'[1]Turnover 2025'!II13,0)+IF(ISNUMBER('[1]Turnover 2025'!IQ13),'[1]Turnover 2025'!IQ13,0)</f>
        <v>205</v>
      </c>
      <c r="S13" s="20">
        <f t="shared" si="0"/>
        <v>1.9512195121951219E-2</v>
      </c>
      <c r="T13" s="19">
        <f>SUM($Q$4:Q13)</f>
        <v>52</v>
      </c>
      <c r="U13" s="19">
        <f>AVERAGE($R$4:R13)</f>
        <v>215.1</v>
      </c>
      <c r="V13" s="20">
        <f t="shared" si="1"/>
        <v>0.24174802417480243</v>
      </c>
      <c r="W13" s="21"/>
      <c r="X13" s="21"/>
      <c r="Y13" s="22"/>
      <c r="Z13" s="22"/>
      <c r="AA13" s="19"/>
      <c r="AB13" s="20"/>
    </row>
    <row r="14" spans="16:28" x14ac:dyDescent="0.25">
      <c r="P14" s="18" t="s">
        <v>1823</v>
      </c>
      <c r="Q14" s="19">
        <f>'[1]Turnover 2025'!B14+'[1]Turnover 2025'!J14+'[1]Turnover 2025'!R14+'[1]Turnover 2025'!Z14+'[1]Turnover 2025'!AH14+'[1]Turnover 2025'!AP14+'[1]Turnover 2025'!AX14+'[1]Turnover 2025'!BF14+'[1]Turnover 2025'!BN14+'[1]Turnover 2025'!BV14+'[1]Turnover 2025'!CD14+'[1]Turnover 2025'!CL14+'[1]Turnover 2025'!CT14+'[1]Turnover 2025'!DB14+'[1]Turnover 2025'!DJ14+'[1]Turnover 2025'!DR14+'[1]Turnover 2025'!DZ14+'[1]Turnover 2025'!EH14+'[1]Turnover 2025'!EP14+'[1]Turnover 2025'!EX14+'[1]Turnover 2025'!FF14+'[1]Turnover 2025'!FN14+'[1]Turnover 2025'!FV14+'[1]Turnover 2025'!GD14+'[1]Turnover 2025'!GL14+'[1]Turnover 2025'!GT14+'[1]Turnover 2025'!HB14+'[1]Turnover 2025'!HJ14+'[1]Turnover 2025'!HR14+'[1]Turnover 2025'!HZ14+'[1]Turnover 2025'!IH14+'[1]Turnover 2025'!IP14</f>
        <v>2</v>
      </c>
      <c r="R14" s="19">
        <f>IF(ISNUMBER('[1]Turnover 2025'!C14),'[1]Turnover 2025'!C14,0)+IF(ISNUMBER('[1]Turnover 2025'!K14),'[1]Turnover 2025'!K14,0)+IF(ISNUMBER('[1]Turnover 2025'!S14),'[1]Turnover 2025'!S14,0)+IF(ISNUMBER('[1]Turnover 2025'!AA14),'[1]Turnover 2025'!AA14,0)+IF(ISNUMBER('[1]Turnover 2025'!AI14),'[1]Turnover 2025'!AI14,0)+IF(ISNUMBER('[1]Turnover 2025'!AQ14),'[1]Turnover 2025'!AQ14,0)+IF(ISNUMBER('[1]Turnover 2025'!AY14),'[1]Turnover 2025'!AY14,0)+IF(ISNUMBER('[1]Turnover 2025'!BG14),'[1]Turnover 2025'!BG14,0)+IF(ISNUMBER('[1]Turnover 2025'!BO14),'[1]Turnover 2025'!BO14,0)+IF(ISNUMBER('[1]Turnover 2025'!BW14),'[1]Turnover 2025'!BW14,0)+IF(ISNUMBER('[1]Turnover 2025'!CE14),'[1]Turnover 2025'!CE14,0)+IF(ISNUMBER('[1]Turnover 2025'!CM14),'[1]Turnover 2025'!CM14,0)+IF(ISNUMBER('[1]Turnover 2025'!CU14),'[1]Turnover 2025'!CU14,0)+IF(ISNUMBER('[1]Turnover 2025'!DC14),'[1]Turnover 2025'!DC14,0)+IF(ISNUMBER('[1]Turnover 2025'!DK14),'[1]Turnover 2025'!DK14,0)+IF(ISNUMBER('[1]Turnover 2025'!DS14),'[1]Turnover 2025'!DS14,0)+IF(ISNUMBER('[1]Turnover 2025'!EA14),'[1]Turnover 2025'!EA14,0)+IF(ISNUMBER('[1]Turnover 2025'!EI14),'[1]Turnover 2025'!EI14,0)+IF(ISNUMBER('[1]Turnover 2025'!EQ14),'[1]Turnover 2025'!EQ14,0)+IF(ISNUMBER('[1]Turnover 2025'!EY14),'[1]Turnover 2025'!EY14,0)+IF(ISNUMBER('[1]Turnover 2025'!FG14),'[1]Turnover 2025'!FG14,0)+IF(ISNUMBER('[1]Turnover 2025'!FO14),'[1]Turnover 2025'!FO14,0)+IF(ISNUMBER('[1]Turnover 2025'!FW14),'[1]Turnover 2025'!FW14,0)+IF(ISNUMBER('[1]Turnover 2025'!GE14),'[1]Turnover 2025'!GE14,0)+IF(ISNUMBER('[1]Turnover 2025'!GM14),'[1]Turnover 2025'!GM14,0)+IF(ISNUMBER('[1]Turnover 2025'!GU14),'[1]Turnover 2025'!GU14,0)+IF(ISNUMBER('[1]Turnover 2025'!HC14),'[1]Turnover 2025'!HC14,0)+IF(ISNUMBER('[1]Turnover 2025'!HK14),'[1]Turnover 2025'!HK14,0)+IF(ISNUMBER('[1]Turnover 2025'!HS14),'[1]Turnover 2025'!HS14,0)+IF(ISNUMBER('[1]Turnover 2025'!IA14),'[1]Turnover 2025'!IA14,0)+IF(ISNUMBER('[1]Turnover 2025'!II14),'[1]Turnover 2025'!II14,0)+IF(ISNUMBER('[1]Turnover 2025'!IQ14),'[1]Turnover 2025'!IQ14,0)</f>
        <v>204</v>
      </c>
      <c r="S14" s="20">
        <f t="shared" si="0"/>
        <v>9.8039215686274508E-3</v>
      </c>
      <c r="T14" s="19">
        <f>SUM($Q$4:Q14)</f>
        <v>54</v>
      </c>
      <c r="U14" s="19">
        <f>AVERAGE($R$4:R14)</f>
        <v>214.09090909090909</v>
      </c>
      <c r="V14" s="20">
        <f t="shared" si="1"/>
        <v>0.25222929936305732</v>
      </c>
      <c r="W14" s="21"/>
      <c r="X14" s="21"/>
      <c r="Y14" s="22"/>
      <c r="Z14" s="22"/>
      <c r="AA14" s="19"/>
      <c r="AB14" s="20"/>
    </row>
    <row r="15" spans="16:28" x14ac:dyDescent="0.25">
      <c r="P15" s="23" t="s">
        <v>1824</v>
      </c>
      <c r="Q15" s="24">
        <f>'[1]Turnover 2025'!B15+'[1]Turnover 2025'!J15+'[1]Turnover 2025'!R15+'[1]Turnover 2025'!Z15+'[1]Turnover 2025'!AH15+'[1]Turnover 2025'!AP15+'[1]Turnover 2025'!AX15+'[1]Turnover 2025'!BF15+'[1]Turnover 2025'!BN15+'[1]Turnover 2025'!BV15+'[1]Turnover 2025'!CD15+'[1]Turnover 2025'!CL15+'[1]Turnover 2025'!CT15+'[1]Turnover 2025'!DB15+'[1]Turnover 2025'!DJ15+'[1]Turnover 2025'!DR15+'[1]Turnover 2025'!DZ15+'[1]Turnover 2025'!EH15+'[1]Turnover 2025'!EP15+'[1]Turnover 2025'!EX15+'[1]Turnover 2025'!FF15+'[1]Turnover 2025'!FN15+'[1]Turnover 2025'!FV15+'[1]Turnover 2025'!GD15+'[1]Turnover 2025'!GL15+'[1]Turnover 2025'!GT15+'[1]Turnover 2025'!HB15+'[1]Turnover 2025'!HJ15+'[1]Turnover 2025'!HR15+'[1]Turnover 2025'!HZ15+'[1]Turnover 2025'!IH15+'[1]Turnover 2025'!IP15</f>
        <v>2</v>
      </c>
      <c r="R15" s="24">
        <f>IF(ISNUMBER('[1]Turnover 2025'!C15),'[1]Turnover 2025'!C15,0)+IF(ISNUMBER('[1]Turnover 2025'!K15),'[1]Turnover 2025'!K15,0)+IF(ISNUMBER('[1]Turnover 2025'!S15),'[1]Turnover 2025'!S15,0)+IF(ISNUMBER('[1]Turnover 2025'!AA15),'[1]Turnover 2025'!AA15,0)+IF(ISNUMBER('[1]Turnover 2025'!AI15),'[1]Turnover 2025'!AI15,0)+IF(ISNUMBER('[1]Turnover 2025'!AQ15),'[1]Turnover 2025'!AQ15,0)+IF(ISNUMBER('[1]Turnover 2025'!AY15),'[1]Turnover 2025'!AY15,0)+IF(ISNUMBER('[1]Turnover 2025'!BG15),'[1]Turnover 2025'!BG15,0)+IF(ISNUMBER('[1]Turnover 2025'!BO15),'[1]Turnover 2025'!BO15,0)+IF(ISNUMBER('[1]Turnover 2025'!BW15),'[1]Turnover 2025'!BW15,0)+IF(ISNUMBER('[1]Turnover 2025'!CE15),'[1]Turnover 2025'!CE15,0)+IF(ISNUMBER('[1]Turnover 2025'!CM15),'[1]Turnover 2025'!CM15,0)+IF(ISNUMBER('[1]Turnover 2025'!CU15),'[1]Turnover 2025'!CU15,0)+IF(ISNUMBER('[1]Turnover 2025'!DC15),'[1]Turnover 2025'!DC15,0)+IF(ISNUMBER('[1]Turnover 2025'!DK15),'[1]Turnover 2025'!DK15,0)+IF(ISNUMBER('[1]Turnover 2025'!DS15),'[1]Turnover 2025'!DS15,0)+IF(ISNUMBER('[1]Turnover 2025'!EA15),'[1]Turnover 2025'!EA15,0)+IF(ISNUMBER('[1]Turnover 2025'!EI15),'[1]Turnover 2025'!EI15,0)+IF(ISNUMBER('[1]Turnover 2025'!EQ15),'[1]Turnover 2025'!EQ15,0)+IF(ISNUMBER('[1]Turnover 2025'!EY15),'[1]Turnover 2025'!EY15,0)+IF(ISNUMBER('[1]Turnover 2025'!FG15),'[1]Turnover 2025'!FG15,0)+IF(ISNUMBER('[1]Turnover 2025'!FO15),'[1]Turnover 2025'!FO15,0)+IF(ISNUMBER('[1]Turnover 2025'!FW15),'[1]Turnover 2025'!FW15,0)+IF(ISNUMBER('[1]Turnover 2025'!GE15),'[1]Turnover 2025'!GE15,0)+IF(ISNUMBER('[1]Turnover 2025'!GM15),'[1]Turnover 2025'!GM15,0)+IF(ISNUMBER('[1]Turnover 2025'!GU15),'[1]Turnover 2025'!GU15,0)+IF(ISNUMBER('[1]Turnover 2025'!HC15),'[1]Turnover 2025'!HC15,0)+IF(ISNUMBER('[1]Turnover 2025'!HK15),'[1]Turnover 2025'!HK15,0)+IF(ISNUMBER('[1]Turnover 2025'!HS15),'[1]Turnover 2025'!HS15,0)+IF(ISNUMBER('[1]Turnover 2025'!IA15),'[1]Turnover 2025'!IA15,0)+IF(ISNUMBER('[1]Turnover 2025'!II15),'[1]Turnover 2025'!II15,0)+IF(ISNUMBER('[1]Turnover 2025'!IQ15),'[1]Turnover 2025'!IQ15,0)</f>
        <v>202</v>
      </c>
      <c r="S15" s="20">
        <f t="shared" si="0"/>
        <v>9.9009900990099011E-3</v>
      </c>
      <c r="T15" s="19">
        <f>SUM($Q$4:Q15)</f>
        <v>56</v>
      </c>
      <c r="U15" s="19">
        <f>AVERAGE($R$4:R15)</f>
        <v>213.08333333333334</v>
      </c>
      <c r="V15" s="20">
        <f t="shared" si="1"/>
        <v>0.26280797809933515</v>
      </c>
      <c r="W15" s="21"/>
      <c r="X15" s="21"/>
      <c r="Y15" s="22"/>
      <c r="Z15" s="22"/>
      <c r="AA15" s="19"/>
      <c r="AB15" s="20"/>
    </row>
    <row r="16" spans="16:28" x14ac:dyDescent="0.25">
      <c r="P16" s="27" t="s">
        <v>1825</v>
      </c>
      <c r="Q16" s="28">
        <f>SUM(Q4:Q15)</f>
        <v>56</v>
      </c>
      <c r="R16" s="28">
        <f>SUM(R4:R15)</f>
        <v>2557</v>
      </c>
      <c r="S16" s="29"/>
      <c r="T16" s="29"/>
      <c r="U16" s="29"/>
      <c r="V16" s="29">
        <f>Q16/R17</f>
        <v>0.26280797809933515</v>
      </c>
      <c r="W16" s="28">
        <f>SUM(W4:W9)</f>
        <v>26</v>
      </c>
      <c r="X16" s="28">
        <f>SUM(X4:X9)</f>
        <v>1145</v>
      </c>
      <c r="Y16" s="29"/>
      <c r="Z16" s="27"/>
      <c r="AA16" s="27"/>
      <c r="AB16" s="29">
        <f>W16/X17</f>
        <v>0.13624454148471615</v>
      </c>
    </row>
    <row r="17" spans="14:28" ht="14.4" x14ac:dyDescent="0.3">
      <c r="O17" s="30"/>
      <c r="P17" s="31" t="s">
        <v>1826</v>
      </c>
      <c r="Q17" s="32"/>
      <c r="R17" s="33">
        <f>AVERAGE(R4:R15)</f>
        <v>213.08333333333334</v>
      </c>
      <c r="S17" s="33"/>
      <c r="T17" s="33"/>
      <c r="U17" s="33"/>
      <c r="V17" s="33"/>
      <c r="W17" s="32"/>
      <c r="X17" s="34">
        <f>AVERAGE(X4:X9)</f>
        <v>190.83333333333334</v>
      </c>
      <c r="Y17" s="35"/>
      <c r="Z17" s="36"/>
      <c r="AA17" s="36"/>
      <c r="AB17" s="36"/>
    </row>
    <row r="18" spans="14:28" ht="27.6" x14ac:dyDescent="0.65">
      <c r="N18" s="37" t="s">
        <v>1827</v>
      </c>
      <c r="O18" s="37">
        <v>2025</v>
      </c>
      <c r="P18" s="38">
        <f>Q16/R17</f>
        <v>0.26280797809933515</v>
      </c>
    </row>
    <row r="19" spans="14:28" ht="27.6" x14ac:dyDescent="0.65">
      <c r="N19" s="37"/>
      <c r="O19" s="37">
        <v>2026</v>
      </c>
      <c r="P19" s="38">
        <f>W16/X17</f>
        <v>0.13624454148471615</v>
      </c>
    </row>
    <row r="20" spans="14:28" ht="27.6" x14ac:dyDescent="0.65">
      <c r="N20" s="37"/>
      <c r="O20" s="39" t="s">
        <v>1828</v>
      </c>
      <c r="P20" s="38">
        <f>SUM(Q16,W16)/182</f>
        <v>0.45054945054945056</v>
      </c>
    </row>
  </sheetData>
  <mergeCells count="2">
    <mergeCell ref="Q2:V2"/>
    <mergeCell ref="W2:A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CF8D-7D6F-45CB-B8F2-9498490927D3}">
  <dimension ref="A1:AJ89"/>
  <sheetViews>
    <sheetView topLeftCell="A77" workbookViewId="0">
      <selection activeCell="F90" sqref="F90"/>
    </sheetView>
  </sheetViews>
  <sheetFormatPr defaultRowHeight="13.8" x14ac:dyDescent="0.25"/>
  <cols>
    <col min="6" max="6" width="15.09765625" bestFit="1" customWidth="1"/>
    <col min="16" max="16" width="30.5" bestFit="1" customWidth="1"/>
    <col min="17" max="17" width="21.796875" bestFit="1" customWidth="1"/>
  </cols>
  <sheetData>
    <row r="1" spans="1:32" ht="21" x14ac:dyDescent="0.6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2"/>
      <c r="AF1" s="2"/>
    </row>
    <row r="2" spans="1:32" ht="21" x14ac:dyDescent="0.6">
      <c r="A2" s="2">
        <v>1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38</v>
      </c>
      <c r="J2" s="2" t="s">
        <v>126</v>
      </c>
      <c r="K2" s="2" t="s">
        <v>127</v>
      </c>
      <c r="L2" s="2" t="s">
        <v>127</v>
      </c>
      <c r="M2" s="2" t="s">
        <v>128</v>
      </c>
      <c r="N2" s="2" t="s">
        <v>129</v>
      </c>
      <c r="O2" s="2">
        <v>3360100032496</v>
      </c>
      <c r="P2" s="2" t="s">
        <v>130</v>
      </c>
      <c r="Q2" s="2" t="s">
        <v>131</v>
      </c>
      <c r="R2" s="2" t="s">
        <v>132</v>
      </c>
      <c r="S2" s="2">
        <v>15828</v>
      </c>
      <c r="T2" s="2" t="s">
        <v>133</v>
      </c>
      <c r="U2" s="2"/>
      <c r="V2" s="2"/>
      <c r="W2" s="3">
        <v>39833</v>
      </c>
      <c r="X2" s="2">
        <v>43.05</v>
      </c>
      <c r="Y2" s="2">
        <v>17.05</v>
      </c>
      <c r="Z2" s="3">
        <v>30328</v>
      </c>
      <c r="AA2" s="2">
        <v>2.85</v>
      </c>
      <c r="AB2" s="2">
        <v>2546</v>
      </c>
      <c r="AC2" s="2" t="s">
        <v>134</v>
      </c>
      <c r="AD2" s="2" t="s">
        <v>135</v>
      </c>
      <c r="AE2" s="2"/>
      <c r="AF2" s="2"/>
    </row>
    <row r="3" spans="1:32" ht="21" x14ac:dyDescent="0.6">
      <c r="A3" s="2">
        <v>2</v>
      </c>
      <c r="B3" s="2" t="s">
        <v>136</v>
      </c>
      <c r="C3" s="2" t="s">
        <v>137</v>
      </c>
      <c r="D3" s="2" t="s">
        <v>121</v>
      </c>
      <c r="E3" s="2" t="s">
        <v>138</v>
      </c>
      <c r="F3" s="2" t="s">
        <v>139</v>
      </c>
      <c r="G3" s="2" t="s">
        <v>140</v>
      </c>
      <c r="H3" s="2" t="s">
        <v>141</v>
      </c>
      <c r="I3" s="2" t="s">
        <v>12</v>
      </c>
      <c r="J3" s="2" t="s">
        <v>54</v>
      </c>
      <c r="K3" s="2" t="s">
        <v>53</v>
      </c>
      <c r="L3" s="2" t="s">
        <v>142</v>
      </c>
      <c r="M3" s="2" t="s">
        <v>143</v>
      </c>
      <c r="N3" s="2" t="s">
        <v>144</v>
      </c>
      <c r="O3" s="2">
        <v>3400700172662</v>
      </c>
      <c r="P3" s="2" t="s">
        <v>145</v>
      </c>
      <c r="Q3" s="2" t="s">
        <v>146</v>
      </c>
      <c r="R3" s="2" t="s">
        <v>147</v>
      </c>
      <c r="S3" s="2">
        <v>11807</v>
      </c>
      <c r="T3" s="2" t="s">
        <v>148</v>
      </c>
      <c r="U3" s="2">
        <v>16558</v>
      </c>
      <c r="V3" s="2" t="s">
        <v>149</v>
      </c>
      <c r="W3" s="3">
        <v>40287</v>
      </c>
      <c r="X3" s="2">
        <v>44.1</v>
      </c>
      <c r="Y3" s="2">
        <v>16.02</v>
      </c>
      <c r="Z3" s="3">
        <v>29810</v>
      </c>
      <c r="AA3" s="2">
        <v>1.43</v>
      </c>
      <c r="AB3" s="2">
        <v>2544</v>
      </c>
      <c r="AC3" s="2" t="s">
        <v>150</v>
      </c>
      <c r="AD3" s="2" t="s">
        <v>151</v>
      </c>
      <c r="AE3" s="2"/>
      <c r="AF3" s="2"/>
    </row>
    <row r="4" spans="1:32" ht="21" x14ac:dyDescent="0.6">
      <c r="A4" s="2">
        <v>3</v>
      </c>
      <c r="B4" s="2" t="s">
        <v>152</v>
      </c>
      <c r="C4" s="2" t="s">
        <v>153</v>
      </c>
      <c r="D4" s="2" t="s">
        <v>121</v>
      </c>
      <c r="E4" s="2" t="s">
        <v>122</v>
      </c>
      <c r="F4" s="2" t="s">
        <v>154</v>
      </c>
      <c r="G4" s="2" t="s">
        <v>155</v>
      </c>
      <c r="H4" s="2" t="s">
        <v>125</v>
      </c>
      <c r="I4" s="2" t="s">
        <v>12</v>
      </c>
      <c r="J4" s="2" t="s">
        <v>156</v>
      </c>
      <c r="K4" s="2" t="s">
        <v>157</v>
      </c>
      <c r="L4" s="2" t="s">
        <v>157</v>
      </c>
      <c r="M4" s="2" t="s">
        <v>143</v>
      </c>
      <c r="N4" s="2" t="s">
        <v>158</v>
      </c>
      <c r="O4" s="2">
        <v>1100400425804</v>
      </c>
      <c r="P4" s="2" t="s">
        <v>159</v>
      </c>
      <c r="Q4" s="2" t="s">
        <v>160</v>
      </c>
      <c r="R4" s="2" t="s">
        <v>161</v>
      </c>
      <c r="S4" s="2">
        <v>12324</v>
      </c>
      <c r="T4" s="2" t="s">
        <v>162</v>
      </c>
      <c r="U4" s="2"/>
      <c r="V4" s="2"/>
      <c r="W4" s="3">
        <v>40728</v>
      </c>
      <c r="X4" s="2">
        <v>36.07</v>
      </c>
      <c r="Y4" s="2">
        <v>14.11</v>
      </c>
      <c r="Z4" s="3">
        <v>32827</v>
      </c>
      <c r="AA4" s="2">
        <v>2.2200000000000002</v>
      </c>
      <c r="AB4" s="2">
        <v>2552</v>
      </c>
      <c r="AC4" s="2" t="s">
        <v>163</v>
      </c>
      <c r="AD4" s="2" t="s">
        <v>135</v>
      </c>
      <c r="AE4" s="2"/>
      <c r="AF4" s="2"/>
    </row>
    <row r="5" spans="1:32" ht="21" x14ac:dyDescent="0.6">
      <c r="A5" s="2">
        <v>4</v>
      </c>
      <c r="B5" s="2" t="s">
        <v>164</v>
      </c>
      <c r="C5" s="2" t="s">
        <v>165</v>
      </c>
      <c r="D5" s="2" t="s">
        <v>121</v>
      </c>
      <c r="E5" s="2" t="s">
        <v>122</v>
      </c>
      <c r="F5" s="2" t="s">
        <v>166</v>
      </c>
      <c r="G5" s="2" t="s">
        <v>167</v>
      </c>
      <c r="H5" s="2" t="s">
        <v>125</v>
      </c>
      <c r="I5" s="2" t="s">
        <v>168</v>
      </c>
      <c r="J5" s="2" t="s">
        <v>169</v>
      </c>
      <c r="K5" s="2" t="s">
        <v>170</v>
      </c>
      <c r="L5" s="2" t="s">
        <v>170</v>
      </c>
      <c r="M5" s="2" t="s">
        <v>128</v>
      </c>
      <c r="N5" s="2" t="s">
        <v>171</v>
      </c>
      <c r="O5" s="2">
        <v>1470100231408</v>
      </c>
      <c r="P5" s="2" t="s">
        <v>172</v>
      </c>
      <c r="Q5" s="2" t="s">
        <v>173</v>
      </c>
      <c r="R5" s="2" t="s">
        <v>174</v>
      </c>
      <c r="S5" s="2">
        <v>14183</v>
      </c>
      <c r="T5" s="2" t="s">
        <v>175</v>
      </c>
      <c r="U5" s="2">
        <v>12188</v>
      </c>
      <c r="V5" s="2" t="s">
        <v>176</v>
      </c>
      <c r="W5" s="3">
        <v>40760</v>
      </c>
      <c r="X5" s="2">
        <v>35.01</v>
      </c>
      <c r="Y5" s="2">
        <v>14.1</v>
      </c>
      <c r="Z5" s="3">
        <v>33366</v>
      </c>
      <c r="AA5" s="2">
        <v>3.25</v>
      </c>
      <c r="AB5" s="2">
        <v>2557</v>
      </c>
      <c r="AC5" s="2" t="s">
        <v>177</v>
      </c>
      <c r="AD5" s="2" t="s">
        <v>135</v>
      </c>
      <c r="AE5" s="2"/>
      <c r="AF5" s="2"/>
    </row>
    <row r="6" spans="1:32" ht="21" x14ac:dyDescent="0.6">
      <c r="A6" s="2">
        <v>5</v>
      </c>
      <c r="B6" s="2" t="s">
        <v>178</v>
      </c>
      <c r="C6" s="2" t="s">
        <v>179</v>
      </c>
      <c r="D6" s="2" t="s">
        <v>121</v>
      </c>
      <c r="E6" s="2" t="s">
        <v>138</v>
      </c>
      <c r="F6" s="2" t="s">
        <v>180</v>
      </c>
      <c r="G6" s="2" t="s">
        <v>181</v>
      </c>
      <c r="H6" s="2" t="s">
        <v>141</v>
      </c>
      <c r="I6" s="2" t="s">
        <v>12</v>
      </c>
      <c r="J6" s="2" t="s">
        <v>18</v>
      </c>
      <c r="K6" s="2" t="s">
        <v>17</v>
      </c>
      <c r="L6" s="2" t="s">
        <v>17</v>
      </c>
      <c r="M6" s="2" t="s">
        <v>143</v>
      </c>
      <c r="N6" s="2" t="s">
        <v>182</v>
      </c>
      <c r="O6" s="2">
        <v>5343100000895</v>
      </c>
      <c r="P6" s="2" t="s">
        <v>146</v>
      </c>
      <c r="Q6" s="2" t="s">
        <v>146</v>
      </c>
      <c r="R6" s="2" t="s">
        <v>183</v>
      </c>
      <c r="S6" s="2">
        <v>14727</v>
      </c>
      <c r="T6" s="2" t="s">
        <v>184</v>
      </c>
      <c r="U6" s="2">
        <v>10950</v>
      </c>
      <c r="V6" s="2" t="s">
        <v>185</v>
      </c>
      <c r="W6" s="3">
        <v>41001</v>
      </c>
      <c r="X6" s="2">
        <v>43.07</v>
      </c>
      <c r="Y6" s="2">
        <v>14.02</v>
      </c>
      <c r="Z6" s="3">
        <v>30275</v>
      </c>
      <c r="AA6" s="2">
        <v>2.54</v>
      </c>
      <c r="AB6" s="2">
        <v>2545</v>
      </c>
      <c r="AC6" s="2" t="s">
        <v>186</v>
      </c>
      <c r="AD6" s="2" t="s">
        <v>151</v>
      </c>
      <c r="AE6" s="2"/>
      <c r="AF6" s="2"/>
    </row>
    <row r="7" spans="1:32" ht="21" x14ac:dyDescent="0.6">
      <c r="A7" s="2">
        <v>6</v>
      </c>
      <c r="B7" s="2" t="s">
        <v>187</v>
      </c>
      <c r="C7" s="2" t="s">
        <v>188</v>
      </c>
      <c r="D7" s="2" t="s">
        <v>121</v>
      </c>
      <c r="E7" s="2" t="s">
        <v>138</v>
      </c>
      <c r="F7" s="2" t="s">
        <v>189</v>
      </c>
      <c r="G7" s="2" t="s">
        <v>190</v>
      </c>
      <c r="H7" s="2" t="s">
        <v>125</v>
      </c>
      <c r="I7" s="2" t="s">
        <v>38</v>
      </c>
      <c r="J7" s="2" t="s">
        <v>126</v>
      </c>
      <c r="K7" s="2" t="s">
        <v>191</v>
      </c>
      <c r="L7" s="2" t="s">
        <v>191</v>
      </c>
      <c r="M7" s="2" t="s">
        <v>192</v>
      </c>
      <c r="N7" s="2" t="s">
        <v>193</v>
      </c>
      <c r="O7" s="2">
        <v>1580300043183</v>
      </c>
      <c r="P7" s="2" t="s">
        <v>194</v>
      </c>
      <c r="Q7" s="2" t="s">
        <v>195</v>
      </c>
      <c r="R7" s="2" t="s">
        <v>196</v>
      </c>
      <c r="S7" s="2">
        <v>15085</v>
      </c>
      <c r="T7" s="2" t="s">
        <v>197</v>
      </c>
      <c r="U7" s="2"/>
      <c r="V7" s="2"/>
      <c r="W7" s="3">
        <v>41429</v>
      </c>
      <c r="X7" s="2">
        <v>36.11</v>
      </c>
      <c r="Y7" s="2">
        <v>13</v>
      </c>
      <c r="Z7" s="3">
        <v>32711</v>
      </c>
      <c r="AA7" s="2">
        <v>1.71</v>
      </c>
      <c r="AB7" s="2">
        <v>2550</v>
      </c>
      <c r="AC7" s="2" t="s">
        <v>198</v>
      </c>
      <c r="AD7" s="2" t="s">
        <v>151</v>
      </c>
      <c r="AE7" s="2"/>
      <c r="AF7" s="2"/>
    </row>
    <row r="8" spans="1:32" ht="21" x14ac:dyDescent="0.6">
      <c r="A8" s="2">
        <v>7</v>
      </c>
      <c r="B8" s="2" t="s">
        <v>164</v>
      </c>
      <c r="C8" s="2" t="s">
        <v>199</v>
      </c>
      <c r="D8" s="2" t="s">
        <v>121</v>
      </c>
      <c r="E8" s="2" t="s">
        <v>122</v>
      </c>
      <c r="F8" s="2" t="s">
        <v>200</v>
      </c>
      <c r="G8" s="2" t="s">
        <v>201</v>
      </c>
      <c r="H8" s="2" t="s">
        <v>125</v>
      </c>
      <c r="I8" s="2" t="s">
        <v>168</v>
      </c>
      <c r="J8" s="2" t="s">
        <v>169</v>
      </c>
      <c r="K8" s="2" t="s">
        <v>170</v>
      </c>
      <c r="L8" s="2" t="s">
        <v>170</v>
      </c>
      <c r="M8" s="2" t="s">
        <v>128</v>
      </c>
      <c r="N8" s="2" t="s">
        <v>202</v>
      </c>
      <c r="O8" s="2">
        <v>1549900286280</v>
      </c>
      <c r="P8" s="2" t="s">
        <v>146</v>
      </c>
      <c r="Q8" s="2" t="s">
        <v>203</v>
      </c>
      <c r="R8" s="2" t="s">
        <v>204</v>
      </c>
      <c r="S8" s="2">
        <v>14183</v>
      </c>
      <c r="T8" s="2" t="s">
        <v>175</v>
      </c>
      <c r="U8" s="2">
        <v>12188</v>
      </c>
      <c r="V8" s="2" t="s">
        <v>176</v>
      </c>
      <c r="W8" s="3">
        <v>41655</v>
      </c>
      <c r="X8" s="2">
        <v>34.03</v>
      </c>
      <c r="Y8" s="2">
        <v>12.05</v>
      </c>
      <c r="Z8" s="3">
        <v>33678</v>
      </c>
      <c r="AA8" s="2">
        <v>2.4</v>
      </c>
      <c r="AB8" s="2">
        <v>2556</v>
      </c>
      <c r="AC8" s="2" t="s">
        <v>205</v>
      </c>
      <c r="AD8" s="2" t="s">
        <v>135</v>
      </c>
      <c r="AE8" s="2"/>
      <c r="AF8" s="2"/>
    </row>
    <row r="9" spans="1:32" ht="21" x14ac:dyDescent="0.6">
      <c r="A9" s="2">
        <v>8</v>
      </c>
      <c r="B9" s="2" t="s">
        <v>206</v>
      </c>
      <c r="C9" s="2" t="s">
        <v>207</v>
      </c>
      <c r="D9" s="2" t="s">
        <v>121</v>
      </c>
      <c r="E9" s="2" t="s">
        <v>122</v>
      </c>
      <c r="F9" s="2" t="s">
        <v>208</v>
      </c>
      <c r="G9" s="2" t="s">
        <v>209</v>
      </c>
      <c r="H9" s="2" t="s">
        <v>141</v>
      </c>
      <c r="I9" s="2" t="s">
        <v>12</v>
      </c>
      <c r="J9" s="2" t="s">
        <v>54</v>
      </c>
      <c r="K9" s="2" t="s">
        <v>210</v>
      </c>
      <c r="L9" s="2" t="s">
        <v>211</v>
      </c>
      <c r="M9" s="2" t="s">
        <v>143</v>
      </c>
      <c r="N9" s="2" t="s">
        <v>212</v>
      </c>
      <c r="O9" s="2">
        <v>1540600075820</v>
      </c>
      <c r="P9" s="2" t="s">
        <v>213</v>
      </c>
      <c r="Q9" s="2" t="s">
        <v>214</v>
      </c>
      <c r="R9" s="2" t="s">
        <v>215</v>
      </c>
      <c r="S9" s="2">
        <v>14055</v>
      </c>
      <c r="T9" s="2" t="s">
        <v>216</v>
      </c>
      <c r="U9" s="2">
        <v>14156</v>
      </c>
      <c r="V9" s="2" t="s">
        <v>217</v>
      </c>
      <c r="W9" s="3">
        <v>41673</v>
      </c>
      <c r="X9" s="2">
        <v>34.08</v>
      </c>
      <c r="Y9" s="2">
        <v>12.04</v>
      </c>
      <c r="Z9" s="3">
        <v>33533</v>
      </c>
      <c r="AA9" s="2">
        <v>2.96</v>
      </c>
      <c r="AB9" s="2">
        <v>2561</v>
      </c>
      <c r="AC9" s="2" t="s">
        <v>218</v>
      </c>
      <c r="AD9" s="2" t="s">
        <v>135</v>
      </c>
      <c r="AE9" s="2"/>
      <c r="AF9" s="2"/>
    </row>
    <row r="10" spans="1:32" ht="21" x14ac:dyDescent="0.6">
      <c r="A10" s="2">
        <v>9</v>
      </c>
      <c r="B10" s="2" t="s">
        <v>219</v>
      </c>
      <c r="C10" s="2" t="s">
        <v>220</v>
      </c>
      <c r="D10" s="2" t="s">
        <v>121</v>
      </c>
      <c r="E10" s="2" t="s">
        <v>122</v>
      </c>
      <c r="F10" s="2" t="s">
        <v>221</v>
      </c>
      <c r="G10" s="2" t="s">
        <v>222</v>
      </c>
      <c r="H10" s="2" t="s">
        <v>125</v>
      </c>
      <c r="I10" s="2" t="s">
        <v>38</v>
      </c>
      <c r="J10" s="2" t="s">
        <v>37</v>
      </c>
      <c r="K10" s="2" t="s">
        <v>36</v>
      </c>
      <c r="L10" s="2" t="s">
        <v>223</v>
      </c>
      <c r="M10" s="2" t="s">
        <v>128</v>
      </c>
      <c r="N10" s="2" t="s">
        <v>224</v>
      </c>
      <c r="O10" s="2">
        <v>1301300163149</v>
      </c>
      <c r="P10" s="2" t="s">
        <v>225</v>
      </c>
      <c r="Q10" s="2" t="s">
        <v>226</v>
      </c>
      <c r="R10" s="2" t="s">
        <v>227</v>
      </c>
      <c r="S10" s="2">
        <v>11075</v>
      </c>
      <c r="T10" s="2" t="s">
        <v>228</v>
      </c>
      <c r="U10" s="2">
        <v>14082</v>
      </c>
      <c r="V10" s="2" t="s">
        <v>229</v>
      </c>
      <c r="W10" s="3">
        <v>41807</v>
      </c>
      <c r="X10" s="2">
        <v>34.06</v>
      </c>
      <c r="Y10" s="2">
        <v>12</v>
      </c>
      <c r="Z10" s="3">
        <v>33590</v>
      </c>
      <c r="AA10" s="2">
        <v>2.83</v>
      </c>
      <c r="AB10" s="2">
        <v>2555</v>
      </c>
      <c r="AC10" s="2" t="s">
        <v>230</v>
      </c>
      <c r="AD10" s="2" t="s">
        <v>135</v>
      </c>
      <c r="AE10" s="2"/>
      <c r="AF10" s="2"/>
    </row>
    <row r="11" spans="1:32" ht="21" x14ac:dyDescent="0.6">
      <c r="A11" s="2">
        <v>10</v>
      </c>
      <c r="B11" s="2" t="s">
        <v>152</v>
      </c>
      <c r="C11" s="2" t="s">
        <v>231</v>
      </c>
      <c r="D11" s="2" t="s">
        <v>121</v>
      </c>
      <c r="E11" s="2" t="s">
        <v>138</v>
      </c>
      <c r="F11" s="2" t="s">
        <v>232</v>
      </c>
      <c r="G11" s="2" t="s">
        <v>233</v>
      </c>
      <c r="H11" s="2" t="s">
        <v>125</v>
      </c>
      <c r="I11" s="2" t="s">
        <v>12</v>
      </c>
      <c r="J11" s="2" t="s">
        <v>156</v>
      </c>
      <c r="K11" s="2" t="s">
        <v>157</v>
      </c>
      <c r="L11" s="2" t="s">
        <v>157</v>
      </c>
      <c r="M11" s="2" t="s">
        <v>143</v>
      </c>
      <c r="N11" s="2" t="s">
        <v>234</v>
      </c>
      <c r="O11" s="2">
        <v>1440400119166</v>
      </c>
      <c r="P11" s="2" t="s">
        <v>235</v>
      </c>
      <c r="Q11" s="2" t="s">
        <v>236</v>
      </c>
      <c r="R11" s="2" t="s">
        <v>237</v>
      </c>
      <c r="S11" s="2">
        <v>12324</v>
      </c>
      <c r="T11" s="2" t="s">
        <v>162</v>
      </c>
      <c r="U11" s="2"/>
      <c r="V11" s="2"/>
      <c r="W11" s="3">
        <v>41891</v>
      </c>
      <c r="X11" s="2">
        <v>35.03</v>
      </c>
      <c r="Y11" s="2">
        <v>11.09</v>
      </c>
      <c r="Z11" s="3">
        <v>33301</v>
      </c>
      <c r="AA11" s="2">
        <v>3.39</v>
      </c>
      <c r="AB11" s="2">
        <v>2554</v>
      </c>
      <c r="AC11" s="2" t="s">
        <v>238</v>
      </c>
      <c r="AD11" s="2" t="s">
        <v>135</v>
      </c>
      <c r="AE11" s="2"/>
      <c r="AF11" s="2"/>
    </row>
    <row r="12" spans="1:32" ht="21" x14ac:dyDescent="0.6">
      <c r="A12" s="2">
        <v>11</v>
      </c>
      <c r="B12" s="2" t="s">
        <v>239</v>
      </c>
      <c r="C12" s="2" t="s">
        <v>240</v>
      </c>
      <c r="D12" s="2" t="s">
        <v>121</v>
      </c>
      <c r="E12" s="2" t="s">
        <v>138</v>
      </c>
      <c r="F12" s="2" t="s">
        <v>241</v>
      </c>
      <c r="G12" s="2" t="s">
        <v>242</v>
      </c>
      <c r="H12" s="2" t="s">
        <v>16</v>
      </c>
      <c r="I12" s="2" t="s">
        <v>12</v>
      </c>
      <c r="J12" s="2" t="s">
        <v>18</v>
      </c>
      <c r="K12" s="2" t="s">
        <v>243</v>
      </c>
      <c r="L12" s="2" t="s">
        <v>243</v>
      </c>
      <c r="M12" s="2" t="s">
        <v>244</v>
      </c>
      <c r="N12" s="2" t="s">
        <v>245</v>
      </c>
      <c r="O12" s="2">
        <v>1470400219934</v>
      </c>
      <c r="P12" s="2" t="s">
        <v>246</v>
      </c>
      <c r="Q12" s="2" t="s">
        <v>146</v>
      </c>
      <c r="R12" s="2" t="s">
        <v>247</v>
      </c>
      <c r="S12" s="2">
        <v>11917</v>
      </c>
      <c r="T12" s="2" t="s">
        <v>248</v>
      </c>
      <c r="U12" s="2">
        <v>12086</v>
      </c>
      <c r="V12" s="2" t="s">
        <v>249</v>
      </c>
      <c r="W12" s="3">
        <v>42614</v>
      </c>
      <c r="X12" s="2">
        <v>27.11</v>
      </c>
      <c r="Y12" s="2">
        <v>9.1</v>
      </c>
      <c r="Z12" s="3">
        <v>35997</v>
      </c>
      <c r="AA12" s="2">
        <v>2.21</v>
      </c>
      <c r="AB12" s="2">
        <v>2559</v>
      </c>
      <c r="AC12" s="2" t="s">
        <v>250</v>
      </c>
      <c r="AD12" s="2" t="s">
        <v>151</v>
      </c>
      <c r="AE12" s="2"/>
      <c r="AF12" s="2"/>
    </row>
    <row r="13" spans="1:32" ht="21" x14ac:dyDescent="0.6">
      <c r="A13" s="2">
        <v>12</v>
      </c>
      <c r="B13" s="2" t="s">
        <v>178</v>
      </c>
      <c r="C13" s="2" t="s">
        <v>251</v>
      </c>
      <c r="D13" s="2" t="s">
        <v>121</v>
      </c>
      <c r="E13" s="2" t="s">
        <v>138</v>
      </c>
      <c r="F13" s="2" t="s">
        <v>252</v>
      </c>
      <c r="G13" s="2" t="s">
        <v>253</v>
      </c>
      <c r="H13" s="2" t="s">
        <v>141</v>
      </c>
      <c r="I13" s="2" t="s">
        <v>12</v>
      </c>
      <c r="J13" s="2" t="s">
        <v>18</v>
      </c>
      <c r="K13" s="2" t="s">
        <v>17</v>
      </c>
      <c r="L13" s="2" t="s">
        <v>17</v>
      </c>
      <c r="M13" s="2" t="s">
        <v>143</v>
      </c>
      <c r="N13" s="2" t="s">
        <v>254</v>
      </c>
      <c r="O13" s="2">
        <v>1140600112231</v>
      </c>
      <c r="P13" s="2" t="s">
        <v>255</v>
      </c>
      <c r="Q13" s="2" t="s">
        <v>146</v>
      </c>
      <c r="R13" s="2" t="s">
        <v>256</v>
      </c>
      <c r="S13" s="2">
        <v>14727</v>
      </c>
      <c r="T13" s="2" t="s">
        <v>184</v>
      </c>
      <c r="U13" s="2">
        <v>10950</v>
      </c>
      <c r="V13" s="2" t="s">
        <v>185</v>
      </c>
      <c r="W13" s="3">
        <v>42761</v>
      </c>
      <c r="X13" s="2">
        <v>33.01</v>
      </c>
      <c r="Y13" s="2">
        <v>9.0500000000000007</v>
      </c>
      <c r="Z13" s="3">
        <v>34097</v>
      </c>
      <c r="AA13" s="2">
        <v>2.78</v>
      </c>
      <c r="AB13" s="2">
        <v>2555</v>
      </c>
      <c r="AC13" s="2" t="s">
        <v>257</v>
      </c>
      <c r="AD13" s="2" t="s">
        <v>258</v>
      </c>
      <c r="AE13" s="2"/>
      <c r="AF13" s="2"/>
    </row>
    <row r="14" spans="1:32" ht="21" x14ac:dyDescent="0.6">
      <c r="A14" s="2">
        <v>13</v>
      </c>
      <c r="B14" s="2" t="s">
        <v>259</v>
      </c>
      <c r="C14" s="2" t="s">
        <v>260</v>
      </c>
      <c r="D14" s="2" t="s">
        <v>121</v>
      </c>
      <c r="E14" s="2" t="s">
        <v>122</v>
      </c>
      <c r="F14" s="2" t="s">
        <v>261</v>
      </c>
      <c r="G14" s="2" t="s">
        <v>262</v>
      </c>
      <c r="H14" s="2" t="s">
        <v>263</v>
      </c>
      <c r="I14" s="2" t="s">
        <v>23</v>
      </c>
      <c r="J14" s="2" t="s">
        <v>22</v>
      </c>
      <c r="K14" s="2" t="s">
        <v>264</v>
      </c>
      <c r="L14" s="2" t="s">
        <v>264</v>
      </c>
      <c r="M14" s="2" t="s">
        <v>128</v>
      </c>
      <c r="N14" s="2" t="s">
        <v>265</v>
      </c>
      <c r="O14" s="2">
        <v>1100500982381</v>
      </c>
      <c r="P14" s="2" t="s">
        <v>266</v>
      </c>
      <c r="Q14" s="2" t="s">
        <v>267</v>
      </c>
      <c r="R14" s="2" t="s">
        <v>268</v>
      </c>
      <c r="S14" s="2">
        <v>16110</v>
      </c>
      <c r="T14" s="2" t="s">
        <v>269</v>
      </c>
      <c r="U14" s="2"/>
      <c r="V14" s="2"/>
      <c r="W14" s="3">
        <v>42844</v>
      </c>
      <c r="X14" s="2">
        <v>33.020000000000003</v>
      </c>
      <c r="Y14" s="2">
        <v>9.02</v>
      </c>
      <c r="Z14" s="3">
        <v>34069</v>
      </c>
      <c r="AA14" s="2">
        <v>3.28</v>
      </c>
      <c r="AB14" s="2">
        <v>2558</v>
      </c>
      <c r="AC14" s="2" t="s">
        <v>270</v>
      </c>
      <c r="AD14" s="2" t="s">
        <v>271</v>
      </c>
      <c r="AE14" s="2"/>
      <c r="AF14" s="2"/>
    </row>
    <row r="15" spans="1:32" ht="21" x14ac:dyDescent="0.6">
      <c r="A15" s="2">
        <v>14</v>
      </c>
      <c r="B15" s="2" t="s">
        <v>259</v>
      </c>
      <c r="C15" s="2" t="s">
        <v>272</v>
      </c>
      <c r="D15" s="2" t="s">
        <v>121</v>
      </c>
      <c r="E15" s="2" t="s">
        <v>122</v>
      </c>
      <c r="F15" s="2" t="s">
        <v>273</v>
      </c>
      <c r="G15" s="2" t="s">
        <v>274</v>
      </c>
      <c r="H15" s="2" t="s">
        <v>263</v>
      </c>
      <c r="I15" s="2" t="s">
        <v>23</v>
      </c>
      <c r="J15" s="2" t="s">
        <v>22</v>
      </c>
      <c r="K15" s="2" t="s">
        <v>264</v>
      </c>
      <c r="L15" s="2" t="s">
        <v>264</v>
      </c>
      <c r="M15" s="2" t="s">
        <v>128</v>
      </c>
      <c r="N15" s="2" t="s">
        <v>275</v>
      </c>
      <c r="O15" s="2">
        <v>1149900313485</v>
      </c>
      <c r="P15" s="2" t="s">
        <v>276</v>
      </c>
      <c r="Q15" s="2" t="s">
        <v>277</v>
      </c>
      <c r="R15" s="2" t="s">
        <v>278</v>
      </c>
      <c r="S15" s="2">
        <v>16110</v>
      </c>
      <c r="T15" s="2" t="s">
        <v>269</v>
      </c>
      <c r="U15" s="2"/>
      <c r="V15" s="2"/>
      <c r="W15" s="3">
        <v>42857</v>
      </c>
      <c r="X15" s="2">
        <v>32.08</v>
      </c>
      <c r="Y15" s="2">
        <v>9.01</v>
      </c>
      <c r="Z15" s="3">
        <v>34251</v>
      </c>
      <c r="AA15" s="2">
        <v>3.57</v>
      </c>
      <c r="AB15" s="2">
        <v>2558</v>
      </c>
      <c r="AC15" s="2" t="s">
        <v>163</v>
      </c>
      <c r="AD15" s="2" t="s">
        <v>271</v>
      </c>
      <c r="AE15" s="2"/>
      <c r="AF15" s="2"/>
    </row>
    <row r="16" spans="1:32" ht="21" x14ac:dyDescent="0.6">
      <c r="A16" s="2">
        <v>15</v>
      </c>
      <c r="B16" s="2" t="s">
        <v>259</v>
      </c>
      <c r="C16" s="2" t="s">
        <v>279</v>
      </c>
      <c r="D16" s="2" t="s">
        <v>121</v>
      </c>
      <c r="E16" s="2" t="s">
        <v>122</v>
      </c>
      <c r="F16" s="2" t="s">
        <v>280</v>
      </c>
      <c r="G16" s="2" t="s">
        <v>281</v>
      </c>
      <c r="H16" s="2" t="s">
        <v>263</v>
      </c>
      <c r="I16" s="2" t="s">
        <v>23</v>
      </c>
      <c r="J16" s="2" t="s">
        <v>22</v>
      </c>
      <c r="K16" s="2" t="s">
        <v>264</v>
      </c>
      <c r="L16" s="2" t="s">
        <v>264</v>
      </c>
      <c r="M16" s="2" t="s">
        <v>128</v>
      </c>
      <c r="N16" s="2" t="s">
        <v>282</v>
      </c>
      <c r="O16" s="2">
        <v>1341900178911</v>
      </c>
      <c r="P16" s="2" t="s">
        <v>283</v>
      </c>
      <c r="Q16" s="2" t="s">
        <v>284</v>
      </c>
      <c r="R16" s="2" t="s">
        <v>285</v>
      </c>
      <c r="S16" s="2">
        <v>16110</v>
      </c>
      <c r="T16" s="2" t="s">
        <v>269</v>
      </c>
      <c r="U16" s="2"/>
      <c r="V16" s="2"/>
      <c r="W16" s="3">
        <v>42877</v>
      </c>
      <c r="X16" s="2">
        <v>32.049999999999997</v>
      </c>
      <c r="Y16" s="2">
        <v>9.01</v>
      </c>
      <c r="Z16" s="3">
        <v>34354</v>
      </c>
      <c r="AA16" s="2">
        <v>3.25</v>
      </c>
      <c r="AB16" s="2">
        <v>2559</v>
      </c>
      <c r="AC16" s="2" t="s">
        <v>163</v>
      </c>
      <c r="AD16" s="2" t="s">
        <v>271</v>
      </c>
      <c r="AE16" s="2"/>
      <c r="AF16" s="2"/>
    </row>
    <row r="17" spans="1:32" ht="21" x14ac:dyDescent="0.6">
      <c r="A17" s="2">
        <v>16</v>
      </c>
      <c r="B17" s="2" t="s">
        <v>286</v>
      </c>
      <c r="C17" s="2" t="s">
        <v>287</v>
      </c>
      <c r="D17" s="2" t="s">
        <v>121</v>
      </c>
      <c r="E17" s="2" t="s">
        <v>122</v>
      </c>
      <c r="F17" s="2" t="s">
        <v>288</v>
      </c>
      <c r="G17" s="2" t="s">
        <v>289</v>
      </c>
      <c r="H17" s="2" t="s">
        <v>125</v>
      </c>
      <c r="I17" s="2" t="s">
        <v>12</v>
      </c>
      <c r="J17" s="2" t="s">
        <v>156</v>
      </c>
      <c r="K17" s="2" t="s">
        <v>290</v>
      </c>
      <c r="L17" s="2" t="s">
        <v>290</v>
      </c>
      <c r="M17" s="2" t="s">
        <v>143</v>
      </c>
      <c r="N17" s="2" t="s">
        <v>291</v>
      </c>
      <c r="O17" s="2">
        <v>1679900208351</v>
      </c>
      <c r="P17" s="2" t="s">
        <v>292</v>
      </c>
      <c r="Q17" s="2" t="s">
        <v>293</v>
      </c>
      <c r="R17" s="2" t="s">
        <v>294</v>
      </c>
      <c r="S17" s="2">
        <v>15036</v>
      </c>
      <c r="T17" s="2" t="s">
        <v>295</v>
      </c>
      <c r="U17" s="2"/>
      <c r="V17" s="2"/>
      <c r="W17" s="3">
        <v>42901</v>
      </c>
      <c r="X17" s="2">
        <v>35.06</v>
      </c>
      <c r="Y17" s="2">
        <v>9</v>
      </c>
      <c r="Z17" s="3">
        <v>33218</v>
      </c>
      <c r="AA17" s="2">
        <v>3.08</v>
      </c>
      <c r="AB17" s="2">
        <v>2554</v>
      </c>
      <c r="AC17" s="2" t="s">
        <v>296</v>
      </c>
      <c r="AD17" s="2" t="s">
        <v>135</v>
      </c>
      <c r="AE17" s="2"/>
      <c r="AF17" s="2"/>
    </row>
    <row r="18" spans="1:32" ht="21" x14ac:dyDescent="0.6">
      <c r="A18" s="2">
        <v>17</v>
      </c>
      <c r="B18" s="2" t="s">
        <v>297</v>
      </c>
      <c r="C18" s="2" t="s">
        <v>298</v>
      </c>
      <c r="D18" s="2" t="s">
        <v>121</v>
      </c>
      <c r="E18" s="2" t="s">
        <v>138</v>
      </c>
      <c r="F18" s="2" t="s">
        <v>299</v>
      </c>
      <c r="G18" s="2" t="s">
        <v>300</v>
      </c>
      <c r="H18" s="2" t="s">
        <v>125</v>
      </c>
      <c r="I18" s="2" t="s">
        <v>301</v>
      </c>
      <c r="J18" s="2" t="s">
        <v>302</v>
      </c>
      <c r="K18" s="2" t="s">
        <v>303</v>
      </c>
      <c r="L18" s="2" t="s">
        <v>303</v>
      </c>
      <c r="M18" s="2" t="s">
        <v>304</v>
      </c>
      <c r="N18" s="2" t="s">
        <v>305</v>
      </c>
      <c r="O18" s="2">
        <v>3670101115899</v>
      </c>
      <c r="P18" s="2" t="s">
        <v>306</v>
      </c>
      <c r="Q18" s="2" t="s">
        <v>146</v>
      </c>
      <c r="R18" s="2" t="s">
        <v>307</v>
      </c>
      <c r="S18" s="2">
        <v>13987</v>
      </c>
      <c r="T18" s="2" t="s">
        <v>308</v>
      </c>
      <c r="U18" s="2"/>
      <c r="V18" s="2"/>
      <c r="W18" s="3">
        <v>42906</v>
      </c>
      <c r="X18" s="2">
        <v>45.01</v>
      </c>
      <c r="Y18" s="2">
        <v>9</v>
      </c>
      <c r="Z18" s="3">
        <v>29730</v>
      </c>
      <c r="AA18" s="2">
        <v>2.5099999999999998</v>
      </c>
      <c r="AB18" s="2">
        <v>2545</v>
      </c>
      <c r="AC18" s="2" t="s">
        <v>309</v>
      </c>
      <c r="AD18" s="2" t="s">
        <v>271</v>
      </c>
      <c r="AE18" s="2"/>
      <c r="AF18" s="2"/>
    </row>
    <row r="19" spans="1:32" ht="21" x14ac:dyDescent="0.6">
      <c r="A19" s="2">
        <v>18</v>
      </c>
      <c r="B19" s="2" t="s">
        <v>297</v>
      </c>
      <c r="C19" s="2" t="s">
        <v>310</v>
      </c>
      <c r="D19" s="2" t="s">
        <v>121</v>
      </c>
      <c r="E19" s="2" t="s">
        <v>138</v>
      </c>
      <c r="F19" s="2" t="s">
        <v>311</v>
      </c>
      <c r="G19" s="2" t="s">
        <v>312</v>
      </c>
      <c r="H19" s="2" t="s">
        <v>125</v>
      </c>
      <c r="I19" s="2" t="s">
        <v>301</v>
      </c>
      <c r="J19" s="2" t="s">
        <v>302</v>
      </c>
      <c r="K19" s="2" t="s">
        <v>303</v>
      </c>
      <c r="L19" s="2" t="s">
        <v>303</v>
      </c>
      <c r="M19" s="2" t="s">
        <v>313</v>
      </c>
      <c r="N19" s="2" t="s">
        <v>314</v>
      </c>
      <c r="O19" s="2">
        <v>1540400060098</v>
      </c>
      <c r="P19" s="2" t="s">
        <v>315</v>
      </c>
      <c r="Q19" s="2" t="s">
        <v>146</v>
      </c>
      <c r="R19" s="2" t="s">
        <v>316</v>
      </c>
      <c r="S19" s="2">
        <v>13987</v>
      </c>
      <c r="T19" s="2" t="s">
        <v>308</v>
      </c>
      <c r="U19" s="2"/>
      <c r="V19" s="2"/>
      <c r="W19" s="3">
        <v>42906</v>
      </c>
      <c r="X19" s="2">
        <v>37.11</v>
      </c>
      <c r="Y19" s="2">
        <v>9</v>
      </c>
      <c r="Z19" s="3">
        <v>32339</v>
      </c>
      <c r="AA19" s="2">
        <v>2.75</v>
      </c>
      <c r="AB19" s="2">
        <v>2554</v>
      </c>
      <c r="AC19" s="2" t="s">
        <v>317</v>
      </c>
      <c r="AD19" s="2" t="s">
        <v>271</v>
      </c>
      <c r="AE19" s="2"/>
      <c r="AF19" s="2"/>
    </row>
    <row r="20" spans="1:32" ht="21" x14ac:dyDescent="0.6">
      <c r="A20" s="2">
        <v>19</v>
      </c>
      <c r="B20" s="2" t="s">
        <v>259</v>
      </c>
      <c r="C20" s="2" t="s">
        <v>318</v>
      </c>
      <c r="D20" s="2" t="s">
        <v>121</v>
      </c>
      <c r="E20" s="2" t="s">
        <v>122</v>
      </c>
      <c r="F20" s="2" t="s">
        <v>319</v>
      </c>
      <c r="G20" s="2" t="s">
        <v>320</v>
      </c>
      <c r="H20" s="2" t="s">
        <v>263</v>
      </c>
      <c r="I20" s="2" t="s">
        <v>23</v>
      </c>
      <c r="J20" s="2" t="s">
        <v>22</v>
      </c>
      <c r="K20" s="2" t="s">
        <v>264</v>
      </c>
      <c r="L20" s="2" t="s">
        <v>264</v>
      </c>
      <c r="M20" s="2" t="s">
        <v>128</v>
      </c>
      <c r="N20" s="2" t="s">
        <v>321</v>
      </c>
      <c r="O20" s="2">
        <v>1149900310028</v>
      </c>
      <c r="P20" s="2" t="s">
        <v>322</v>
      </c>
      <c r="Q20" s="2" t="s">
        <v>323</v>
      </c>
      <c r="R20" s="2" t="s">
        <v>324</v>
      </c>
      <c r="S20" s="2">
        <v>16110</v>
      </c>
      <c r="T20" s="2" t="s">
        <v>269</v>
      </c>
      <c r="U20" s="2"/>
      <c r="V20" s="2"/>
      <c r="W20" s="3">
        <v>42913</v>
      </c>
      <c r="X20" s="2">
        <v>32.090000000000003</v>
      </c>
      <c r="Y20" s="2">
        <v>9</v>
      </c>
      <c r="Z20" s="3">
        <v>34221</v>
      </c>
      <c r="AA20" s="2">
        <v>2.83</v>
      </c>
      <c r="AB20" s="2">
        <v>2559</v>
      </c>
      <c r="AC20" s="2" t="s">
        <v>325</v>
      </c>
      <c r="AD20" s="2" t="s">
        <v>271</v>
      </c>
      <c r="AE20" s="2"/>
      <c r="AF20" s="2"/>
    </row>
    <row r="21" spans="1:32" ht="21" x14ac:dyDescent="0.6">
      <c r="A21" s="2">
        <v>20</v>
      </c>
      <c r="B21" s="2" t="s">
        <v>152</v>
      </c>
      <c r="C21" s="2" t="s">
        <v>326</v>
      </c>
      <c r="D21" s="2" t="s">
        <v>121</v>
      </c>
      <c r="E21" s="2" t="s">
        <v>122</v>
      </c>
      <c r="F21" s="2" t="s">
        <v>327</v>
      </c>
      <c r="G21" s="2" t="s">
        <v>328</v>
      </c>
      <c r="H21" s="2" t="s">
        <v>125</v>
      </c>
      <c r="I21" s="2" t="s">
        <v>12</v>
      </c>
      <c r="J21" s="2" t="s">
        <v>156</v>
      </c>
      <c r="K21" s="2" t="s">
        <v>157</v>
      </c>
      <c r="L21" s="2" t="s">
        <v>157</v>
      </c>
      <c r="M21" s="2" t="s">
        <v>143</v>
      </c>
      <c r="N21" s="2" t="s">
        <v>329</v>
      </c>
      <c r="O21" s="2">
        <v>1199700105102</v>
      </c>
      <c r="P21" s="2" t="s">
        <v>330</v>
      </c>
      <c r="Q21" s="2" t="s">
        <v>331</v>
      </c>
      <c r="R21" s="2" t="s">
        <v>332</v>
      </c>
      <c r="S21" s="2">
        <v>12324</v>
      </c>
      <c r="T21" s="2" t="s">
        <v>162</v>
      </c>
      <c r="U21" s="2"/>
      <c r="V21" s="2"/>
      <c r="W21" s="3">
        <v>42940</v>
      </c>
      <c r="X21" s="2">
        <v>29.07</v>
      </c>
      <c r="Y21" s="2">
        <v>8.11</v>
      </c>
      <c r="Z21" s="3">
        <v>35382</v>
      </c>
      <c r="AA21" s="2">
        <v>3.54</v>
      </c>
      <c r="AB21" s="2">
        <v>2560</v>
      </c>
      <c r="AC21" s="2" t="s">
        <v>333</v>
      </c>
      <c r="AD21" s="2" t="s">
        <v>135</v>
      </c>
      <c r="AE21" s="2"/>
      <c r="AF21" s="2"/>
    </row>
    <row r="22" spans="1:32" ht="21" x14ac:dyDescent="0.6">
      <c r="A22" s="2">
        <v>21</v>
      </c>
      <c r="B22" s="2" t="s">
        <v>178</v>
      </c>
      <c r="C22" s="2" t="s">
        <v>334</v>
      </c>
      <c r="D22" s="2" t="s">
        <v>121</v>
      </c>
      <c r="E22" s="2" t="s">
        <v>138</v>
      </c>
      <c r="F22" s="2" t="s">
        <v>335</v>
      </c>
      <c r="G22" s="2" t="s">
        <v>336</v>
      </c>
      <c r="H22" s="2" t="s">
        <v>141</v>
      </c>
      <c r="I22" s="2" t="s">
        <v>12</v>
      </c>
      <c r="J22" s="2" t="s">
        <v>18</v>
      </c>
      <c r="K22" s="2" t="s">
        <v>17</v>
      </c>
      <c r="L22" s="2" t="s">
        <v>17</v>
      </c>
      <c r="M22" s="2" t="s">
        <v>143</v>
      </c>
      <c r="N22" s="2" t="s">
        <v>337</v>
      </c>
      <c r="O22" s="2">
        <v>1640600187325</v>
      </c>
      <c r="P22" s="2" t="s">
        <v>338</v>
      </c>
      <c r="Q22" s="2" t="s">
        <v>146</v>
      </c>
      <c r="R22" s="2" t="s">
        <v>339</v>
      </c>
      <c r="S22" s="2">
        <v>14729</v>
      </c>
      <c r="T22" s="2" t="s">
        <v>340</v>
      </c>
      <c r="U22" s="2">
        <v>10950</v>
      </c>
      <c r="V22" s="2" t="s">
        <v>185</v>
      </c>
      <c r="W22" s="3">
        <v>43010</v>
      </c>
      <c r="X22" s="2">
        <v>33.06</v>
      </c>
      <c r="Y22" s="2">
        <v>8.08</v>
      </c>
      <c r="Z22" s="3">
        <v>33953</v>
      </c>
      <c r="AA22" s="2">
        <v>3.02</v>
      </c>
      <c r="AB22" s="2">
        <v>2556</v>
      </c>
      <c r="AC22" s="2" t="s">
        <v>341</v>
      </c>
      <c r="AD22" s="2" t="s">
        <v>135</v>
      </c>
      <c r="AE22" s="2"/>
      <c r="AF22" s="2"/>
    </row>
    <row r="23" spans="1:32" ht="21" x14ac:dyDescent="0.6">
      <c r="A23" s="2">
        <v>22</v>
      </c>
      <c r="B23" s="2" t="s">
        <v>342</v>
      </c>
      <c r="C23" s="2" t="s">
        <v>343</v>
      </c>
      <c r="D23" s="2" t="s">
        <v>121</v>
      </c>
      <c r="E23" s="2" t="s">
        <v>122</v>
      </c>
      <c r="F23" s="2" t="s">
        <v>344</v>
      </c>
      <c r="G23" s="2" t="s">
        <v>345</v>
      </c>
      <c r="H23" s="2" t="s">
        <v>125</v>
      </c>
      <c r="I23" s="2" t="s">
        <v>168</v>
      </c>
      <c r="J23" s="2" t="s">
        <v>346</v>
      </c>
      <c r="K23" s="2" t="s">
        <v>347</v>
      </c>
      <c r="L23" s="2" t="s">
        <v>347</v>
      </c>
      <c r="M23" s="2" t="s">
        <v>128</v>
      </c>
      <c r="N23" s="2" t="s">
        <v>348</v>
      </c>
      <c r="O23" s="2">
        <v>1451000204094</v>
      </c>
      <c r="P23" s="2" t="s">
        <v>349</v>
      </c>
      <c r="Q23" s="2" t="s">
        <v>350</v>
      </c>
      <c r="R23" s="2" t="s">
        <v>351</v>
      </c>
      <c r="S23" s="2">
        <v>14334</v>
      </c>
      <c r="T23" s="2" t="s">
        <v>352</v>
      </c>
      <c r="U23" s="2"/>
      <c r="V23" s="2"/>
      <c r="W23" s="3">
        <v>43010</v>
      </c>
      <c r="X23" s="2">
        <v>32.11</v>
      </c>
      <c r="Y23" s="2">
        <v>8.08</v>
      </c>
      <c r="Z23" s="3">
        <v>34154</v>
      </c>
      <c r="AA23" s="2">
        <v>3.26</v>
      </c>
      <c r="AB23" s="2">
        <v>2557</v>
      </c>
      <c r="AC23" s="2" t="s">
        <v>353</v>
      </c>
      <c r="AD23" s="2" t="s">
        <v>135</v>
      </c>
      <c r="AE23" s="2"/>
      <c r="AF23" s="2"/>
    </row>
    <row r="24" spans="1:32" ht="21" x14ac:dyDescent="0.6">
      <c r="A24" s="2">
        <v>23</v>
      </c>
      <c r="B24" s="2" t="s">
        <v>259</v>
      </c>
      <c r="C24" s="2" t="s">
        <v>354</v>
      </c>
      <c r="D24" s="2" t="s">
        <v>121</v>
      </c>
      <c r="E24" s="2" t="s">
        <v>138</v>
      </c>
      <c r="F24" s="2" t="s">
        <v>355</v>
      </c>
      <c r="G24" s="2" t="s">
        <v>356</v>
      </c>
      <c r="H24" s="2" t="s">
        <v>263</v>
      </c>
      <c r="I24" s="2" t="s">
        <v>23</v>
      </c>
      <c r="J24" s="2" t="s">
        <v>22</v>
      </c>
      <c r="K24" s="2" t="s">
        <v>264</v>
      </c>
      <c r="L24" s="2" t="s">
        <v>264</v>
      </c>
      <c r="M24" s="2" t="s">
        <v>128</v>
      </c>
      <c r="N24" s="2" t="s">
        <v>357</v>
      </c>
      <c r="O24" s="2">
        <v>1209700529483</v>
      </c>
      <c r="P24" s="2" t="s">
        <v>358</v>
      </c>
      <c r="Q24" s="2" t="s">
        <v>359</v>
      </c>
      <c r="R24" s="2" t="s">
        <v>360</v>
      </c>
      <c r="S24" s="2">
        <v>16110</v>
      </c>
      <c r="T24" s="2" t="s">
        <v>269</v>
      </c>
      <c r="U24" s="2"/>
      <c r="V24" s="2"/>
      <c r="W24" s="3">
        <v>43010</v>
      </c>
      <c r="X24" s="2">
        <v>32.03</v>
      </c>
      <c r="Y24" s="2">
        <v>8.08</v>
      </c>
      <c r="Z24" s="3">
        <v>34413</v>
      </c>
      <c r="AA24" s="2">
        <v>3.06</v>
      </c>
      <c r="AB24" s="2">
        <v>2559</v>
      </c>
      <c r="AC24" s="2" t="s">
        <v>270</v>
      </c>
      <c r="AD24" s="2" t="s">
        <v>271</v>
      </c>
      <c r="AE24" s="2"/>
      <c r="AF24" s="2"/>
    </row>
    <row r="25" spans="1:32" ht="21" x14ac:dyDescent="0.6">
      <c r="A25" s="2">
        <v>24</v>
      </c>
      <c r="B25" s="2" t="s">
        <v>178</v>
      </c>
      <c r="C25" s="2" t="s">
        <v>361</v>
      </c>
      <c r="D25" s="2" t="s">
        <v>121</v>
      </c>
      <c r="E25" s="2" t="s">
        <v>138</v>
      </c>
      <c r="F25" s="2" t="s">
        <v>362</v>
      </c>
      <c r="G25" s="2" t="s">
        <v>363</v>
      </c>
      <c r="H25" s="2" t="s">
        <v>141</v>
      </c>
      <c r="I25" s="2" t="s">
        <v>12</v>
      </c>
      <c r="J25" s="2" t="s">
        <v>18</v>
      </c>
      <c r="K25" s="2" t="s">
        <v>17</v>
      </c>
      <c r="L25" s="2" t="s">
        <v>17</v>
      </c>
      <c r="M25" s="2" t="s">
        <v>143</v>
      </c>
      <c r="N25" s="2" t="s">
        <v>364</v>
      </c>
      <c r="O25" s="2">
        <v>1659900765691</v>
      </c>
      <c r="P25" s="2" t="s">
        <v>146</v>
      </c>
      <c r="Q25" s="2" t="s">
        <v>146</v>
      </c>
      <c r="R25" s="2" t="s">
        <v>365</v>
      </c>
      <c r="S25" s="2">
        <v>14727</v>
      </c>
      <c r="T25" s="2" t="s">
        <v>184</v>
      </c>
      <c r="U25" s="2">
        <v>10950</v>
      </c>
      <c r="V25" s="2" t="s">
        <v>185</v>
      </c>
      <c r="W25" s="3">
        <v>43025</v>
      </c>
      <c r="X25" s="2">
        <v>29.1</v>
      </c>
      <c r="Y25" s="2">
        <v>8.08</v>
      </c>
      <c r="Z25" s="3">
        <v>35283</v>
      </c>
      <c r="AA25" s="2">
        <v>2.71</v>
      </c>
      <c r="AB25" s="2">
        <v>2559</v>
      </c>
      <c r="AC25" s="2" t="s">
        <v>366</v>
      </c>
      <c r="AD25" s="2" t="s">
        <v>258</v>
      </c>
      <c r="AE25" s="2"/>
      <c r="AF25" s="2"/>
    </row>
    <row r="26" spans="1:32" ht="21" x14ac:dyDescent="0.6">
      <c r="A26" s="2">
        <v>25</v>
      </c>
      <c r="B26" s="2" t="s">
        <v>178</v>
      </c>
      <c r="C26" s="2" t="s">
        <v>367</v>
      </c>
      <c r="D26" s="2" t="s">
        <v>121</v>
      </c>
      <c r="E26" s="2" t="s">
        <v>138</v>
      </c>
      <c r="F26" s="2" t="s">
        <v>368</v>
      </c>
      <c r="G26" s="2" t="s">
        <v>369</v>
      </c>
      <c r="H26" s="2" t="s">
        <v>141</v>
      </c>
      <c r="I26" s="2" t="s">
        <v>12</v>
      </c>
      <c r="J26" s="2" t="s">
        <v>18</v>
      </c>
      <c r="K26" s="2" t="s">
        <v>17</v>
      </c>
      <c r="L26" s="2" t="s">
        <v>17</v>
      </c>
      <c r="M26" s="2" t="s">
        <v>143</v>
      </c>
      <c r="N26" s="2" t="s">
        <v>370</v>
      </c>
      <c r="O26" s="2">
        <v>1209600165480</v>
      </c>
      <c r="P26" s="2" t="s">
        <v>371</v>
      </c>
      <c r="Q26" s="2" t="s">
        <v>146</v>
      </c>
      <c r="R26" s="2" t="s">
        <v>372</v>
      </c>
      <c r="S26" s="2">
        <v>14727</v>
      </c>
      <c r="T26" s="2" t="s">
        <v>184</v>
      </c>
      <c r="U26" s="2">
        <v>10950</v>
      </c>
      <c r="V26" s="2" t="s">
        <v>185</v>
      </c>
      <c r="W26" s="3">
        <v>43145</v>
      </c>
      <c r="X26" s="2">
        <v>31.08</v>
      </c>
      <c r="Y26" s="2">
        <v>8.0399999999999991</v>
      </c>
      <c r="Z26" s="3">
        <v>34636</v>
      </c>
      <c r="AA26" s="2">
        <v>3.19</v>
      </c>
      <c r="AB26" s="2">
        <v>2558</v>
      </c>
      <c r="AC26" s="2" t="s">
        <v>373</v>
      </c>
      <c r="AD26" s="2" t="s">
        <v>151</v>
      </c>
      <c r="AE26" s="2"/>
      <c r="AF26" s="2"/>
    </row>
    <row r="27" spans="1:32" ht="21" x14ac:dyDescent="0.6">
      <c r="A27" s="2">
        <v>26</v>
      </c>
      <c r="B27" s="2" t="s">
        <v>178</v>
      </c>
      <c r="C27" s="2" t="s">
        <v>374</v>
      </c>
      <c r="D27" s="2" t="s">
        <v>121</v>
      </c>
      <c r="E27" s="2" t="s">
        <v>138</v>
      </c>
      <c r="F27" s="2" t="s">
        <v>375</v>
      </c>
      <c r="G27" s="2" t="s">
        <v>376</v>
      </c>
      <c r="H27" s="2" t="s">
        <v>141</v>
      </c>
      <c r="I27" s="2" t="s">
        <v>12</v>
      </c>
      <c r="J27" s="2" t="s">
        <v>18</v>
      </c>
      <c r="K27" s="2" t="s">
        <v>17</v>
      </c>
      <c r="L27" s="2" t="s">
        <v>17</v>
      </c>
      <c r="M27" s="2" t="s">
        <v>143</v>
      </c>
      <c r="N27" s="2" t="s">
        <v>377</v>
      </c>
      <c r="O27" s="2">
        <v>1199800083615</v>
      </c>
      <c r="P27" s="2" t="s">
        <v>378</v>
      </c>
      <c r="Q27" s="2" t="s">
        <v>146</v>
      </c>
      <c r="R27" s="2" t="s">
        <v>379</v>
      </c>
      <c r="S27" s="2">
        <v>14729</v>
      </c>
      <c r="T27" s="2" t="s">
        <v>340</v>
      </c>
      <c r="U27" s="2">
        <v>10950</v>
      </c>
      <c r="V27" s="2" t="s">
        <v>185</v>
      </c>
      <c r="W27" s="3">
        <v>43173</v>
      </c>
      <c r="X27" s="2">
        <v>32.03</v>
      </c>
      <c r="Y27" s="2">
        <v>8.0299999999999994</v>
      </c>
      <c r="Z27" s="3">
        <v>34410</v>
      </c>
      <c r="AA27" s="2">
        <v>1.98</v>
      </c>
      <c r="AB27" s="2">
        <v>2555</v>
      </c>
      <c r="AC27" s="2" t="s">
        <v>380</v>
      </c>
      <c r="AD27" s="2" t="s">
        <v>151</v>
      </c>
      <c r="AE27" s="2"/>
      <c r="AF27" s="2"/>
    </row>
    <row r="28" spans="1:32" ht="21" x14ac:dyDescent="0.6">
      <c r="A28" s="2">
        <v>27</v>
      </c>
      <c r="B28" s="2" t="s">
        <v>381</v>
      </c>
      <c r="C28" s="2" t="s">
        <v>382</v>
      </c>
      <c r="D28" s="2" t="s">
        <v>121</v>
      </c>
      <c r="E28" s="2" t="s">
        <v>138</v>
      </c>
      <c r="F28" s="2" t="s">
        <v>383</v>
      </c>
      <c r="G28" s="2" t="s">
        <v>384</v>
      </c>
      <c r="H28" s="2" t="s">
        <v>125</v>
      </c>
      <c r="I28" s="2" t="s">
        <v>38</v>
      </c>
      <c r="J28" s="2" t="s">
        <v>37</v>
      </c>
      <c r="K28" s="2" t="s">
        <v>385</v>
      </c>
      <c r="L28" s="2" t="s">
        <v>385</v>
      </c>
      <c r="M28" s="2" t="s">
        <v>128</v>
      </c>
      <c r="N28" s="2" t="s">
        <v>386</v>
      </c>
      <c r="O28" s="2">
        <v>1301500235399</v>
      </c>
      <c r="P28" s="2" t="s">
        <v>146</v>
      </c>
      <c r="Q28" s="2" t="s">
        <v>387</v>
      </c>
      <c r="R28" s="2" t="s">
        <v>388</v>
      </c>
      <c r="S28" s="2">
        <v>14955</v>
      </c>
      <c r="T28" s="2" t="s">
        <v>389</v>
      </c>
      <c r="U28" s="2"/>
      <c r="V28" s="2"/>
      <c r="W28" s="3">
        <v>43262</v>
      </c>
      <c r="X28" s="2">
        <v>30.11</v>
      </c>
      <c r="Y28" s="2">
        <v>8</v>
      </c>
      <c r="Z28" s="3">
        <v>34888</v>
      </c>
      <c r="AA28" s="2">
        <v>3.43</v>
      </c>
      <c r="AB28" s="2">
        <v>2557</v>
      </c>
      <c r="AC28" s="2" t="s">
        <v>390</v>
      </c>
      <c r="AD28" s="2" t="s">
        <v>258</v>
      </c>
      <c r="AE28" s="2"/>
      <c r="AF28" s="2"/>
    </row>
    <row r="29" spans="1:32" ht="21" x14ac:dyDescent="0.6">
      <c r="A29" s="2">
        <v>28</v>
      </c>
      <c r="B29" s="2" t="s">
        <v>178</v>
      </c>
      <c r="C29" s="2" t="s">
        <v>391</v>
      </c>
      <c r="D29" s="2" t="s">
        <v>121</v>
      </c>
      <c r="E29" s="2" t="s">
        <v>138</v>
      </c>
      <c r="F29" s="2" t="s">
        <v>392</v>
      </c>
      <c r="G29" s="2" t="s">
        <v>393</v>
      </c>
      <c r="H29" s="2" t="s">
        <v>141</v>
      </c>
      <c r="I29" s="2" t="s">
        <v>12</v>
      </c>
      <c r="J29" s="2" t="s">
        <v>18</v>
      </c>
      <c r="K29" s="2" t="s">
        <v>17</v>
      </c>
      <c r="L29" s="2" t="s">
        <v>17</v>
      </c>
      <c r="M29" s="2" t="s">
        <v>143</v>
      </c>
      <c r="N29" s="2" t="s">
        <v>394</v>
      </c>
      <c r="O29" s="2">
        <v>1309701196037</v>
      </c>
      <c r="P29" s="2" t="s">
        <v>395</v>
      </c>
      <c r="Q29" s="2" t="s">
        <v>146</v>
      </c>
      <c r="R29" s="2" t="s">
        <v>396</v>
      </c>
      <c r="S29" s="2">
        <v>14727</v>
      </c>
      <c r="T29" s="2" t="s">
        <v>184</v>
      </c>
      <c r="U29" s="2">
        <v>10950</v>
      </c>
      <c r="V29" s="2" t="s">
        <v>185</v>
      </c>
      <c r="W29" s="3">
        <v>43327</v>
      </c>
      <c r="X29" s="2">
        <v>28.08</v>
      </c>
      <c r="Y29" s="2">
        <v>7.1</v>
      </c>
      <c r="Z29" s="3">
        <v>35708</v>
      </c>
      <c r="AA29" s="2">
        <v>2.67</v>
      </c>
      <c r="AB29" s="2">
        <v>2561</v>
      </c>
      <c r="AC29" s="2" t="s">
        <v>134</v>
      </c>
      <c r="AD29" s="2" t="s">
        <v>135</v>
      </c>
      <c r="AE29" s="2"/>
      <c r="AF29" s="2"/>
    </row>
    <row r="30" spans="1:32" ht="21" x14ac:dyDescent="0.6">
      <c r="A30" s="2">
        <v>29</v>
      </c>
      <c r="B30" s="2" t="s">
        <v>178</v>
      </c>
      <c r="C30" s="2" t="s">
        <v>397</v>
      </c>
      <c r="D30" s="2" t="s">
        <v>121</v>
      </c>
      <c r="E30" s="2" t="s">
        <v>138</v>
      </c>
      <c r="F30" s="2" t="s">
        <v>398</v>
      </c>
      <c r="G30" s="2" t="s">
        <v>399</v>
      </c>
      <c r="H30" s="2" t="s">
        <v>141</v>
      </c>
      <c r="I30" s="2" t="s">
        <v>12</v>
      </c>
      <c r="J30" s="2" t="s">
        <v>18</v>
      </c>
      <c r="K30" s="2" t="s">
        <v>17</v>
      </c>
      <c r="L30" s="2" t="s">
        <v>17</v>
      </c>
      <c r="M30" s="2" t="s">
        <v>143</v>
      </c>
      <c r="N30" s="2" t="s">
        <v>400</v>
      </c>
      <c r="O30" s="2">
        <v>1140600093953</v>
      </c>
      <c r="P30" s="2" t="s">
        <v>401</v>
      </c>
      <c r="Q30" s="2" t="s">
        <v>146</v>
      </c>
      <c r="R30" s="2" t="s">
        <v>402</v>
      </c>
      <c r="S30" s="2">
        <v>14727</v>
      </c>
      <c r="T30" s="2" t="s">
        <v>184</v>
      </c>
      <c r="U30" s="2">
        <v>10950</v>
      </c>
      <c r="V30" s="2" t="s">
        <v>185</v>
      </c>
      <c r="W30" s="3">
        <v>43339</v>
      </c>
      <c r="X30" s="2">
        <v>35</v>
      </c>
      <c r="Y30" s="2">
        <v>7.1</v>
      </c>
      <c r="Z30" s="3">
        <v>33419</v>
      </c>
      <c r="AA30" s="2">
        <v>2.74</v>
      </c>
      <c r="AB30" s="2">
        <v>2553</v>
      </c>
      <c r="AC30" s="2" t="s">
        <v>403</v>
      </c>
      <c r="AD30" s="2" t="s">
        <v>151</v>
      </c>
      <c r="AE30" s="2"/>
      <c r="AF30" s="2"/>
    </row>
    <row r="31" spans="1:32" ht="21" x14ac:dyDescent="0.6">
      <c r="A31" s="2">
        <v>30</v>
      </c>
      <c r="B31" s="2" t="s">
        <v>178</v>
      </c>
      <c r="C31" s="2" t="s">
        <v>404</v>
      </c>
      <c r="D31" s="2" t="s">
        <v>121</v>
      </c>
      <c r="E31" s="2" t="s">
        <v>138</v>
      </c>
      <c r="F31" s="2" t="s">
        <v>405</v>
      </c>
      <c r="G31" s="2" t="s">
        <v>406</v>
      </c>
      <c r="H31" s="2" t="s">
        <v>141</v>
      </c>
      <c r="I31" s="2" t="s">
        <v>12</v>
      </c>
      <c r="J31" s="2" t="s">
        <v>18</v>
      </c>
      <c r="K31" s="2" t="s">
        <v>17</v>
      </c>
      <c r="L31" s="2" t="s">
        <v>17</v>
      </c>
      <c r="M31" s="2" t="s">
        <v>143</v>
      </c>
      <c r="N31" s="2" t="s">
        <v>407</v>
      </c>
      <c r="O31" s="2">
        <v>1450400166130</v>
      </c>
      <c r="P31" s="2" t="s">
        <v>408</v>
      </c>
      <c r="Q31" s="2" t="s">
        <v>146</v>
      </c>
      <c r="R31" s="2" t="s">
        <v>409</v>
      </c>
      <c r="S31" s="2">
        <v>14729</v>
      </c>
      <c r="T31" s="2" t="s">
        <v>340</v>
      </c>
      <c r="U31" s="2">
        <v>10950</v>
      </c>
      <c r="V31" s="2" t="s">
        <v>185</v>
      </c>
      <c r="W31" s="3">
        <v>43556</v>
      </c>
      <c r="X31" s="2">
        <v>28.03</v>
      </c>
      <c r="Y31" s="2">
        <v>7.03</v>
      </c>
      <c r="Z31" s="3">
        <v>35880</v>
      </c>
      <c r="AA31" s="2">
        <v>3.34</v>
      </c>
      <c r="AB31" s="2">
        <v>2562</v>
      </c>
      <c r="AC31" s="2" t="s">
        <v>410</v>
      </c>
      <c r="AD31" s="2" t="s">
        <v>135</v>
      </c>
      <c r="AE31" s="2"/>
      <c r="AF31" s="2"/>
    </row>
    <row r="32" spans="1:32" ht="21" x14ac:dyDescent="0.6">
      <c r="A32" s="2">
        <v>31</v>
      </c>
      <c r="B32" s="2" t="s">
        <v>178</v>
      </c>
      <c r="C32" s="2" t="s">
        <v>411</v>
      </c>
      <c r="D32" s="2" t="s">
        <v>121</v>
      </c>
      <c r="E32" s="2" t="s">
        <v>138</v>
      </c>
      <c r="F32" s="2" t="s">
        <v>412</v>
      </c>
      <c r="G32" s="2" t="s">
        <v>413</v>
      </c>
      <c r="H32" s="2" t="s">
        <v>141</v>
      </c>
      <c r="I32" s="2" t="s">
        <v>12</v>
      </c>
      <c r="J32" s="2" t="s">
        <v>18</v>
      </c>
      <c r="K32" s="2" t="s">
        <v>17</v>
      </c>
      <c r="L32" s="2" t="s">
        <v>17</v>
      </c>
      <c r="M32" s="2" t="s">
        <v>143</v>
      </c>
      <c r="N32" s="2" t="s">
        <v>414</v>
      </c>
      <c r="O32" s="2">
        <v>1139600114029</v>
      </c>
      <c r="P32" s="2" t="s">
        <v>415</v>
      </c>
      <c r="Q32" s="2" t="s">
        <v>146</v>
      </c>
      <c r="R32" s="2" t="s">
        <v>416</v>
      </c>
      <c r="S32" s="2">
        <v>14729</v>
      </c>
      <c r="T32" s="2" t="s">
        <v>340</v>
      </c>
      <c r="U32" s="2">
        <v>10950</v>
      </c>
      <c r="V32" s="2" t="s">
        <v>185</v>
      </c>
      <c r="W32" s="3">
        <v>43587</v>
      </c>
      <c r="X32" s="2">
        <v>25.05</v>
      </c>
      <c r="Y32" s="2">
        <v>7.01</v>
      </c>
      <c r="Z32" s="3">
        <v>36902</v>
      </c>
      <c r="AA32" s="2">
        <v>2.71</v>
      </c>
      <c r="AB32" s="2">
        <v>2562</v>
      </c>
      <c r="AC32" s="2" t="s">
        <v>417</v>
      </c>
      <c r="AD32" s="2" t="s">
        <v>258</v>
      </c>
      <c r="AE32" s="2"/>
      <c r="AF32" s="2"/>
    </row>
    <row r="33" spans="1:32" ht="21" x14ac:dyDescent="0.6">
      <c r="A33" s="2">
        <v>32</v>
      </c>
      <c r="B33" s="2" t="s">
        <v>418</v>
      </c>
      <c r="C33" s="2" t="s">
        <v>419</v>
      </c>
      <c r="D33" s="2" t="s">
        <v>121</v>
      </c>
      <c r="E33" s="2" t="s">
        <v>122</v>
      </c>
      <c r="F33" s="2" t="s">
        <v>420</v>
      </c>
      <c r="G33" s="2" t="s">
        <v>421</v>
      </c>
      <c r="H33" s="2" t="s">
        <v>125</v>
      </c>
      <c r="I33" s="2" t="s">
        <v>168</v>
      </c>
      <c r="J33" s="2" t="s">
        <v>422</v>
      </c>
      <c r="K33" s="2" t="s">
        <v>423</v>
      </c>
      <c r="L33" s="2" t="s">
        <v>423</v>
      </c>
      <c r="M33" s="2" t="s">
        <v>128</v>
      </c>
      <c r="N33" s="2" t="s">
        <v>424</v>
      </c>
      <c r="O33" s="2">
        <v>1410400413081</v>
      </c>
      <c r="P33" s="2" t="s">
        <v>425</v>
      </c>
      <c r="Q33" s="2" t="s">
        <v>426</v>
      </c>
      <c r="R33" s="2" t="s">
        <v>427</v>
      </c>
      <c r="S33" s="2">
        <v>15195</v>
      </c>
      <c r="T33" s="2" t="s">
        <v>428</v>
      </c>
      <c r="U33" s="2">
        <v>12106</v>
      </c>
      <c r="V33" s="2" t="s">
        <v>429</v>
      </c>
      <c r="W33" s="3">
        <v>43587</v>
      </c>
      <c r="X33" s="2">
        <v>28.07</v>
      </c>
      <c r="Y33" s="2">
        <v>7.01</v>
      </c>
      <c r="Z33" s="3">
        <v>35748</v>
      </c>
      <c r="AA33" s="2">
        <v>3.22</v>
      </c>
      <c r="AB33" s="2">
        <v>2561</v>
      </c>
      <c r="AC33" s="2" t="s">
        <v>430</v>
      </c>
      <c r="AD33" s="2" t="s">
        <v>135</v>
      </c>
      <c r="AE33" s="2"/>
      <c r="AF33" s="2"/>
    </row>
    <row r="34" spans="1:32" ht="21" x14ac:dyDescent="0.6">
      <c r="A34" s="2">
        <v>33</v>
      </c>
      <c r="B34" s="2" t="s">
        <v>418</v>
      </c>
      <c r="C34" s="2" t="s">
        <v>431</v>
      </c>
      <c r="D34" s="2" t="s">
        <v>121</v>
      </c>
      <c r="E34" s="2" t="s">
        <v>122</v>
      </c>
      <c r="F34" s="2" t="s">
        <v>432</v>
      </c>
      <c r="G34" s="2" t="s">
        <v>433</v>
      </c>
      <c r="H34" s="2" t="s">
        <v>125</v>
      </c>
      <c r="I34" s="2" t="s">
        <v>168</v>
      </c>
      <c r="J34" s="2" t="s">
        <v>422</v>
      </c>
      <c r="K34" s="2" t="s">
        <v>423</v>
      </c>
      <c r="L34" s="2" t="s">
        <v>423</v>
      </c>
      <c r="M34" s="2" t="s">
        <v>128</v>
      </c>
      <c r="N34" s="2" t="s">
        <v>434</v>
      </c>
      <c r="O34" s="2">
        <v>1139600031981</v>
      </c>
      <c r="P34" s="2" t="s">
        <v>435</v>
      </c>
      <c r="Q34" s="2" t="s">
        <v>436</v>
      </c>
      <c r="R34" s="2" t="s">
        <v>437</v>
      </c>
      <c r="S34" s="2">
        <v>15195</v>
      </c>
      <c r="T34" s="2" t="s">
        <v>428</v>
      </c>
      <c r="U34" s="2">
        <v>12106</v>
      </c>
      <c r="V34" s="2" t="s">
        <v>429</v>
      </c>
      <c r="W34" s="3">
        <v>43621</v>
      </c>
      <c r="X34" s="2">
        <v>28.06</v>
      </c>
      <c r="Y34" s="2">
        <v>7</v>
      </c>
      <c r="Z34" s="3">
        <v>35780</v>
      </c>
      <c r="AA34" s="2">
        <v>3.38</v>
      </c>
      <c r="AB34" s="2">
        <v>2562</v>
      </c>
      <c r="AC34" s="2" t="s">
        <v>438</v>
      </c>
      <c r="AD34" s="2" t="s">
        <v>135</v>
      </c>
      <c r="AE34" s="2"/>
      <c r="AF34" s="2"/>
    </row>
    <row r="35" spans="1:32" ht="21" x14ac:dyDescent="0.6">
      <c r="A35" s="2">
        <v>34</v>
      </c>
      <c r="B35" s="2" t="s">
        <v>439</v>
      </c>
      <c r="C35" s="2" t="s">
        <v>440</v>
      </c>
      <c r="D35" s="2" t="s">
        <v>121</v>
      </c>
      <c r="E35" s="2" t="s">
        <v>122</v>
      </c>
      <c r="F35" s="2" t="s">
        <v>441</v>
      </c>
      <c r="G35" s="2" t="s">
        <v>442</v>
      </c>
      <c r="H35" s="2" t="s">
        <v>125</v>
      </c>
      <c r="I35" s="2" t="s">
        <v>443</v>
      </c>
      <c r="J35" s="2" t="s">
        <v>444</v>
      </c>
      <c r="K35" s="2" t="s">
        <v>445</v>
      </c>
      <c r="L35" s="2" t="s">
        <v>445</v>
      </c>
      <c r="M35" s="2" t="s">
        <v>128</v>
      </c>
      <c r="N35" s="2" t="s">
        <v>446</v>
      </c>
      <c r="O35" s="2">
        <v>1401700174759</v>
      </c>
      <c r="P35" s="2" t="s">
        <v>447</v>
      </c>
      <c r="Q35" s="2" t="s">
        <v>448</v>
      </c>
      <c r="R35" s="2" t="s">
        <v>449</v>
      </c>
      <c r="S35" s="2">
        <v>11877</v>
      </c>
      <c r="T35" s="2" t="s">
        <v>450</v>
      </c>
      <c r="U35" s="2"/>
      <c r="V35" s="2"/>
      <c r="W35" s="3">
        <v>43857</v>
      </c>
      <c r="X35" s="2">
        <v>30.03</v>
      </c>
      <c r="Y35" s="2">
        <v>6.05</v>
      </c>
      <c r="Z35" s="3">
        <v>35149</v>
      </c>
      <c r="AA35" s="2">
        <v>2.99</v>
      </c>
      <c r="AB35" s="2">
        <v>2559</v>
      </c>
      <c r="AC35" s="2" t="s">
        <v>451</v>
      </c>
      <c r="AD35" s="2" t="s">
        <v>135</v>
      </c>
      <c r="AE35" s="2"/>
      <c r="AF35" s="2"/>
    </row>
    <row r="36" spans="1:32" ht="21" x14ac:dyDescent="0.6">
      <c r="A36" s="2">
        <v>35</v>
      </c>
      <c r="B36" s="2" t="s">
        <v>206</v>
      </c>
      <c r="C36" s="2" t="s">
        <v>452</v>
      </c>
      <c r="D36" s="2" t="s">
        <v>121</v>
      </c>
      <c r="E36" s="2" t="s">
        <v>138</v>
      </c>
      <c r="F36" s="2" t="s">
        <v>453</v>
      </c>
      <c r="G36" s="2" t="s">
        <v>454</v>
      </c>
      <c r="H36" s="2" t="s">
        <v>141</v>
      </c>
      <c r="I36" s="2" t="s">
        <v>12</v>
      </c>
      <c r="J36" s="2" t="s">
        <v>54</v>
      </c>
      <c r="K36" s="2" t="s">
        <v>210</v>
      </c>
      <c r="L36" s="2" t="s">
        <v>211</v>
      </c>
      <c r="M36" s="2" t="s">
        <v>143</v>
      </c>
      <c r="N36" s="2" t="s">
        <v>455</v>
      </c>
      <c r="O36" s="2">
        <v>1600400151921</v>
      </c>
      <c r="P36" s="2" t="s">
        <v>146</v>
      </c>
      <c r="Q36" s="2" t="s">
        <v>456</v>
      </c>
      <c r="R36" s="2" t="s">
        <v>457</v>
      </c>
      <c r="S36" s="2">
        <v>14055</v>
      </c>
      <c r="T36" s="2" t="s">
        <v>216</v>
      </c>
      <c r="U36" s="2">
        <v>14156</v>
      </c>
      <c r="V36" s="2" t="s">
        <v>217</v>
      </c>
      <c r="W36" s="3">
        <v>43976</v>
      </c>
      <c r="X36" s="2">
        <v>32.090000000000003</v>
      </c>
      <c r="Y36" s="2">
        <v>6.01</v>
      </c>
      <c r="Z36" s="3">
        <v>34243</v>
      </c>
      <c r="AA36" s="2">
        <v>3.46</v>
      </c>
      <c r="AB36" s="2">
        <v>2555</v>
      </c>
      <c r="AC36" s="2" t="s">
        <v>458</v>
      </c>
      <c r="AD36" s="2" t="s">
        <v>258</v>
      </c>
      <c r="AE36" s="2"/>
      <c r="AF36" s="2"/>
    </row>
    <row r="37" spans="1:32" ht="21" x14ac:dyDescent="0.6">
      <c r="A37" s="2">
        <v>36</v>
      </c>
      <c r="B37" s="2" t="s">
        <v>297</v>
      </c>
      <c r="C37" s="2" t="s">
        <v>459</v>
      </c>
      <c r="D37" s="2" t="s">
        <v>121</v>
      </c>
      <c r="E37" s="2" t="s">
        <v>138</v>
      </c>
      <c r="F37" s="2" t="s">
        <v>460</v>
      </c>
      <c r="G37" s="2" t="s">
        <v>461</v>
      </c>
      <c r="H37" s="2" t="s">
        <v>125</v>
      </c>
      <c r="I37" s="2" t="s">
        <v>301</v>
      </c>
      <c r="J37" s="2" t="s">
        <v>302</v>
      </c>
      <c r="K37" s="2" t="s">
        <v>303</v>
      </c>
      <c r="L37" s="2" t="s">
        <v>303</v>
      </c>
      <c r="M37" s="2" t="s">
        <v>462</v>
      </c>
      <c r="N37" s="2" t="s">
        <v>463</v>
      </c>
      <c r="O37" s="2">
        <v>1410300018970</v>
      </c>
      <c r="P37" s="2" t="s">
        <v>464</v>
      </c>
      <c r="Q37" s="2" t="s">
        <v>146</v>
      </c>
      <c r="R37" s="2" t="s">
        <v>465</v>
      </c>
      <c r="S37" s="2">
        <v>13987</v>
      </c>
      <c r="T37" s="2" t="s">
        <v>308</v>
      </c>
      <c r="U37" s="2"/>
      <c r="V37" s="2"/>
      <c r="W37" s="3">
        <v>44075</v>
      </c>
      <c r="X37" s="2">
        <v>40.1</v>
      </c>
      <c r="Y37" s="2">
        <v>5.0999999999999996</v>
      </c>
      <c r="Z37" s="3">
        <v>31284</v>
      </c>
      <c r="AA37" s="2">
        <v>3.11</v>
      </c>
      <c r="AB37" s="2">
        <v>2551</v>
      </c>
      <c r="AC37" s="2" t="s">
        <v>466</v>
      </c>
      <c r="AD37" s="2" t="s">
        <v>271</v>
      </c>
      <c r="AE37" s="2"/>
      <c r="AF37" s="2"/>
    </row>
    <row r="38" spans="1:32" ht="21" x14ac:dyDescent="0.6">
      <c r="A38" s="2">
        <v>37</v>
      </c>
      <c r="B38" s="2" t="s">
        <v>136</v>
      </c>
      <c r="C38" s="2" t="s">
        <v>467</v>
      </c>
      <c r="D38" s="2" t="s">
        <v>121</v>
      </c>
      <c r="E38" s="2" t="s">
        <v>138</v>
      </c>
      <c r="F38" s="2" t="s">
        <v>468</v>
      </c>
      <c r="G38" s="2" t="s">
        <v>469</v>
      </c>
      <c r="H38" s="2" t="s">
        <v>141</v>
      </c>
      <c r="I38" s="2" t="s">
        <v>12</v>
      </c>
      <c r="J38" s="2" t="s">
        <v>54</v>
      </c>
      <c r="K38" s="2" t="s">
        <v>53</v>
      </c>
      <c r="L38" s="2" t="s">
        <v>142</v>
      </c>
      <c r="M38" s="2" t="s">
        <v>143</v>
      </c>
      <c r="N38" s="2" t="s">
        <v>470</v>
      </c>
      <c r="O38" s="2">
        <v>1309901153161</v>
      </c>
      <c r="P38" s="2" t="s">
        <v>471</v>
      </c>
      <c r="Q38" s="2" t="s">
        <v>146</v>
      </c>
      <c r="R38" s="2" t="s">
        <v>472</v>
      </c>
      <c r="S38" s="2">
        <v>11807</v>
      </c>
      <c r="T38" s="2" t="s">
        <v>148</v>
      </c>
      <c r="U38" s="2">
        <v>16558</v>
      </c>
      <c r="V38" s="2" t="s">
        <v>149</v>
      </c>
      <c r="W38" s="3">
        <v>44237</v>
      </c>
      <c r="X38" s="2">
        <v>31.01</v>
      </c>
      <c r="Y38" s="2">
        <v>5.04</v>
      </c>
      <c r="Z38" s="3">
        <v>34833</v>
      </c>
      <c r="AA38" s="2">
        <v>2.86</v>
      </c>
      <c r="AB38" s="2">
        <v>2558</v>
      </c>
      <c r="AC38" s="2" t="s">
        <v>473</v>
      </c>
      <c r="AD38" s="2" t="s">
        <v>151</v>
      </c>
      <c r="AE38" s="2"/>
      <c r="AF38" s="2"/>
    </row>
    <row r="39" spans="1:32" ht="21" x14ac:dyDescent="0.6">
      <c r="A39" s="2">
        <v>38</v>
      </c>
      <c r="B39" s="2" t="s">
        <v>474</v>
      </c>
      <c r="C39" s="2" t="s">
        <v>475</v>
      </c>
      <c r="D39" s="2" t="s">
        <v>121</v>
      </c>
      <c r="E39" s="2" t="s">
        <v>122</v>
      </c>
      <c r="F39" s="2" t="s">
        <v>476</v>
      </c>
      <c r="G39" s="2" t="s">
        <v>477</v>
      </c>
      <c r="H39" s="2" t="s">
        <v>125</v>
      </c>
      <c r="I39" s="2" t="s">
        <v>443</v>
      </c>
      <c r="J39" s="2" t="s">
        <v>478</v>
      </c>
      <c r="K39" s="2" t="s">
        <v>479</v>
      </c>
      <c r="L39" s="2" t="s">
        <v>479</v>
      </c>
      <c r="M39" s="2" t="s">
        <v>128</v>
      </c>
      <c r="N39" s="2" t="s">
        <v>348</v>
      </c>
      <c r="O39" s="2">
        <v>1360600206713</v>
      </c>
      <c r="P39" s="2" t="s">
        <v>480</v>
      </c>
      <c r="Q39" s="2" t="s">
        <v>481</v>
      </c>
      <c r="R39" s="2" t="s">
        <v>482</v>
      </c>
      <c r="S39" s="2">
        <v>16448</v>
      </c>
      <c r="T39" s="2" t="s">
        <v>483</v>
      </c>
      <c r="U39" s="2"/>
      <c r="V39" s="2"/>
      <c r="W39" s="3">
        <v>44246</v>
      </c>
      <c r="X39" s="2">
        <v>27.09</v>
      </c>
      <c r="Y39" s="2">
        <v>5.04</v>
      </c>
      <c r="Z39" s="3">
        <v>36045</v>
      </c>
      <c r="AA39" s="2">
        <v>3.43</v>
      </c>
      <c r="AB39" s="2">
        <v>2562</v>
      </c>
      <c r="AC39" s="2" t="s">
        <v>484</v>
      </c>
      <c r="AD39" s="2" t="s">
        <v>135</v>
      </c>
      <c r="AE39" s="2"/>
      <c r="AF39" s="2"/>
    </row>
    <row r="40" spans="1:32" ht="21" x14ac:dyDescent="0.6">
      <c r="A40" s="2">
        <v>39</v>
      </c>
      <c r="B40" s="2" t="s">
        <v>178</v>
      </c>
      <c r="C40" s="2" t="s">
        <v>485</v>
      </c>
      <c r="D40" s="2" t="s">
        <v>121</v>
      </c>
      <c r="E40" s="2" t="s">
        <v>138</v>
      </c>
      <c r="F40" s="2" t="s">
        <v>486</v>
      </c>
      <c r="G40" s="2" t="s">
        <v>487</v>
      </c>
      <c r="H40" s="2" t="s">
        <v>141</v>
      </c>
      <c r="I40" s="2" t="s">
        <v>12</v>
      </c>
      <c r="J40" s="2" t="s">
        <v>18</v>
      </c>
      <c r="K40" s="2" t="s">
        <v>17</v>
      </c>
      <c r="L40" s="2" t="s">
        <v>17</v>
      </c>
      <c r="M40" s="2" t="s">
        <v>143</v>
      </c>
      <c r="N40" s="2" t="s">
        <v>488</v>
      </c>
      <c r="O40" s="2">
        <v>1440600234031</v>
      </c>
      <c r="P40" s="2" t="s">
        <v>489</v>
      </c>
      <c r="Q40" s="2" t="s">
        <v>146</v>
      </c>
      <c r="R40" s="2" t="s">
        <v>490</v>
      </c>
      <c r="S40" s="2">
        <v>14729</v>
      </c>
      <c r="T40" s="2" t="s">
        <v>340</v>
      </c>
      <c r="U40" s="2">
        <v>10950</v>
      </c>
      <c r="V40" s="2" t="s">
        <v>185</v>
      </c>
      <c r="W40" s="3">
        <v>44410</v>
      </c>
      <c r="X40" s="2">
        <v>30.08</v>
      </c>
      <c r="Y40" s="2">
        <v>4.0999999999999996</v>
      </c>
      <c r="Z40" s="3">
        <v>34977</v>
      </c>
      <c r="AA40" s="2">
        <v>1.34</v>
      </c>
      <c r="AB40" s="2">
        <v>2561</v>
      </c>
      <c r="AC40" s="2" t="s">
        <v>491</v>
      </c>
      <c r="AD40" s="2" t="s">
        <v>151</v>
      </c>
      <c r="AE40" s="2"/>
      <c r="AF40" s="2"/>
    </row>
    <row r="41" spans="1:32" ht="21" x14ac:dyDescent="0.6">
      <c r="A41" s="2">
        <v>40</v>
      </c>
      <c r="B41" s="2" t="s">
        <v>492</v>
      </c>
      <c r="C41" s="2" t="s">
        <v>493</v>
      </c>
      <c r="D41" s="2" t="s">
        <v>121</v>
      </c>
      <c r="E41" s="2" t="s">
        <v>494</v>
      </c>
      <c r="F41" s="2" t="s">
        <v>495</v>
      </c>
      <c r="G41" s="2" t="s">
        <v>496</v>
      </c>
      <c r="H41" s="2" t="s">
        <v>125</v>
      </c>
      <c r="I41" s="2" t="s">
        <v>168</v>
      </c>
      <c r="J41" s="2" t="s">
        <v>497</v>
      </c>
      <c r="K41" s="2" t="s">
        <v>498</v>
      </c>
      <c r="L41" s="2" t="s">
        <v>498</v>
      </c>
      <c r="M41" s="2" t="s">
        <v>128</v>
      </c>
      <c r="N41" s="2" t="s">
        <v>499</v>
      </c>
      <c r="O41" s="2">
        <v>1420200042534</v>
      </c>
      <c r="P41" s="2" t="s">
        <v>500</v>
      </c>
      <c r="Q41" s="2" t="s">
        <v>501</v>
      </c>
      <c r="R41" s="2" t="s">
        <v>502</v>
      </c>
      <c r="S41" s="2">
        <v>13888</v>
      </c>
      <c r="T41" s="2" t="s">
        <v>503</v>
      </c>
      <c r="U41" s="2"/>
      <c r="V41" s="2"/>
      <c r="W41" s="3">
        <v>44459</v>
      </c>
      <c r="X41" s="2">
        <v>38.090000000000003</v>
      </c>
      <c r="Y41" s="2">
        <v>4.09</v>
      </c>
      <c r="Z41" s="3">
        <v>32044</v>
      </c>
      <c r="AA41" s="2">
        <v>2.17</v>
      </c>
      <c r="AB41" s="2">
        <v>2553</v>
      </c>
      <c r="AC41" s="2" t="s">
        <v>504</v>
      </c>
      <c r="AD41" s="2" t="s">
        <v>271</v>
      </c>
      <c r="AE41" s="2"/>
      <c r="AF41" s="2"/>
    </row>
    <row r="42" spans="1:32" ht="21" x14ac:dyDescent="0.6">
      <c r="A42" s="2">
        <v>41</v>
      </c>
      <c r="B42" s="2" t="s">
        <v>418</v>
      </c>
      <c r="C42" s="2" t="s">
        <v>505</v>
      </c>
      <c r="D42" s="2" t="s">
        <v>121</v>
      </c>
      <c r="E42" s="2" t="s">
        <v>122</v>
      </c>
      <c r="F42" s="2" t="s">
        <v>506</v>
      </c>
      <c r="G42" s="2" t="s">
        <v>507</v>
      </c>
      <c r="H42" s="2" t="s">
        <v>125</v>
      </c>
      <c r="I42" s="2" t="s">
        <v>168</v>
      </c>
      <c r="J42" s="2" t="s">
        <v>422</v>
      </c>
      <c r="K42" s="2" t="s">
        <v>423</v>
      </c>
      <c r="L42" s="2" t="s">
        <v>423</v>
      </c>
      <c r="M42" s="2" t="s">
        <v>128</v>
      </c>
      <c r="N42" s="2" t="s">
        <v>508</v>
      </c>
      <c r="O42" s="2">
        <v>1103702557471</v>
      </c>
      <c r="P42" s="2" t="s">
        <v>509</v>
      </c>
      <c r="Q42" s="2" t="s">
        <v>510</v>
      </c>
      <c r="R42" s="2" t="s">
        <v>511</v>
      </c>
      <c r="S42" s="2">
        <v>15195</v>
      </c>
      <c r="T42" s="2" t="s">
        <v>428</v>
      </c>
      <c r="U42" s="2">
        <v>12106</v>
      </c>
      <c r="V42" s="2" t="s">
        <v>429</v>
      </c>
      <c r="W42" s="3">
        <v>44571</v>
      </c>
      <c r="X42" s="2">
        <v>28.03</v>
      </c>
      <c r="Y42" s="2">
        <v>4.05</v>
      </c>
      <c r="Z42" s="3">
        <v>35877</v>
      </c>
      <c r="AA42" s="2">
        <v>2.83</v>
      </c>
      <c r="AB42" s="2">
        <v>2562</v>
      </c>
      <c r="AC42" s="2" t="s">
        <v>512</v>
      </c>
      <c r="AD42" s="2" t="s">
        <v>271</v>
      </c>
      <c r="AE42" s="2"/>
      <c r="AF42" s="2"/>
    </row>
    <row r="43" spans="1:32" ht="21" x14ac:dyDescent="0.6">
      <c r="A43" s="2">
        <v>42</v>
      </c>
      <c r="B43" s="2" t="s">
        <v>286</v>
      </c>
      <c r="C43" s="2" t="s">
        <v>513</v>
      </c>
      <c r="D43" s="2" t="s">
        <v>121</v>
      </c>
      <c r="E43" s="2" t="s">
        <v>122</v>
      </c>
      <c r="F43" s="2" t="s">
        <v>514</v>
      </c>
      <c r="G43" s="2" t="s">
        <v>515</v>
      </c>
      <c r="H43" s="2" t="s">
        <v>125</v>
      </c>
      <c r="I43" s="2" t="s">
        <v>12</v>
      </c>
      <c r="J43" s="2" t="s">
        <v>156</v>
      </c>
      <c r="K43" s="2" t="s">
        <v>290</v>
      </c>
      <c r="L43" s="2" t="s">
        <v>290</v>
      </c>
      <c r="M43" s="2" t="s">
        <v>143</v>
      </c>
      <c r="N43" s="2" t="s">
        <v>516</v>
      </c>
      <c r="O43" s="2">
        <v>1369900327085</v>
      </c>
      <c r="P43" s="2" t="s">
        <v>517</v>
      </c>
      <c r="Q43" s="2" t="s">
        <v>518</v>
      </c>
      <c r="R43" s="2" t="s">
        <v>519</v>
      </c>
      <c r="S43" s="2">
        <v>15036</v>
      </c>
      <c r="T43" s="2" t="s">
        <v>295</v>
      </c>
      <c r="U43" s="2"/>
      <c r="V43" s="2"/>
      <c r="W43" s="3">
        <v>44578</v>
      </c>
      <c r="X43" s="2">
        <v>31.02</v>
      </c>
      <c r="Y43" s="2">
        <v>4.05</v>
      </c>
      <c r="Z43" s="3">
        <v>34806</v>
      </c>
      <c r="AA43" s="2">
        <v>3.27</v>
      </c>
      <c r="AB43" s="2">
        <v>2560</v>
      </c>
      <c r="AC43" s="2" t="s">
        <v>520</v>
      </c>
      <c r="AD43" s="2" t="s">
        <v>271</v>
      </c>
      <c r="AE43" s="2"/>
      <c r="AF43" s="2"/>
    </row>
    <row r="44" spans="1:32" ht="21" x14ac:dyDescent="0.6">
      <c r="A44" s="2">
        <v>43</v>
      </c>
      <c r="B44" s="2" t="s">
        <v>239</v>
      </c>
      <c r="C44" s="2" t="s">
        <v>521</v>
      </c>
      <c r="D44" s="2" t="s">
        <v>121</v>
      </c>
      <c r="E44" s="2" t="s">
        <v>138</v>
      </c>
      <c r="F44" s="2" t="s">
        <v>522</v>
      </c>
      <c r="G44" s="2" t="s">
        <v>523</v>
      </c>
      <c r="H44" s="2" t="s">
        <v>16</v>
      </c>
      <c r="I44" s="2" t="s">
        <v>12</v>
      </c>
      <c r="J44" s="2" t="s">
        <v>18</v>
      </c>
      <c r="K44" s="2" t="s">
        <v>243</v>
      </c>
      <c r="L44" s="2" t="s">
        <v>243</v>
      </c>
      <c r="M44" s="2" t="s">
        <v>244</v>
      </c>
      <c r="N44" s="2" t="s">
        <v>524</v>
      </c>
      <c r="O44" s="2">
        <v>1440700115280</v>
      </c>
      <c r="P44" s="2" t="s">
        <v>525</v>
      </c>
      <c r="Q44" s="2" t="s">
        <v>146</v>
      </c>
      <c r="R44" s="2" t="s">
        <v>526</v>
      </c>
      <c r="S44" s="2">
        <v>11917</v>
      </c>
      <c r="T44" s="2" t="s">
        <v>248</v>
      </c>
      <c r="U44" s="2">
        <v>12086</v>
      </c>
      <c r="V44" s="2" t="s">
        <v>249</v>
      </c>
      <c r="W44" s="3">
        <v>44655</v>
      </c>
      <c r="X44" s="2">
        <v>32</v>
      </c>
      <c r="Y44" s="2">
        <v>4.0199999999999996</v>
      </c>
      <c r="Z44" s="3">
        <v>34491</v>
      </c>
      <c r="AA44" s="2">
        <v>2</v>
      </c>
      <c r="AB44" s="2">
        <v>2555</v>
      </c>
      <c r="AC44" s="2" t="s">
        <v>527</v>
      </c>
      <c r="AD44" s="2" t="s">
        <v>151</v>
      </c>
      <c r="AE44" s="2"/>
      <c r="AF44" s="2"/>
    </row>
    <row r="45" spans="1:32" ht="21" x14ac:dyDescent="0.6">
      <c r="A45" s="2">
        <v>44</v>
      </c>
      <c r="B45" s="2" t="s">
        <v>178</v>
      </c>
      <c r="C45" s="2" t="s">
        <v>528</v>
      </c>
      <c r="D45" s="2" t="s">
        <v>121</v>
      </c>
      <c r="E45" s="2" t="s">
        <v>138</v>
      </c>
      <c r="F45" s="2" t="s">
        <v>529</v>
      </c>
      <c r="G45" s="2" t="s">
        <v>530</v>
      </c>
      <c r="H45" s="2" t="s">
        <v>141</v>
      </c>
      <c r="I45" s="2" t="s">
        <v>12</v>
      </c>
      <c r="J45" s="2" t="s">
        <v>18</v>
      </c>
      <c r="K45" s="2" t="s">
        <v>17</v>
      </c>
      <c r="L45" s="2" t="s">
        <v>17</v>
      </c>
      <c r="M45" s="2" t="s">
        <v>143</v>
      </c>
      <c r="N45" s="2" t="s">
        <v>531</v>
      </c>
      <c r="O45" s="2">
        <v>1279900215954</v>
      </c>
      <c r="P45" s="2" t="s">
        <v>146</v>
      </c>
      <c r="Q45" s="2" t="s">
        <v>146</v>
      </c>
      <c r="R45" s="2" t="s">
        <v>532</v>
      </c>
      <c r="S45" s="2">
        <v>14727</v>
      </c>
      <c r="T45" s="2" t="s">
        <v>184</v>
      </c>
      <c r="U45" s="2">
        <v>10950</v>
      </c>
      <c r="V45" s="2" t="s">
        <v>185</v>
      </c>
      <c r="W45" s="3">
        <v>44659</v>
      </c>
      <c r="X45" s="2">
        <v>23</v>
      </c>
      <c r="Y45" s="2">
        <v>4.0199999999999996</v>
      </c>
      <c r="Z45" s="3">
        <v>37803</v>
      </c>
      <c r="AA45" s="2">
        <v>2.94</v>
      </c>
      <c r="AB45" s="2">
        <v>2565</v>
      </c>
      <c r="AC45" s="2" t="s">
        <v>533</v>
      </c>
      <c r="AD45" s="2" t="s">
        <v>151</v>
      </c>
      <c r="AE45" s="2"/>
      <c r="AF45" s="2"/>
    </row>
    <row r="46" spans="1:32" ht="21" x14ac:dyDescent="0.6">
      <c r="A46" s="2">
        <v>45</v>
      </c>
      <c r="B46" s="2" t="s">
        <v>206</v>
      </c>
      <c r="C46" s="2" t="s">
        <v>534</v>
      </c>
      <c r="D46" s="2" t="s">
        <v>121</v>
      </c>
      <c r="E46" s="2" t="s">
        <v>138</v>
      </c>
      <c r="F46" s="2" t="s">
        <v>535</v>
      </c>
      <c r="G46" s="2" t="s">
        <v>536</v>
      </c>
      <c r="H46" s="2" t="s">
        <v>141</v>
      </c>
      <c r="I46" s="2" t="s">
        <v>12</v>
      </c>
      <c r="J46" s="2" t="s">
        <v>54</v>
      </c>
      <c r="K46" s="2" t="s">
        <v>210</v>
      </c>
      <c r="L46" s="2" t="s">
        <v>211</v>
      </c>
      <c r="M46" s="2" t="s">
        <v>143</v>
      </c>
      <c r="N46" s="2" t="s">
        <v>537</v>
      </c>
      <c r="O46" s="2">
        <v>1400900284468</v>
      </c>
      <c r="P46" s="2" t="s">
        <v>538</v>
      </c>
      <c r="Q46" s="2" t="s">
        <v>539</v>
      </c>
      <c r="R46" s="2" t="s">
        <v>540</v>
      </c>
      <c r="S46" s="2">
        <v>14055</v>
      </c>
      <c r="T46" s="2" t="s">
        <v>216</v>
      </c>
      <c r="U46" s="2">
        <v>14156</v>
      </c>
      <c r="V46" s="2" t="s">
        <v>217</v>
      </c>
      <c r="W46" s="3">
        <v>44788</v>
      </c>
      <c r="X46" s="2">
        <v>27.04</v>
      </c>
      <c r="Y46" s="2">
        <v>3.1</v>
      </c>
      <c r="Z46" s="3">
        <v>36213</v>
      </c>
      <c r="AA46" s="2">
        <v>3.37</v>
      </c>
      <c r="AB46" s="2">
        <v>2563</v>
      </c>
      <c r="AC46" s="2" t="s">
        <v>541</v>
      </c>
      <c r="AD46" s="2" t="s">
        <v>135</v>
      </c>
      <c r="AE46" s="2"/>
      <c r="AF46" s="2"/>
    </row>
    <row r="47" spans="1:32" ht="21" x14ac:dyDescent="0.6">
      <c r="A47" s="2">
        <v>46</v>
      </c>
      <c r="B47" s="2" t="s">
        <v>492</v>
      </c>
      <c r="C47" s="2" t="s">
        <v>542</v>
      </c>
      <c r="D47" s="2" t="s">
        <v>121</v>
      </c>
      <c r="E47" s="2" t="s">
        <v>122</v>
      </c>
      <c r="F47" s="2" t="s">
        <v>543</v>
      </c>
      <c r="G47" s="2" t="s">
        <v>544</v>
      </c>
      <c r="H47" s="2" t="s">
        <v>125</v>
      </c>
      <c r="I47" s="2" t="s">
        <v>168</v>
      </c>
      <c r="J47" s="2" t="s">
        <v>497</v>
      </c>
      <c r="K47" s="2" t="s">
        <v>498</v>
      </c>
      <c r="L47" s="2" t="s">
        <v>498</v>
      </c>
      <c r="M47" s="2" t="s">
        <v>128</v>
      </c>
      <c r="N47" s="2" t="s">
        <v>545</v>
      </c>
      <c r="O47" s="2">
        <v>1620400252379</v>
      </c>
      <c r="P47" s="2" t="s">
        <v>546</v>
      </c>
      <c r="Q47" s="2" t="s">
        <v>547</v>
      </c>
      <c r="R47" s="2" t="s">
        <v>548</v>
      </c>
      <c r="S47" s="2">
        <v>13888</v>
      </c>
      <c r="T47" s="2" t="s">
        <v>503</v>
      </c>
      <c r="U47" s="2"/>
      <c r="V47" s="2"/>
      <c r="W47" s="3">
        <v>44796</v>
      </c>
      <c r="X47" s="2">
        <v>29</v>
      </c>
      <c r="Y47" s="2">
        <v>3.1</v>
      </c>
      <c r="Z47" s="3">
        <v>35595</v>
      </c>
      <c r="AA47" s="2">
        <v>2.52</v>
      </c>
      <c r="AB47" s="2">
        <v>2562</v>
      </c>
      <c r="AC47" s="2" t="s">
        <v>549</v>
      </c>
      <c r="AD47" s="2" t="s">
        <v>271</v>
      </c>
      <c r="AE47" s="2"/>
      <c r="AF47" s="2"/>
    </row>
    <row r="48" spans="1:32" ht="21" x14ac:dyDescent="0.6">
      <c r="A48" s="2">
        <v>47</v>
      </c>
      <c r="B48" s="2" t="s">
        <v>206</v>
      </c>
      <c r="C48" s="2" t="s">
        <v>550</v>
      </c>
      <c r="D48" s="2" t="s">
        <v>121</v>
      </c>
      <c r="E48" s="2" t="s">
        <v>138</v>
      </c>
      <c r="F48" s="2" t="s">
        <v>551</v>
      </c>
      <c r="G48" s="2" t="s">
        <v>552</v>
      </c>
      <c r="H48" s="2" t="s">
        <v>141</v>
      </c>
      <c r="I48" s="2" t="s">
        <v>12</v>
      </c>
      <c r="J48" s="2" t="s">
        <v>54</v>
      </c>
      <c r="K48" s="2" t="s">
        <v>210</v>
      </c>
      <c r="L48" s="2" t="s">
        <v>553</v>
      </c>
      <c r="M48" s="2" t="s">
        <v>554</v>
      </c>
      <c r="N48" s="2" t="s">
        <v>555</v>
      </c>
      <c r="O48" s="2">
        <v>1390400091904</v>
      </c>
      <c r="P48" s="2" t="s">
        <v>556</v>
      </c>
      <c r="Q48" s="2" t="s">
        <v>557</v>
      </c>
      <c r="R48" s="2" t="s">
        <v>558</v>
      </c>
      <c r="S48" s="2">
        <v>15106</v>
      </c>
      <c r="T48" s="2" t="s">
        <v>559</v>
      </c>
      <c r="U48" s="2">
        <v>14156</v>
      </c>
      <c r="V48" s="2" t="s">
        <v>217</v>
      </c>
      <c r="W48" s="3">
        <v>44823</v>
      </c>
      <c r="X48" s="2">
        <v>27.06</v>
      </c>
      <c r="Y48" s="2">
        <v>3.09</v>
      </c>
      <c r="Z48" s="3">
        <v>36150</v>
      </c>
      <c r="AA48" s="2">
        <v>2.96</v>
      </c>
      <c r="AB48" s="2">
        <v>2562</v>
      </c>
      <c r="AC48" s="2" t="s">
        <v>560</v>
      </c>
      <c r="AD48" s="2" t="s">
        <v>135</v>
      </c>
      <c r="AE48" s="2"/>
      <c r="AF48" s="2"/>
    </row>
    <row r="49" spans="1:32" ht="21" x14ac:dyDescent="0.6">
      <c r="A49" s="2">
        <v>48</v>
      </c>
      <c r="B49" s="2" t="s">
        <v>561</v>
      </c>
      <c r="C49" s="2" t="s">
        <v>562</v>
      </c>
      <c r="D49" s="2" t="s">
        <v>121</v>
      </c>
      <c r="E49" s="2" t="s">
        <v>122</v>
      </c>
      <c r="F49" s="2" t="s">
        <v>563</v>
      </c>
      <c r="G49" s="2" t="s">
        <v>564</v>
      </c>
      <c r="H49" s="2" t="s">
        <v>125</v>
      </c>
      <c r="I49" s="2" t="s">
        <v>443</v>
      </c>
      <c r="J49" s="2" t="s">
        <v>444</v>
      </c>
      <c r="K49" s="2" t="s">
        <v>565</v>
      </c>
      <c r="L49" s="2" t="s">
        <v>565</v>
      </c>
      <c r="M49" s="2" t="s">
        <v>128</v>
      </c>
      <c r="N49" s="2" t="s">
        <v>566</v>
      </c>
      <c r="O49" s="2">
        <v>1600100769333</v>
      </c>
      <c r="P49" s="2" t="s">
        <v>567</v>
      </c>
      <c r="Q49" s="2" t="s">
        <v>568</v>
      </c>
      <c r="R49" s="2" t="s">
        <v>569</v>
      </c>
      <c r="S49" s="2">
        <v>11899</v>
      </c>
      <c r="T49" s="2" t="s">
        <v>570</v>
      </c>
      <c r="U49" s="2"/>
      <c r="V49" s="2"/>
      <c r="W49" s="3">
        <v>44844</v>
      </c>
      <c r="X49" s="2">
        <v>27.08</v>
      </c>
      <c r="Y49" s="2">
        <v>3.08</v>
      </c>
      <c r="Z49" s="3">
        <v>36096</v>
      </c>
      <c r="AA49" s="2">
        <v>3.49</v>
      </c>
      <c r="AB49" s="2">
        <v>2562</v>
      </c>
      <c r="AC49" s="2" t="s">
        <v>571</v>
      </c>
      <c r="AD49" s="2" t="s">
        <v>135</v>
      </c>
      <c r="AE49" s="2"/>
      <c r="AF49" s="2"/>
    </row>
    <row r="50" spans="1:32" ht="21" x14ac:dyDescent="0.6">
      <c r="A50" s="2">
        <v>49</v>
      </c>
      <c r="B50" s="2" t="s">
        <v>297</v>
      </c>
      <c r="C50" s="2" t="s">
        <v>572</v>
      </c>
      <c r="D50" s="2" t="s">
        <v>121</v>
      </c>
      <c r="E50" s="2" t="s">
        <v>138</v>
      </c>
      <c r="F50" s="2" t="s">
        <v>573</v>
      </c>
      <c r="G50" s="2" t="s">
        <v>574</v>
      </c>
      <c r="H50" s="2" t="s">
        <v>125</v>
      </c>
      <c r="I50" s="2" t="s">
        <v>301</v>
      </c>
      <c r="J50" s="2" t="s">
        <v>302</v>
      </c>
      <c r="K50" s="2" t="s">
        <v>303</v>
      </c>
      <c r="L50" s="2" t="s">
        <v>303</v>
      </c>
      <c r="M50" s="2" t="s">
        <v>575</v>
      </c>
      <c r="N50" s="2" t="s">
        <v>576</v>
      </c>
      <c r="O50" s="2">
        <v>1600100745043</v>
      </c>
      <c r="P50" s="2" t="s">
        <v>577</v>
      </c>
      <c r="Q50" s="2" t="s">
        <v>146</v>
      </c>
      <c r="R50" s="2" t="s">
        <v>578</v>
      </c>
      <c r="S50" s="2">
        <v>13987</v>
      </c>
      <c r="T50" s="2" t="s">
        <v>308</v>
      </c>
      <c r="U50" s="2"/>
      <c r="V50" s="2"/>
      <c r="W50" s="3">
        <v>45017</v>
      </c>
      <c r="X50" s="2">
        <v>28.04</v>
      </c>
      <c r="Y50" s="2">
        <v>3.03</v>
      </c>
      <c r="Z50" s="3">
        <v>35854</v>
      </c>
      <c r="AA50" s="2">
        <v>2.77</v>
      </c>
      <c r="AB50" s="2">
        <v>2563</v>
      </c>
      <c r="AC50" s="2" t="s">
        <v>466</v>
      </c>
      <c r="AD50" s="2" t="s">
        <v>271</v>
      </c>
      <c r="AE50" s="2"/>
      <c r="AF50" s="2"/>
    </row>
    <row r="51" spans="1:32" ht="21" x14ac:dyDescent="0.6">
      <c r="A51" s="2">
        <v>50</v>
      </c>
      <c r="B51" s="2" t="s">
        <v>259</v>
      </c>
      <c r="C51" s="2" t="s">
        <v>579</v>
      </c>
      <c r="D51" s="2" t="s">
        <v>121</v>
      </c>
      <c r="E51" s="2" t="s">
        <v>122</v>
      </c>
      <c r="F51" s="2" t="s">
        <v>580</v>
      </c>
      <c r="G51" s="2" t="s">
        <v>581</v>
      </c>
      <c r="H51" s="2" t="s">
        <v>263</v>
      </c>
      <c r="I51" s="2" t="s">
        <v>23</v>
      </c>
      <c r="J51" s="2" t="s">
        <v>22</v>
      </c>
      <c r="K51" s="2" t="s">
        <v>264</v>
      </c>
      <c r="L51" s="2" t="s">
        <v>264</v>
      </c>
      <c r="M51" s="2" t="s">
        <v>128</v>
      </c>
      <c r="N51" s="2" t="s">
        <v>582</v>
      </c>
      <c r="O51" s="2">
        <v>1100501260720</v>
      </c>
      <c r="P51" s="2" t="s">
        <v>583</v>
      </c>
      <c r="Q51" s="2" t="s">
        <v>584</v>
      </c>
      <c r="R51" s="2" t="s">
        <v>585</v>
      </c>
      <c r="S51" s="2">
        <v>16110</v>
      </c>
      <c r="T51" s="2" t="s">
        <v>269</v>
      </c>
      <c r="U51" s="2"/>
      <c r="V51" s="2"/>
      <c r="W51" s="3">
        <v>45033</v>
      </c>
      <c r="X51" s="2">
        <v>30.07</v>
      </c>
      <c r="Y51" s="2">
        <v>3.02</v>
      </c>
      <c r="Z51" s="3">
        <v>35031</v>
      </c>
      <c r="AA51" s="2">
        <v>2.91</v>
      </c>
      <c r="AB51" s="2">
        <v>2563</v>
      </c>
      <c r="AC51" s="2" t="s">
        <v>586</v>
      </c>
      <c r="AD51" s="2" t="s">
        <v>271</v>
      </c>
      <c r="AE51" s="2"/>
      <c r="AF51" s="2"/>
    </row>
    <row r="52" spans="1:32" ht="21" x14ac:dyDescent="0.6">
      <c r="A52" s="2">
        <v>51</v>
      </c>
      <c r="B52" s="2" t="s">
        <v>439</v>
      </c>
      <c r="C52" s="2" t="s">
        <v>587</v>
      </c>
      <c r="D52" s="2" t="s">
        <v>121</v>
      </c>
      <c r="E52" s="2" t="s">
        <v>138</v>
      </c>
      <c r="F52" s="2" t="s">
        <v>588</v>
      </c>
      <c r="G52" s="2" t="s">
        <v>589</v>
      </c>
      <c r="H52" s="2" t="s">
        <v>125</v>
      </c>
      <c r="I52" s="2" t="s">
        <v>443</v>
      </c>
      <c r="J52" s="2" t="s">
        <v>444</v>
      </c>
      <c r="K52" s="2" t="s">
        <v>445</v>
      </c>
      <c r="L52" s="2" t="s">
        <v>445</v>
      </c>
      <c r="M52" s="2" t="s">
        <v>128</v>
      </c>
      <c r="N52" s="2" t="s">
        <v>377</v>
      </c>
      <c r="O52" s="2">
        <v>1678700009761</v>
      </c>
      <c r="P52" s="2" t="s">
        <v>590</v>
      </c>
      <c r="Q52" s="2" t="s">
        <v>591</v>
      </c>
      <c r="R52" s="2" t="s">
        <v>592</v>
      </c>
      <c r="S52" s="2">
        <v>11877</v>
      </c>
      <c r="T52" s="2" t="s">
        <v>450</v>
      </c>
      <c r="U52" s="2"/>
      <c r="V52" s="2"/>
      <c r="W52" s="3">
        <v>45040</v>
      </c>
      <c r="X52" s="2">
        <v>24</v>
      </c>
      <c r="Y52" s="2">
        <v>3.02</v>
      </c>
      <c r="Z52" s="3">
        <v>37433</v>
      </c>
      <c r="AA52" s="2">
        <v>3.83</v>
      </c>
      <c r="AB52" s="2">
        <v>2566</v>
      </c>
      <c r="AC52" s="2" t="s">
        <v>296</v>
      </c>
      <c r="AD52" s="2" t="s">
        <v>135</v>
      </c>
      <c r="AE52" s="2"/>
      <c r="AF52" s="2"/>
    </row>
    <row r="53" spans="1:32" ht="21" x14ac:dyDescent="0.6">
      <c r="A53" s="2">
        <v>52</v>
      </c>
      <c r="B53" s="2" t="s">
        <v>439</v>
      </c>
      <c r="C53" s="2" t="s">
        <v>593</v>
      </c>
      <c r="D53" s="2" t="s">
        <v>121</v>
      </c>
      <c r="E53" s="2" t="s">
        <v>138</v>
      </c>
      <c r="F53" s="2" t="s">
        <v>594</v>
      </c>
      <c r="G53" s="2" t="s">
        <v>595</v>
      </c>
      <c r="H53" s="2" t="s">
        <v>125</v>
      </c>
      <c r="I53" s="2" t="s">
        <v>443</v>
      </c>
      <c r="J53" s="2" t="s">
        <v>444</v>
      </c>
      <c r="K53" s="2" t="s">
        <v>445</v>
      </c>
      <c r="L53" s="2" t="s">
        <v>445</v>
      </c>
      <c r="M53" s="2" t="s">
        <v>128</v>
      </c>
      <c r="N53" s="2" t="s">
        <v>596</v>
      </c>
      <c r="O53" s="2">
        <v>1140600092361</v>
      </c>
      <c r="P53" s="2" t="s">
        <v>597</v>
      </c>
      <c r="Q53" s="2" t="s">
        <v>598</v>
      </c>
      <c r="R53" s="2" t="s">
        <v>599</v>
      </c>
      <c r="S53" s="2">
        <v>11877</v>
      </c>
      <c r="T53" s="2" t="s">
        <v>450</v>
      </c>
      <c r="U53" s="2"/>
      <c r="V53" s="2"/>
      <c r="W53" s="3">
        <v>45048</v>
      </c>
      <c r="X53" s="2">
        <v>35.020000000000003</v>
      </c>
      <c r="Y53" s="2">
        <v>3.01</v>
      </c>
      <c r="Z53" s="3">
        <v>33356</v>
      </c>
      <c r="AA53" s="2">
        <v>2.83</v>
      </c>
      <c r="AB53" s="2">
        <v>2552</v>
      </c>
      <c r="AC53" s="2" t="s">
        <v>600</v>
      </c>
      <c r="AD53" s="2" t="s">
        <v>151</v>
      </c>
      <c r="AE53" s="2"/>
      <c r="AF53" s="2"/>
    </row>
    <row r="54" spans="1:32" ht="21" x14ac:dyDescent="0.6">
      <c r="A54" s="2">
        <v>53</v>
      </c>
      <c r="B54" s="2" t="s">
        <v>178</v>
      </c>
      <c r="C54" s="2" t="s">
        <v>601</v>
      </c>
      <c r="D54" s="2" t="s">
        <v>121</v>
      </c>
      <c r="E54" s="2" t="s">
        <v>138</v>
      </c>
      <c r="F54" s="2" t="s">
        <v>602</v>
      </c>
      <c r="G54" s="2" t="s">
        <v>603</v>
      </c>
      <c r="H54" s="2" t="s">
        <v>141</v>
      </c>
      <c r="I54" s="2" t="s">
        <v>12</v>
      </c>
      <c r="J54" s="2" t="s">
        <v>18</v>
      </c>
      <c r="K54" s="2" t="s">
        <v>17</v>
      </c>
      <c r="L54" s="2" t="s">
        <v>17</v>
      </c>
      <c r="M54" s="2" t="s">
        <v>143</v>
      </c>
      <c r="N54" s="2" t="s">
        <v>604</v>
      </c>
      <c r="O54" s="2">
        <v>1429900433348</v>
      </c>
      <c r="P54" s="2" t="s">
        <v>605</v>
      </c>
      <c r="Q54" s="2" t="s">
        <v>146</v>
      </c>
      <c r="R54" s="2" t="s">
        <v>606</v>
      </c>
      <c r="S54" s="2">
        <v>14727</v>
      </c>
      <c r="T54" s="2" t="s">
        <v>184</v>
      </c>
      <c r="U54" s="2">
        <v>10950</v>
      </c>
      <c r="V54" s="2" t="s">
        <v>185</v>
      </c>
      <c r="W54" s="3">
        <v>45048</v>
      </c>
      <c r="X54" s="2">
        <v>23.11</v>
      </c>
      <c r="Y54" s="2">
        <v>3.01</v>
      </c>
      <c r="Z54" s="3">
        <v>37452</v>
      </c>
      <c r="AA54" s="2">
        <v>2.16</v>
      </c>
      <c r="AB54" s="2">
        <v>2565</v>
      </c>
      <c r="AC54" s="2" t="s">
        <v>607</v>
      </c>
      <c r="AD54" s="2" t="s">
        <v>258</v>
      </c>
      <c r="AE54" s="2"/>
      <c r="AF54" s="2"/>
    </row>
    <row r="55" spans="1:32" ht="21" x14ac:dyDescent="0.6">
      <c r="A55" s="2">
        <v>54</v>
      </c>
      <c r="B55" s="2" t="s">
        <v>259</v>
      </c>
      <c r="C55" s="2" t="s">
        <v>608</v>
      </c>
      <c r="D55" s="2" t="s">
        <v>121</v>
      </c>
      <c r="E55" s="2" t="s">
        <v>138</v>
      </c>
      <c r="F55" s="2" t="s">
        <v>609</v>
      </c>
      <c r="G55" s="2" t="s">
        <v>610</v>
      </c>
      <c r="H55" s="2" t="s">
        <v>263</v>
      </c>
      <c r="I55" s="2" t="s">
        <v>23</v>
      </c>
      <c r="J55" s="2" t="s">
        <v>22</v>
      </c>
      <c r="K55" s="2" t="s">
        <v>264</v>
      </c>
      <c r="L55" s="2" t="s">
        <v>264</v>
      </c>
      <c r="M55" s="2" t="s">
        <v>128</v>
      </c>
      <c r="N55" s="2" t="s">
        <v>611</v>
      </c>
      <c r="O55" s="2">
        <v>1499900325294</v>
      </c>
      <c r="P55" s="2" t="s">
        <v>612</v>
      </c>
      <c r="Q55" s="2" t="s">
        <v>613</v>
      </c>
      <c r="R55" s="2" t="s">
        <v>614</v>
      </c>
      <c r="S55" s="2">
        <v>16110</v>
      </c>
      <c r="T55" s="2" t="s">
        <v>269</v>
      </c>
      <c r="U55" s="2"/>
      <c r="V55" s="2"/>
      <c r="W55" s="3">
        <v>45078</v>
      </c>
      <c r="X55" s="2">
        <v>26.01</v>
      </c>
      <c r="Y55" s="2">
        <v>3.01</v>
      </c>
      <c r="Z55" s="3">
        <v>36657</v>
      </c>
      <c r="AA55" s="2">
        <v>2.79</v>
      </c>
      <c r="AB55" s="2">
        <v>2565</v>
      </c>
      <c r="AC55" s="2" t="s">
        <v>615</v>
      </c>
      <c r="AD55" s="2" t="s">
        <v>271</v>
      </c>
      <c r="AE55" s="2"/>
      <c r="AF55" s="2"/>
    </row>
    <row r="56" spans="1:32" ht="21" x14ac:dyDescent="0.6">
      <c r="A56" s="2">
        <v>55</v>
      </c>
      <c r="B56" s="2" t="s">
        <v>164</v>
      </c>
      <c r="C56" s="2" t="s">
        <v>616</v>
      </c>
      <c r="D56" s="2" t="s">
        <v>121</v>
      </c>
      <c r="E56" s="2" t="s">
        <v>122</v>
      </c>
      <c r="F56" s="2" t="s">
        <v>617</v>
      </c>
      <c r="G56" s="2" t="s">
        <v>618</v>
      </c>
      <c r="H56" s="2" t="s">
        <v>125</v>
      </c>
      <c r="I56" s="2" t="s">
        <v>168</v>
      </c>
      <c r="J56" s="2" t="s">
        <v>169</v>
      </c>
      <c r="K56" s="2" t="s">
        <v>170</v>
      </c>
      <c r="L56" s="2" t="s">
        <v>170</v>
      </c>
      <c r="M56" s="2" t="s">
        <v>128</v>
      </c>
      <c r="N56" s="2" t="s">
        <v>619</v>
      </c>
      <c r="O56" s="2">
        <v>1600100380924</v>
      </c>
      <c r="P56" s="2" t="s">
        <v>620</v>
      </c>
      <c r="Q56" s="2" t="s">
        <v>621</v>
      </c>
      <c r="R56" s="2" t="s">
        <v>622</v>
      </c>
      <c r="S56" s="2">
        <v>14065</v>
      </c>
      <c r="T56" s="2" t="s">
        <v>623</v>
      </c>
      <c r="U56" s="2">
        <v>12188</v>
      </c>
      <c r="V56" s="2" t="s">
        <v>176</v>
      </c>
      <c r="W56" s="3">
        <v>45098</v>
      </c>
      <c r="X56" s="2">
        <v>35.11</v>
      </c>
      <c r="Y56" s="2">
        <v>3</v>
      </c>
      <c r="Z56" s="3">
        <v>33072</v>
      </c>
      <c r="AA56" s="2">
        <v>2.2200000000000002</v>
      </c>
      <c r="AB56" s="2">
        <v>2557</v>
      </c>
      <c r="AC56" s="2" t="s">
        <v>624</v>
      </c>
      <c r="AD56" s="2" t="s">
        <v>271</v>
      </c>
      <c r="AE56" s="2"/>
      <c r="AF56" s="2"/>
    </row>
    <row r="57" spans="1:32" ht="21" x14ac:dyDescent="0.6">
      <c r="A57" s="2">
        <v>56</v>
      </c>
      <c r="B57" s="2" t="s">
        <v>286</v>
      </c>
      <c r="C57" s="2" t="s">
        <v>625</v>
      </c>
      <c r="D57" s="2" t="s">
        <v>121</v>
      </c>
      <c r="E57" s="2" t="s">
        <v>122</v>
      </c>
      <c r="F57" s="2" t="s">
        <v>626</v>
      </c>
      <c r="G57" s="2" t="s">
        <v>627</v>
      </c>
      <c r="H57" s="2" t="s">
        <v>125</v>
      </c>
      <c r="I57" s="2" t="s">
        <v>12</v>
      </c>
      <c r="J57" s="2" t="s">
        <v>156</v>
      </c>
      <c r="K57" s="2" t="s">
        <v>290</v>
      </c>
      <c r="L57" s="2" t="s">
        <v>290</v>
      </c>
      <c r="M57" s="2" t="s">
        <v>143</v>
      </c>
      <c r="N57" s="2" t="s">
        <v>628</v>
      </c>
      <c r="O57" s="2">
        <v>1104200101359</v>
      </c>
      <c r="P57" s="2" t="s">
        <v>629</v>
      </c>
      <c r="Q57" s="2" t="s">
        <v>630</v>
      </c>
      <c r="R57" s="2" t="s">
        <v>631</v>
      </c>
      <c r="S57" s="2">
        <v>15036</v>
      </c>
      <c r="T57" s="2" t="s">
        <v>295</v>
      </c>
      <c r="U57" s="2"/>
      <c r="V57" s="2"/>
      <c r="W57" s="3">
        <v>45166</v>
      </c>
      <c r="X57" s="2">
        <v>27</v>
      </c>
      <c r="Y57" s="2">
        <v>2.1</v>
      </c>
      <c r="Z57" s="3">
        <v>36334</v>
      </c>
      <c r="AA57" s="2">
        <v>2.4</v>
      </c>
      <c r="AB57" s="2">
        <v>2564</v>
      </c>
      <c r="AC57" s="2" t="s">
        <v>163</v>
      </c>
      <c r="AD57" s="2" t="s">
        <v>271</v>
      </c>
      <c r="AE57" s="2"/>
      <c r="AF57" s="2"/>
    </row>
    <row r="58" spans="1:32" ht="21" x14ac:dyDescent="0.6">
      <c r="A58" s="2">
        <v>57</v>
      </c>
      <c r="B58" s="2" t="s">
        <v>164</v>
      </c>
      <c r="C58" s="2" t="s">
        <v>632</v>
      </c>
      <c r="D58" s="2" t="s">
        <v>121</v>
      </c>
      <c r="E58" s="2" t="s">
        <v>122</v>
      </c>
      <c r="F58" s="2" t="s">
        <v>633</v>
      </c>
      <c r="G58" s="2" t="s">
        <v>634</v>
      </c>
      <c r="H58" s="2" t="s">
        <v>125</v>
      </c>
      <c r="I58" s="2" t="s">
        <v>168</v>
      </c>
      <c r="J58" s="2" t="s">
        <v>169</v>
      </c>
      <c r="K58" s="2" t="s">
        <v>170</v>
      </c>
      <c r="L58" s="2" t="s">
        <v>170</v>
      </c>
      <c r="M58" s="2" t="s">
        <v>128</v>
      </c>
      <c r="N58" s="2" t="s">
        <v>635</v>
      </c>
      <c r="O58" s="2">
        <v>1102002866675</v>
      </c>
      <c r="P58" s="2" t="s">
        <v>636</v>
      </c>
      <c r="Q58" s="2" t="s">
        <v>637</v>
      </c>
      <c r="R58" s="2" t="s">
        <v>638</v>
      </c>
      <c r="S58" s="2">
        <v>14183</v>
      </c>
      <c r="T58" s="2" t="s">
        <v>175</v>
      </c>
      <c r="U58" s="2">
        <v>12188</v>
      </c>
      <c r="V58" s="2" t="s">
        <v>176</v>
      </c>
      <c r="W58" s="3">
        <v>45187</v>
      </c>
      <c r="X58" s="2">
        <v>28.05</v>
      </c>
      <c r="Y58" s="2">
        <v>2.09</v>
      </c>
      <c r="Z58" s="3">
        <v>35805</v>
      </c>
      <c r="AA58" s="2">
        <v>3.18</v>
      </c>
      <c r="AB58" s="2">
        <v>2565</v>
      </c>
      <c r="AC58" s="2" t="s">
        <v>639</v>
      </c>
      <c r="AD58" s="2" t="s">
        <v>271</v>
      </c>
      <c r="AE58" s="2"/>
      <c r="AF58" s="2"/>
    </row>
    <row r="59" spans="1:32" ht="21" x14ac:dyDescent="0.6">
      <c r="A59" s="2">
        <v>58</v>
      </c>
      <c r="B59" s="2" t="s">
        <v>297</v>
      </c>
      <c r="C59" s="2" t="s">
        <v>640</v>
      </c>
      <c r="D59" s="2" t="s">
        <v>121</v>
      </c>
      <c r="E59" s="2" t="s">
        <v>122</v>
      </c>
      <c r="F59" s="2" t="s">
        <v>641</v>
      </c>
      <c r="G59" s="2" t="s">
        <v>642</v>
      </c>
      <c r="H59" s="2" t="s">
        <v>125</v>
      </c>
      <c r="I59" s="2" t="s">
        <v>301</v>
      </c>
      <c r="J59" s="2" t="s">
        <v>302</v>
      </c>
      <c r="K59" s="2" t="s">
        <v>303</v>
      </c>
      <c r="L59" s="2" t="s">
        <v>303</v>
      </c>
      <c r="M59" s="2" t="s">
        <v>128</v>
      </c>
      <c r="N59" s="2" t="s">
        <v>643</v>
      </c>
      <c r="O59" s="2">
        <v>1450200236151</v>
      </c>
      <c r="P59" s="2" t="s">
        <v>644</v>
      </c>
      <c r="Q59" s="2" t="s">
        <v>645</v>
      </c>
      <c r="R59" s="2" t="s">
        <v>646</v>
      </c>
      <c r="S59" s="2">
        <v>13987</v>
      </c>
      <c r="T59" s="2" t="s">
        <v>308</v>
      </c>
      <c r="U59" s="2"/>
      <c r="V59" s="2"/>
      <c r="W59" s="3">
        <v>45201</v>
      </c>
      <c r="X59" s="2">
        <v>31.01</v>
      </c>
      <c r="Y59" s="2">
        <v>2.08</v>
      </c>
      <c r="Z59" s="3">
        <v>34844</v>
      </c>
      <c r="AA59" s="2">
        <v>3.21</v>
      </c>
      <c r="AB59" s="2">
        <v>2561</v>
      </c>
      <c r="AC59" s="2" t="s">
        <v>647</v>
      </c>
      <c r="AD59" s="2" t="s">
        <v>271</v>
      </c>
      <c r="AE59" s="2"/>
      <c r="AF59" s="2"/>
    </row>
    <row r="60" spans="1:32" ht="21" x14ac:dyDescent="0.6">
      <c r="A60" s="2">
        <v>59</v>
      </c>
      <c r="B60" s="2" t="s">
        <v>297</v>
      </c>
      <c r="C60" s="2" t="s">
        <v>648</v>
      </c>
      <c r="D60" s="2" t="s">
        <v>121</v>
      </c>
      <c r="E60" s="2" t="s">
        <v>138</v>
      </c>
      <c r="F60" s="2" t="s">
        <v>649</v>
      </c>
      <c r="G60" s="2" t="s">
        <v>650</v>
      </c>
      <c r="H60" s="2" t="s">
        <v>125</v>
      </c>
      <c r="I60" s="2" t="s">
        <v>301</v>
      </c>
      <c r="J60" s="2" t="s">
        <v>302</v>
      </c>
      <c r="K60" s="2" t="s">
        <v>303</v>
      </c>
      <c r="L60" s="2" t="s">
        <v>303</v>
      </c>
      <c r="M60" s="2" t="s">
        <v>651</v>
      </c>
      <c r="N60" s="2" t="s">
        <v>652</v>
      </c>
      <c r="O60" s="2">
        <v>1969800147713</v>
      </c>
      <c r="P60" s="2" t="s">
        <v>653</v>
      </c>
      <c r="Q60" s="2" t="s">
        <v>146</v>
      </c>
      <c r="R60" s="2" t="s">
        <v>654</v>
      </c>
      <c r="S60" s="2">
        <v>13987</v>
      </c>
      <c r="T60" s="2" t="s">
        <v>308</v>
      </c>
      <c r="U60" s="2"/>
      <c r="V60" s="2"/>
      <c r="W60" s="3">
        <v>45231</v>
      </c>
      <c r="X60" s="2">
        <v>32.020000000000003</v>
      </c>
      <c r="Y60" s="2">
        <v>2.08</v>
      </c>
      <c r="Z60" s="3">
        <v>34446</v>
      </c>
      <c r="AA60" s="2">
        <v>2.41</v>
      </c>
      <c r="AB60" s="2">
        <v>2555</v>
      </c>
      <c r="AC60" s="2" t="s">
        <v>655</v>
      </c>
      <c r="AD60" s="2" t="s">
        <v>151</v>
      </c>
      <c r="AE60" s="2"/>
      <c r="AF60" s="2"/>
    </row>
    <row r="61" spans="1:32" ht="21" x14ac:dyDescent="0.6">
      <c r="A61" s="2">
        <v>60</v>
      </c>
      <c r="B61" s="2" t="s">
        <v>206</v>
      </c>
      <c r="C61" s="2" t="s">
        <v>656</v>
      </c>
      <c r="D61" s="2" t="s">
        <v>121</v>
      </c>
      <c r="E61" s="2" t="s">
        <v>138</v>
      </c>
      <c r="F61" s="2" t="s">
        <v>657</v>
      </c>
      <c r="G61" s="2" t="s">
        <v>658</v>
      </c>
      <c r="H61" s="2" t="s">
        <v>141</v>
      </c>
      <c r="I61" s="2" t="s">
        <v>12</v>
      </c>
      <c r="J61" s="2" t="s">
        <v>54</v>
      </c>
      <c r="K61" s="2" t="s">
        <v>210</v>
      </c>
      <c r="L61" s="2" t="s">
        <v>659</v>
      </c>
      <c r="M61" s="2" t="s">
        <v>143</v>
      </c>
      <c r="N61" s="2" t="s">
        <v>652</v>
      </c>
      <c r="O61" s="2">
        <v>1409200000104</v>
      </c>
      <c r="P61" s="2" t="s">
        <v>660</v>
      </c>
      <c r="Q61" s="2" t="s">
        <v>661</v>
      </c>
      <c r="R61" s="2" t="s">
        <v>662</v>
      </c>
      <c r="S61" s="2">
        <v>13352</v>
      </c>
      <c r="T61" s="2" t="s">
        <v>663</v>
      </c>
      <c r="U61" s="2">
        <v>14156</v>
      </c>
      <c r="V61" s="2" t="s">
        <v>217</v>
      </c>
      <c r="W61" s="3">
        <v>45295</v>
      </c>
      <c r="X61" s="2">
        <v>25.01</v>
      </c>
      <c r="Y61" s="2">
        <v>2.0499999999999998</v>
      </c>
      <c r="Z61" s="3">
        <v>37039</v>
      </c>
      <c r="AA61" s="2">
        <v>3.45</v>
      </c>
      <c r="AB61" s="2">
        <v>2565</v>
      </c>
      <c r="AC61" s="2" t="s">
        <v>664</v>
      </c>
      <c r="AD61" s="2" t="s">
        <v>135</v>
      </c>
      <c r="AE61" s="2"/>
      <c r="AF61" s="2"/>
    </row>
    <row r="62" spans="1:32" ht="21" x14ac:dyDescent="0.6">
      <c r="A62" s="2">
        <v>61</v>
      </c>
      <c r="B62" s="2" t="s">
        <v>206</v>
      </c>
      <c r="C62" s="2" t="s">
        <v>665</v>
      </c>
      <c r="D62" s="2" t="s">
        <v>121</v>
      </c>
      <c r="E62" s="2" t="s">
        <v>138</v>
      </c>
      <c r="F62" s="2" t="s">
        <v>666</v>
      </c>
      <c r="G62" s="2" t="s">
        <v>667</v>
      </c>
      <c r="H62" s="2" t="s">
        <v>141</v>
      </c>
      <c r="I62" s="2" t="s">
        <v>12</v>
      </c>
      <c r="J62" s="2" t="s">
        <v>54</v>
      </c>
      <c r="K62" s="2" t="s">
        <v>210</v>
      </c>
      <c r="L62" s="2" t="s">
        <v>211</v>
      </c>
      <c r="M62" s="2" t="s">
        <v>143</v>
      </c>
      <c r="N62" s="2" t="s">
        <v>668</v>
      </c>
      <c r="O62" s="2">
        <v>1629900488825</v>
      </c>
      <c r="P62" s="2" t="s">
        <v>669</v>
      </c>
      <c r="Q62" s="2" t="s">
        <v>670</v>
      </c>
      <c r="R62" s="2" t="s">
        <v>671</v>
      </c>
      <c r="S62" s="2">
        <v>14055</v>
      </c>
      <c r="T62" s="2" t="s">
        <v>216</v>
      </c>
      <c r="U62" s="2">
        <v>14156</v>
      </c>
      <c r="V62" s="2" t="s">
        <v>217</v>
      </c>
      <c r="W62" s="3">
        <v>45306</v>
      </c>
      <c r="X62" s="2">
        <v>27.06</v>
      </c>
      <c r="Y62" s="2">
        <v>2.0499999999999998</v>
      </c>
      <c r="Z62" s="3">
        <v>36142</v>
      </c>
      <c r="AA62" s="2">
        <v>2.39</v>
      </c>
      <c r="AB62" s="2">
        <v>2560</v>
      </c>
      <c r="AC62" s="2" t="s">
        <v>672</v>
      </c>
      <c r="AD62" s="2" t="s">
        <v>151</v>
      </c>
      <c r="AE62" s="2"/>
      <c r="AF62" s="2"/>
    </row>
    <row r="63" spans="1:32" ht="21" x14ac:dyDescent="0.6">
      <c r="A63" s="2">
        <v>62</v>
      </c>
      <c r="B63" s="2" t="s">
        <v>178</v>
      </c>
      <c r="C63" s="2" t="s">
        <v>673</v>
      </c>
      <c r="D63" s="2" t="s">
        <v>121</v>
      </c>
      <c r="E63" s="2" t="s">
        <v>138</v>
      </c>
      <c r="F63" s="2" t="s">
        <v>674</v>
      </c>
      <c r="G63" s="2" t="s">
        <v>675</v>
      </c>
      <c r="H63" s="2" t="s">
        <v>141</v>
      </c>
      <c r="I63" s="2" t="s">
        <v>12</v>
      </c>
      <c r="J63" s="2" t="s">
        <v>18</v>
      </c>
      <c r="K63" s="2" t="s">
        <v>17</v>
      </c>
      <c r="L63" s="2" t="s">
        <v>17</v>
      </c>
      <c r="M63" s="2" t="s">
        <v>143</v>
      </c>
      <c r="N63" s="2" t="s">
        <v>676</v>
      </c>
      <c r="O63" s="2">
        <v>1329900893722</v>
      </c>
      <c r="P63" s="2" t="s">
        <v>146</v>
      </c>
      <c r="Q63" s="2" t="s">
        <v>146</v>
      </c>
      <c r="R63" s="2" t="s">
        <v>677</v>
      </c>
      <c r="S63" s="2">
        <v>14727</v>
      </c>
      <c r="T63" s="2" t="s">
        <v>184</v>
      </c>
      <c r="U63" s="2">
        <v>10950</v>
      </c>
      <c r="V63" s="2" t="s">
        <v>185</v>
      </c>
      <c r="W63" s="3">
        <v>45320</v>
      </c>
      <c r="X63" s="2">
        <v>27.02</v>
      </c>
      <c r="Y63" s="2">
        <v>2.0499999999999998</v>
      </c>
      <c r="Z63" s="3">
        <v>36274</v>
      </c>
      <c r="AA63" s="2">
        <v>2.74</v>
      </c>
      <c r="AB63" s="2">
        <v>2560</v>
      </c>
      <c r="AC63" s="2" t="s">
        <v>678</v>
      </c>
      <c r="AD63" s="2" t="s">
        <v>258</v>
      </c>
      <c r="AE63" s="2"/>
      <c r="AF63" s="2"/>
    </row>
    <row r="64" spans="1:32" ht="21" x14ac:dyDescent="0.6">
      <c r="A64" s="2">
        <v>63</v>
      </c>
      <c r="B64" s="2" t="s">
        <v>679</v>
      </c>
      <c r="C64" s="2" t="s">
        <v>680</v>
      </c>
      <c r="D64" s="2" t="s">
        <v>121</v>
      </c>
      <c r="E64" s="2" t="s">
        <v>122</v>
      </c>
      <c r="F64" s="2" t="s">
        <v>681</v>
      </c>
      <c r="G64" s="2" t="s">
        <v>682</v>
      </c>
      <c r="H64" s="2" t="s">
        <v>125</v>
      </c>
      <c r="I64" s="2" t="s">
        <v>683</v>
      </c>
      <c r="J64" s="2" t="s">
        <v>684</v>
      </c>
      <c r="K64" s="2" t="s">
        <v>685</v>
      </c>
      <c r="L64" s="2" t="s">
        <v>685</v>
      </c>
      <c r="M64" s="2" t="s">
        <v>128</v>
      </c>
      <c r="N64" s="2" t="s">
        <v>686</v>
      </c>
      <c r="O64" s="2">
        <v>1469900515000</v>
      </c>
      <c r="P64" s="2" t="s">
        <v>687</v>
      </c>
      <c r="Q64" s="2" t="s">
        <v>688</v>
      </c>
      <c r="R64" s="2" t="s">
        <v>689</v>
      </c>
      <c r="S64" s="2">
        <v>12414</v>
      </c>
      <c r="T64" s="2" t="s">
        <v>690</v>
      </c>
      <c r="U64" s="2"/>
      <c r="V64" s="2"/>
      <c r="W64" s="3">
        <v>45341</v>
      </c>
      <c r="X64" s="2">
        <v>25.09</v>
      </c>
      <c r="Y64" s="2">
        <v>2.04</v>
      </c>
      <c r="Z64" s="3">
        <v>36779</v>
      </c>
      <c r="AA64" s="2">
        <v>3.36</v>
      </c>
      <c r="AB64" s="2">
        <v>2564</v>
      </c>
      <c r="AC64" s="2" t="s">
        <v>691</v>
      </c>
      <c r="AD64" s="2" t="s">
        <v>135</v>
      </c>
      <c r="AE64" s="2"/>
      <c r="AF64" s="2"/>
    </row>
    <row r="65" spans="1:32" ht="21" x14ac:dyDescent="0.6">
      <c r="A65" s="2">
        <v>64</v>
      </c>
      <c r="B65" s="2" t="s">
        <v>178</v>
      </c>
      <c r="C65" s="2" t="s">
        <v>692</v>
      </c>
      <c r="D65" s="2" t="s">
        <v>121</v>
      </c>
      <c r="E65" s="2" t="s">
        <v>138</v>
      </c>
      <c r="F65" s="2" t="s">
        <v>693</v>
      </c>
      <c r="G65" s="2" t="s">
        <v>694</v>
      </c>
      <c r="H65" s="2" t="s">
        <v>141</v>
      </c>
      <c r="I65" s="2" t="s">
        <v>12</v>
      </c>
      <c r="J65" s="2" t="s">
        <v>18</v>
      </c>
      <c r="K65" s="2" t="s">
        <v>17</v>
      </c>
      <c r="L65" s="2" t="s">
        <v>17</v>
      </c>
      <c r="M65" s="2" t="s">
        <v>143</v>
      </c>
      <c r="N65" s="2" t="s">
        <v>695</v>
      </c>
      <c r="O65" s="2">
        <v>1139900364306</v>
      </c>
      <c r="P65" s="2" t="s">
        <v>696</v>
      </c>
      <c r="Q65" s="2" t="s">
        <v>146</v>
      </c>
      <c r="R65" s="2" t="s">
        <v>697</v>
      </c>
      <c r="S65" s="2">
        <v>14727</v>
      </c>
      <c r="T65" s="2" t="s">
        <v>184</v>
      </c>
      <c r="U65" s="2">
        <v>10950</v>
      </c>
      <c r="V65" s="2" t="s">
        <v>185</v>
      </c>
      <c r="W65" s="3">
        <v>45391</v>
      </c>
      <c r="X65" s="2">
        <v>24.06</v>
      </c>
      <c r="Y65" s="2">
        <v>2.02</v>
      </c>
      <c r="Z65" s="3">
        <v>37229</v>
      </c>
      <c r="AA65" s="2">
        <v>2.89</v>
      </c>
      <c r="AB65" s="2">
        <v>2563</v>
      </c>
      <c r="AC65" s="2" t="s">
        <v>698</v>
      </c>
      <c r="AD65" s="2" t="s">
        <v>151</v>
      </c>
      <c r="AE65" s="2"/>
      <c r="AF65" s="2"/>
    </row>
    <row r="66" spans="1:32" ht="21" x14ac:dyDescent="0.6">
      <c r="A66" s="2">
        <v>65</v>
      </c>
      <c r="B66" s="2" t="s">
        <v>164</v>
      </c>
      <c r="C66" s="2" t="s">
        <v>699</v>
      </c>
      <c r="D66" s="2" t="s">
        <v>121</v>
      </c>
      <c r="E66" s="2" t="s">
        <v>138</v>
      </c>
      <c r="F66" s="2" t="s">
        <v>700</v>
      </c>
      <c r="G66" s="2" t="s">
        <v>701</v>
      </c>
      <c r="H66" s="2" t="s">
        <v>125</v>
      </c>
      <c r="I66" s="2" t="s">
        <v>168</v>
      </c>
      <c r="J66" s="2" t="s">
        <v>169</v>
      </c>
      <c r="K66" s="2" t="s">
        <v>170</v>
      </c>
      <c r="L66" s="2" t="s">
        <v>170</v>
      </c>
      <c r="M66" s="2" t="s">
        <v>128</v>
      </c>
      <c r="N66" s="2" t="s">
        <v>702</v>
      </c>
      <c r="O66" s="2">
        <v>1539900748917</v>
      </c>
      <c r="P66" s="2" t="s">
        <v>703</v>
      </c>
      <c r="Q66" s="2" t="s">
        <v>704</v>
      </c>
      <c r="R66" s="2" t="s">
        <v>705</v>
      </c>
      <c r="S66" s="2">
        <v>15252</v>
      </c>
      <c r="T66" s="2" t="s">
        <v>706</v>
      </c>
      <c r="U66" s="2">
        <v>12188</v>
      </c>
      <c r="V66" s="2" t="s">
        <v>176</v>
      </c>
      <c r="W66" s="3">
        <v>45439</v>
      </c>
      <c r="X66" s="2">
        <v>25.04</v>
      </c>
      <c r="Y66" s="2">
        <v>2.0099999999999998</v>
      </c>
      <c r="Z66" s="3">
        <v>36943</v>
      </c>
      <c r="AA66" s="2">
        <v>3.69</v>
      </c>
      <c r="AB66" s="2">
        <v>2564</v>
      </c>
      <c r="AC66" s="2" t="s">
        <v>707</v>
      </c>
      <c r="AD66" s="2" t="s">
        <v>135</v>
      </c>
      <c r="AE66" s="2"/>
      <c r="AF66" s="2"/>
    </row>
    <row r="67" spans="1:32" ht="21" x14ac:dyDescent="0.6">
      <c r="A67" s="2">
        <v>66</v>
      </c>
      <c r="B67" s="2" t="s">
        <v>178</v>
      </c>
      <c r="C67" s="2" t="s">
        <v>708</v>
      </c>
      <c r="D67" s="2" t="s">
        <v>121</v>
      </c>
      <c r="E67" s="2" t="s">
        <v>138</v>
      </c>
      <c r="F67" s="2" t="s">
        <v>709</v>
      </c>
      <c r="G67" s="2" t="s">
        <v>710</v>
      </c>
      <c r="H67" s="2" t="s">
        <v>141</v>
      </c>
      <c r="I67" s="2" t="s">
        <v>12</v>
      </c>
      <c r="J67" s="2" t="s">
        <v>18</v>
      </c>
      <c r="K67" s="2" t="s">
        <v>17</v>
      </c>
      <c r="L67" s="2" t="s">
        <v>17</v>
      </c>
      <c r="M67" s="2" t="s">
        <v>143</v>
      </c>
      <c r="N67" s="2" t="s">
        <v>711</v>
      </c>
      <c r="O67" s="2">
        <v>1301101107214</v>
      </c>
      <c r="P67" s="2" t="s">
        <v>712</v>
      </c>
      <c r="Q67" s="2" t="s">
        <v>146</v>
      </c>
      <c r="R67" s="2" t="s">
        <v>713</v>
      </c>
      <c r="S67" s="2">
        <v>14729</v>
      </c>
      <c r="T67" s="2" t="s">
        <v>340</v>
      </c>
      <c r="U67" s="2">
        <v>10950</v>
      </c>
      <c r="V67" s="2" t="s">
        <v>185</v>
      </c>
      <c r="W67" s="3">
        <v>45566</v>
      </c>
      <c r="X67" s="2">
        <v>25</v>
      </c>
      <c r="Y67" s="2">
        <v>1.0900000000000001</v>
      </c>
      <c r="Z67" s="3">
        <v>37050</v>
      </c>
      <c r="AA67" s="2">
        <v>2.34</v>
      </c>
      <c r="AB67" s="2">
        <v>2563</v>
      </c>
      <c r="AC67" s="2" t="s">
        <v>714</v>
      </c>
      <c r="AD67" s="2" t="s">
        <v>151</v>
      </c>
      <c r="AE67" s="2"/>
      <c r="AF67" s="2"/>
    </row>
    <row r="68" spans="1:32" ht="21" x14ac:dyDescent="0.6">
      <c r="A68" s="2">
        <v>67</v>
      </c>
      <c r="B68" s="2" t="s">
        <v>178</v>
      </c>
      <c r="C68" s="2" t="s">
        <v>715</v>
      </c>
      <c r="D68" s="2" t="s">
        <v>121</v>
      </c>
      <c r="E68" s="2" t="s">
        <v>138</v>
      </c>
      <c r="F68" s="2" t="s">
        <v>716</v>
      </c>
      <c r="G68" s="2" t="s">
        <v>717</v>
      </c>
      <c r="H68" s="2" t="s">
        <v>141</v>
      </c>
      <c r="I68" s="2" t="s">
        <v>12</v>
      </c>
      <c r="J68" s="2" t="s">
        <v>18</v>
      </c>
      <c r="K68" s="2" t="s">
        <v>17</v>
      </c>
      <c r="L68" s="2" t="s">
        <v>17</v>
      </c>
      <c r="M68" s="2" t="s">
        <v>143</v>
      </c>
      <c r="N68" s="2" t="s">
        <v>718</v>
      </c>
      <c r="O68" s="2">
        <v>1341501477574</v>
      </c>
      <c r="P68" s="2" t="s">
        <v>719</v>
      </c>
      <c r="Q68" s="2" t="s">
        <v>146</v>
      </c>
      <c r="R68" s="2" t="s">
        <v>720</v>
      </c>
      <c r="S68" s="2">
        <v>14727</v>
      </c>
      <c r="T68" s="2" t="s">
        <v>184</v>
      </c>
      <c r="U68" s="2">
        <v>10950</v>
      </c>
      <c r="V68" s="2" t="s">
        <v>185</v>
      </c>
      <c r="W68" s="3">
        <v>45665</v>
      </c>
      <c r="X68" s="2">
        <v>20.07</v>
      </c>
      <c r="Y68" s="2">
        <v>1.05</v>
      </c>
      <c r="Z68" s="3">
        <v>38661</v>
      </c>
      <c r="AA68" s="2">
        <v>2.25</v>
      </c>
      <c r="AB68" s="2">
        <v>2567</v>
      </c>
      <c r="AC68" s="2" t="s">
        <v>721</v>
      </c>
      <c r="AD68" s="2" t="s">
        <v>151</v>
      </c>
      <c r="AE68" s="2"/>
      <c r="AF68" s="2"/>
    </row>
    <row r="69" spans="1:32" ht="21" x14ac:dyDescent="0.6">
      <c r="A69" s="2">
        <v>68</v>
      </c>
      <c r="B69" s="2" t="s">
        <v>722</v>
      </c>
      <c r="C69" s="2" t="s">
        <v>723</v>
      </c>
      <c r="D69" s="2" t="s">
        <v>121</v>
      </c>
      <c r="E69" s="2" t="s">
        <v>138</v>
      </c>
      <c r="F69" s="2" t="s">
        <v>724</v>
      </c>
      <c r="G69" s="2" t="s">
        <v>725</v>
      </c>
      <c r="H69" s="2" t="s">
        <v>125</v>
      </c>
      <c r="I69" s="2" t="s">
        <v>38</v>
      </c>
      <c r="J69" s="2" t="s">
        <v>726</v>
      </c>
      <c r="K69" s="2" t="s">
        <v>727</v>
      </c>
      <c r="L69" s="2" t="s">
        <v>727</v>
      </c>
      <c r="M69" s="2" t="s">
        <v>128</v>
      </c>
      <c r="N69" s="2" t="s">
        <v>728</v>
      </c>
      <c r="O69" s="2">
        <v>1478600003070</v>
      </c>
      <c r="P69" s="2" t="s">
        <v>729</v>
      </c>
      <c r="Q69" s="2" t="s">
        <v>146</v>
      </c>
      <c r="R69" s="2" t="s">
        <v>730</v>
      </c>
      <c r="S69" s="2">
        <v>14641</v>
      </c>
      <c r="T69" s="2" t="s">
        <v>731</v>
      </c>
      <c r="U69" s="2"/>
      <c r="V69" s="2"/>
      <c r="W69" s="3">
        <v>45691</v>
      </c>
      <c r="X69" s="2">
        <v>25</v>
      </c>
      <c r="Y69" s="2">
        <v>1.04</v>
      </c>
      <c r="Z69" s="3">
        <v>37071</v>
      </c>
      <c r="AA69" s="2">
        <v>3.36</v>
      </c>
      <c r="AB69" s="2">
        <v>2564</v>
      </c>
      <c r="AC69" s="2" t="s">
        <v>732</v>
      </c>
      <c r="AD69" s="2" t="s">
        <v>135</v>
      </c>
      <c r="AE69" s="2"/>
      <c r="AF69" s="2"/>
    </row>
    <row r="70" spans="1:32" ht="21" x14ac:dyDescent="0.6">
      <c r="A70" s="2">
        <v>69</v>
      </c>
      <c r="B70" s="2" t="s">
        <v>206</v>
      </c>
      <c r="C70" s="2" t="s">
        <v>733</v>
      </c>
      <c r="D70" s="2" t="s">
        <v>121</v>
      </c>
      <c r="E70" s="2" t="s">
        <v>122</v>
      </c>
      <c r="F70" s="2" t="s">
        <v>734</v>
      </c>
      <c r="G70" s="2" t="s">
        <v>735</v>
      </c>
      <c r="H70" s="2" t="s">
        <v>141</v>
      </c>
      <c r="I70" s="2" t="s">
        <v>12</v>
      </c>
      <c r="J70" s="2" t="s">
        <v>54</v>
      </c>
      <c r="K70" s="2" t="s">
        <v>210</v>
      </c>
      <c r="L70" s="2" t="s">
        <v>659</v>
      </c>
      <c r="M70" s="2" t="s">
        <v>143</v>
      </c>
      <c r="N70" s="2" t="s">
        <v>736</v>
      </c>
      <c r="O70" s="2">
        <v>1620400279374</v>
      </c>
      <c r="P70" s="2" t="s">
        <v>737</v>
      </c>
      <c r="Q70" s="2" t="s">
        <v>738</v>
      </c>
      <c r="R70" s="2" t="s">
        <v>739</v>
      </c>
      <c r="S70" s="2">
        <v>14055</v>
      </c>
      <c r="T70" s="2" t="s">
        <v>216</v>
      </c>
      <c r="U70" s="2">
        <v>14156</v>
      </c>
      <c r="V70" s="2" t="s">
        <v>217</v>
      </c>
      <c r="W70" s="3">
        <v>45705</v>
      </c>
      <c r="X70" s="2">
        <v>26.06</v>
      </c>
      <c r="Y70" s="2">
        <v>1.04</v>
      </c>
      <c r="Z70" s="3">
        <v>36501</v>
      </c>
      <c r="AA70" s="2">
        <v>3.25</v>
      </c>
      <c r="AB70" s="2">
        <v>2561</v>
      </c>
      <c r="AC70" s="2" t="s">
        <v>740</v>
      </c>
      <c r="AD70" s="2" t="s">
        <v>151</v>
      </c>
      <c r="AE70" s="2"/>
      <c r="AF70" s="2"/>
    </row>
    <row r="71" spans="1:32" ht="21" x14ac:dyDescent="0.6">
      <c r="A71" s="2">
        <v>70</v>
      </c>
      <c r="B71" s="2" t="s">
        <v>741</v>
      </c>
      <c r="C71" s="2" t="s">
        <v>742</v>
      </c>
      <c r="D71" s="2" t="s">
        <v>121</v>
      </c>
      <c r="E71" s="2" t="s">
        <v>122</v>
      </c>
      <c r="F71" s="2" t="s">
        <v>743</v>
      </c>
      <c r="G71" s="2" t="s">
        <v>744</v>
      </c>
      <c r="H71" s="2" t="s">
        <v>125</v>
      </c>
      <c r="I71" s="2" t="s">
        <v>12</v>
      </c>
      <c r="J71" s="2" t="s">
        <v>11</v>
      </c>
      <c r="K71" s="2" t="s">
        <v>10</v>
      </c>
      <c r="L71" s="2" t="s">
        <v>10</v>
      </c>
      <c r="M71" s="2" t="s">
        <v>143</v>
      </c>
      <c r="N71" s="2" t="s">
        <v>745</v>
      </c>
      <c r="O71" s="2">
        <v>1139600078103</v>
      </c>
      <c r="P71" s="2" t="s">
        <v>746</v>
      </c>
      <c r="Q71" s="2" t="s">
        <v>747</v>
      </c>
      <c r="R71" s="2" t="s">
        <v>748</v>
      </c>
      <c r="S71" s="2">
        <v>15646</v>
      </c>
      <c r="T71" s="2" t="s">
        <v>1829</v>
      </c>
      <c r="U71" s="2"/>
      <c r="V71" s="2"/>
      <c r="W71" s="3">
        <v>45705</v>
      </c>
      <c r="X71" s="2">
        <v>26.07</v>
      </c>
      <c r="Y71" s="2">
        <v>1.04</v>
      </c>
      <c r="Z71" s="3">
        <v>36476</v>
      </c>
      <c r="AA71" s="2">
        <v>3.25</v>
      </c>
      <c r="AB71" s="2">
        <v>2565</v>
      </c>
      <c r="AC71" s="2" t="s">
        <v>749</v>
      </c>
      <c r="AD71" s="2" t="s">
        <v>271</v>
      </c>
      <c r="AE71" s="2"/>
      <c r="AF71" s="2"/>
    </row>
    <row r="72" spans="1:32" ht="21" x14ac:dyDescent="0.6">
      <c r="A72" s="2">
        <v>71</v>
      </c>
      <c r="B72" s="2" t="s">
        <v>178</v>
      </c>
      <c r="C72" s="2" t="s">
        <v>750</v>
      </c>
      <c r="D72" s="2" t="s">
        <v>121</v>
      </c>
      <c r="E72" s="2" t="s">
        <v>138</v>
      </c>
      <c r="F72" s="2" t="s">
        <v>751</v>
      </c>
      <c r="G72" s="2" t="s">
        <v>752</v>
      </c>
      <c r="H72" s="2" t="s">
        <v>141</v>
      </c>
      <c r="I72" s="2" t="s">
        <v>12</v>
      </c>
      <c r="J72" s="2" t="s">
        <v>18</v>
      </c>
      <c r="K72" s="2" t="s">
        <v>17</v>
      </c>
      <c r="L72" s="2" t="s">
        <v>17</v>
      </c>
      <c r="M72" s="2" t="s">
        <v>143</v>
      </c>
      <c r="N72" s="2" t="s">
        <v>753</v>
      </c>
      <c r="O72" s="2">
        <v>1349300011168</v>
      </c>
      <c r="P72" s="2" t="s">
        <v>754</v>
      </c>
      <c r="Q72" s="2" t="s">
        <v>146</v>
      </c>
      <c r="R72" s="2" t="s">
        <v>755</v>
      </c>
      <c r="S72" s="2">
        <v>14729</v>
      </c>
      <c r="T72" s="2" t="s">
        <v>340</v>
      </c>
      <c r="U72" s="2">
        <v>10950</v>
      </c>
      <c r="V72" s="2" t="s">
        <v>185</v>
      </c>
      <c r="W72" s="3">
        <v>45717</v>
      </c>
      <c r="X72" s="2">
        <v>23.02</v>
      </c>
      <c r="Y72" s="2">
        <v>1.04</v>
      </c>
      <c r="Z72" s="3">
        <v>37735</v>
      </c>
      <c r="AA72" s="2">
        <v>2.92</v>
      </c>
      <c r="AB72" s="2">
        <v>2564</v>
      </c>
      <c r="AC72" s="2" t="s">
        <v>756</v>
      </c>
      <c r="AD72" s="2" t="s">
        <v>151</v>
      </c>
      <c r="AE72" s="2"/>
      <c r="AF72" s="2"/>
    </row>
    <row r="73" spans="1:32" ht="21" x14ac:dyDescent="0.6">
      <c r="A73" s="2">
        <v>72</v>
      </c>
      <c r="B73" s="2" t="s">
        <v>219</v>
      </c>
      <c r="C73" s="2" t="s">
        <v>757</v>
      </c>
      <c r="D73" s="2" t="s">
        <v>121</v>
      </c>
      <c r="E73" s="2" t="s">
        <v>122</v>
      </c>
      <c r="F73" s="2" t="s">
        <v>758</v>
      </c>
      <c r="G73" s="2" t="s">
        <v>759</v>
      </c>
      <c r="H73" s="2" t="s">
        <v>125</v>
      </c>
      <c r="I73" s="2" t="s">
        <v>38</v>
      </c>
      <c r="J73" s="2" t="s">
        <v>37</v>
      </c>
      <c r="K73" s="2" t="s">
        <v>36</v>
      </c>
      <c r="L73" s="2" t="s">
        <v>223</v>
      </c>
      <c r="M73" s="2" t="s">
        <v>128</v>
      </c>
      <c r="N73" s="2" t="s">
        <v>202</v>
      </c>
      <c r="O73" s="2">
        <v>1412201049801</v>
      </c>
      <c r="P73" s="2" t="s">
        <v>760</v>
      </c>
      <c r="Q73" s="2" t="s">
        <v>761</v>
      </c>
      <c r="R73" s="2" t="s">
        <v>762</v>
      </c>
      <c r="S73" s="2">
        <v>11075</v>
      </c>
      <c r="T73" s="2" t="s">
        <v>228</v>
      </c>
      <c r="U73" s="2">
        <v>14082</v>
      </c>
      <c r="V73" s="2" t="s">
        <v>229</v>
      </c>
      <c r="W73" s="3">
        <v>45733</v>
      </c>
      <c r="X73" s="2">
        <v>25.07</v>
      </c>
      <c r="Y73" s="2">
        <v>1.03</v>
      </c>
      <c r="Z73" s="3">
        <v>36834</v>
      </c>
      <c r="AA73" s="2">
        <v>2.87</v>
      </c>
      <c r="AB73" s="2">
        <v>2564</v>
      </c>
      <c r="AC73" s="2" t="s">
        <v>763</v>
      </c>
      <c r="AD73" s="2" t="s">
        <v>135</v>
      </c>
      <c r="AE73" s="2"/>
      <c r="AF73" s="2"/>
    </row>
    <row r="74" spans="1:32" ht="21" x14ac:dyDescent="0.6">
      <c r="A74" s="2">
        <v>73</v>
      </c>
      <c r="B74" s="4" t="s">
        <v>561</v>
      </c>
      <c r="C74" s="4" t="s">
        <v>764</v>
      </c>
      <c r="D74" s="4" t="s">
        <v>121</v>
      </c>
      <c r="E74" s="4" t="s">
        <v>122</v>
      </c>
      <c r="F74" s="4" t="s">
        <v>765</v>
      </c>
      <c r="G74" s="4" t="s">
        <v>766</v>
      </c>
      <c r="H74" s="4" t="s">
        <v>767</v>
      </c>
      <c r="I74" s="4" t="s">
        <v>443</v>
      </c>
      <c r="J74" s="4" t="s">
        <v>48</v>
      </c>
      <c r="K74" s="4" t="s">
        <v>565</v>
      </c>
      <c r="L74" s="4" t="s">
        <v>565</v>
      </c>
      <c r="M74" s="4" t="s">
        <v>128</v>
      </c>
      <c r="N74" s="4" t="s">
        <v>769</v>
      </c>
      <c r="O74" s="4">
        <v>1139900341101</v>
      </c>
      <c r="P74" s="4" t="s">
        <v>770</v>
      </c>
      <c r="Q74" s="4" t="s">
        <v>771</v>
      </c>
      <c r="R74" s="4" t="s">
        <v>772</v>
      </c>
      <c r="S74" s="4">
        <v>11899</v>
      </c>
      <c r="T74" s="4" t="s">
        <v>570</v>
      </c>
      <c r="U74" s="4"/>
      <c r="V74" s="4"/>
      <c r="W74" s="5">
        <v>45663</v>
      </c>
      <c r="X74" s="4">
        <v>25.05</v>
      </c>
      <c r="Y74" s="4">
        <v>1.05</v>
      </c>
      <c r="Z74" s="5">
        <v>38371</v>
      </c>
      <c r="AA74" s="4">
        <v>2.97</v>
      </c>
      <c r="AB74" s="4">
        <v>2566</v>
      </c>
      <c r="AC74" s="4" t="s">
        <v>773</v>
      </c>
      <c r="AD74" s="4" t="s">
        <v>271</v>
      </c>
      <c r="AE74" s="2"/>
      <c r="AF74" s="2"/>
    </row>
    <row r="75" spans="1:32" ht="21" x14ac:dyDescent="0.6">
      <c r="A75" s="2">
        <v>74</v>
      </c>
      <c r="B75" s="2" t="s">
        <v>136</v>
      </c>
      <c r="C75" s="2" t="s">
        <v>774</v>
      </c>
      <c r="D75" s="2" t="s">
        <v>121</v>
      </c>
      <c r="E75" s="2" t="s">
        <v>138</v>
      </c>
      <c r="F75" s="2" t="s">
        <v>775</v>
      </c>
      <c r="G75" s="2" t="s">
        <v>776</v>
      </c>
      <c r="H75" s="2" t="s">
        <v>141</v>
      </c>
      <c r="I75" s="2" t="s">
        <v>12</v>
      </c>
      <c r="J75" s="2" t="s">
        <v>54</v>
      </c>
      <c r="K75" s="2" t="s">
        <v>53</v>
      </c>
      <c r="L75" s="2" t="s">
        <v>142</v>
      </c>
      <c r="M75" s="2" t="s">
        <v>143</v>
      </c>
      <c r="N75" s="2" t="s">
        <v>777</v>
      </c>
      <c r="O75" s="2">
        <v>1409800434482</v>
      </c>
      <c r="P75" s="2" t="s">
        <v>778</v>
      </c>
      <c r="Q75" s="2" t="s">
        <v>146</v>
      </c>
      <c r="R75" s="2" t="s">
        <v>779</v>
      </c>
      <c r="S75" s="2">
        <v>11807</v>
      </c>
      <c r="T75" s="2" t="s">
        <v>148</v>
      </c>
      <c r="U75" s="2">
        <v>16558</v>
      </c>
      <c r="V75" s="2" t="s">
        <v>149</v>
      </c>
      <c r="W75" s="3">
        <v>45824</v>
      </c>
      <c r="X75" s="2">
        <v>24.07</v>
      </c>
      <c r="Y75" s="2">
        <v>1</v>
      </c>
      <c r="Z75" s="3">
        <v>37200</v>
      </c>
      <c r="AA75" s="2">
        <v>3</v>
      </c>
      <c r="AB75" s="2">
        <v>2563</v>
      </c>
      <c r="AC75" s="2" t="s">
        <v>780</v>
      </c>
      <c r="AD75" s="2" t="s">
        <v>258</v>
      </c>
      <c r="AE75" s="2"/>
      <c r="AF75" s="2"/>
    </row>
    <row r="76" spans="1:32" ht="21" x14ac:dyDescent="0.6">
      <c r="A76" s="2">
        <v>75</v>
      </c>
      <c r="B76" s="2" t="s">
        <v>259</v>
      </c>
      <c r="C76" s="2" t="s">
        <v>781</v>
      </c>
      <c r="D76" s="2" t="s">
        <v>121</v>
      </c>
      <c r="E76" s="2" t="s">
        <v>138</v>
      </c>
      <c r="F76" s="2" t="s">
        <v>782</v>
      </c>
      <c r="G76" s="2" t="s">
        <v>783</v>
      </c>
      <c r="H76" s="2" t="s">
        <v>263</v>
      </c>
      <c r="I76" s="2" t="s">
        <v>23</v>
      </c>
      <c r="J76" s="2" t="s">
        <v>22</v>
      </c>
      <c r="K76" s="2" t="s">
        <v>264</v>
      </c>
      <c r="L76" s="2" t="s">
        <v>264</v>
      </c>
      <c r="M76" s="2" t="s">
        <v>128</v>
      </c>
      <c r="N76" s="2" t="s">
        <v>784</v>
      </c>
      <c r="O76" s="2">
        <v>1479900526745</v>
      </c>
      <c r="P76" s="2" t="s">
        <v>785</v>
      </c>
      <c r="Q76" s="2" t="s">
        <v>786</v>
      </c>
      <c r="R76" s="2" t="s">
        <v>787</v>
      </c>
      <c r="S76" s="2">
        <v>16110</v>
      </c>
      <c r="T76" s="2" t="s">
        <v>269</v>
      </c>
      <c r="U76" s="2"/>
      <c r="V76" s="2"/>
      <c r="W76" s="3">
        <v>45824</v>
      </c>
      <c r="X76" s="2">
        <v>24.01</v>
      </c>
      <c r="Y76" s="2">
        <v>1</v>
      </c>
      <c r="Z76" s="3">
        <v>37403</v>
      </c>
      <c r="AA76" s="2">
        <v>3.08</v>
      </c>
      <c r="AB76" s="2">
        <v>2568</v>
      </c>
      <c r="AC76" s="2" t="s">
        <v>788</v>
      </c>
      <c r="AD76" s="2" t="s">
        <v>271</v>
      </c>
      <c r="AE76" s="2"/>
      <c r="AF76" s="2"/>
    </row>
    <row r="77" spans="1:32" ht="21" x14ac:dyDescent="0.6">
      <c r="A77" s="2">
        <v>76</v>
      </c>
      <c r="B77" s="2" t="s">
        <v>178</v>
      </c>
      <c r="C77" s="2" t="s">
        <v>789</v>
      </c>
      <c r="D77" s="2" t="s">
        <v>121</v>
      </c>
      <c r="E77" s="2" t="s">
        <v>138</v>
      </c>
      <c r="F77" s="2" t="s">
        <v>790</v>
      </c>
      <c r="G77" s="2" t="s">
        <v>791</v>
      </c>
      <c r="H77" s="2" t="s">
        <v>141</v>
      </c>
      <c r="I77" s="2" t="s">
        <v>12</v>
      </c>
      <c r="J77" s="2" t="s">
        <v>18</v>
      </c>
      <c r="K77" s="2" t="s">
        <v>17</v>
      </c>
      <c r="L77" s="2" t="s">
        <v>17</v>
      </c>
      <c r="M77" s="2" t="s">
        <v>143</v>
      </c>
      <c r="N77" s="2" t="s">
        <v>792</v>
      </c>
      <c r="O77" s="2">
        <v>1478500001938</v>
      </c>
      <c r="P77" s="2" t="s">
        <v>793</v>
      </c>
      <c r="Q77" s="2" t="s">
        <v>146</v>
      </c>
      <c r="R77" s="2" t="s">
        <v>794</v>
      </c>
      <c r="S77" s="2">
        <v>14727</v>
      </c>
      <c r="T77" s="2" t="s">
        <v>184</v>
      </c>
      <c r="U77" s="2">
        <v>10950</v>
      </c>
      <c r="V77" s="2" t="s">
        <v>185</v>
      </c>
      <c r="W77" s="3">
        <v>45824</v>
      </c>
      <c r="X77" s="2">
        <v>24.04</v>
      </c>
      <c r="Y77" s="2">
        <v>1</v>
      </c>
      <c r="Z77" s="3">
        <v>37303</v>
      </c>
      <c r="AA77" s="2">
        <v>2.58</v>
      </c>
      <c r="AB77" s="2">
        <v>2563</v>
      </c>
      <c r="AC77" s="2" t="s">
        <v>795</v>
      </c>
      <c r="AD77" s="2" t="s">
        <v>151</v>
      </c>
      <c r="AE77" s="2"/>
      <c r="AF77" s="2"/>
    </row>
    <row r="78" spans="1:32" ht="21" x14ac:dyDescent="0.6">
      <c r="A78" s="2">
        <v>77</v>
      </c>
      <c r="B78" s="2" t="s">
        <v>164</v>
      </c>
      <c r="C78" s="2" t="s">
        <v>796</v>
      </c>
      <c r="D78" s="2" t="s">
        <v>121</v>
      </c>
      <c r="E78" s="2" t="s">
        <v>122</v>
      </c>
      <c r="F78" s="2" t="s">
        <v>797</v>
      </c>
      <c r="G78" s="2" t="s">
        <v>798</v>
      </c>
      <c r="H78" s="2" t="s">
        <v>125</v>
      </c>
      <c r="I78" s="2" t="s">
        <v>168</v>
      </c>
      <c r="J78" s="2" t="s">
        <v>169</v>
      </c>
      <c r="K78" s="2" t="s">
        <v>170</v>
      </c>
      <c r="L78" s="2" t="s">
        <v>170</v>
      </c>
      <c r="M78" s="2" t="s">
        <v>128</v>
      </c>
      <c r="N78" s="2" t="s">
        <v>799</v>
      </c>
      <c r="O78" s="2">
        <v>1450701369153</v>
      </c>
      <c r="P78" s="2" t="s">
        <v>800</v>
      </c>
      <c r="Q78" s="2" t="s">
        <v>801</v>
      </c>
      <c r="R78" s="2" t="s">
        <v>802</v>
      </c>
      <c r="S78" s="2">
        <v>14183</v>
      </c>
      <c r="T78" s="2" t="s">
        <v>175</v>
      </c>
      <c r="U78" s="2">
        <v>12188</v>
      </c>
      <c r="V78" s="2" t="s">
        <v>176</v>
      </c>
      <c r="W78" s="3">
        <v>45839</v>
      </c>
      <c r="X78" s="2">
        <v>23.11</v>
      </c>
      <c r="Y78" s="2">
        <v>1</v>
      </c>
      <c r="Z78" s="3">
        <v>37453</v>
      </c>
      <c r="AA78" s="2">
        <v>3.9</v>
      </c>
      <c r="AB78" s="2">
        <v>2566</v>
      </c>
      <c r="AC78" s="2" t="s">
        <v>803</v>
      </c>
      <c r="AD78" s="2" t="s">
        <v>135</v>
      </c>
      <c r="AE78" s="2"/>
      <c r="AF78" s="2"/>
    </row>
    <row r="79" spans="1:32" ht="21" x14ac:dyDescent="0.6">
      <c r="A79" s="2">
        <v>78</v>
      </c>
      <c r="B79" s="2" t="s">
        <v>804</v>
      </c>
      <c r="C79" s="2" t="s">
        <v>805</v>
      </c>
      <c r="D79" s="2" t="s">
        <v>121</v>
      </c>
      <c r="E79" s="2" t="s">
        <v>122</v>
      </c>
      <c r="F79" s="2" t="s">
        <v>806</v>
      </c>
      <c r="G79" s="2" t="s">
        <v>807</v>
      </c>
      <c r="H79" s="2" t="s">
        <v>125</v>
      </c>
      <c r="I79" s="2" t="s">
        <v>12</v>
      </c>
      <c r="J79" s="2" t="s">
        <v>54</v>
      </c>
      <c r="K79" s="2" t="s">
        <v>808</v>
      </c>
      <c r="L79" s="2" t="s">
        <v>809</v>
      </c>
      <c r="M79" s="2" t="s">
        <v>143</v>
      </c>
      <c r="N79" s="2" t="s">
        <v>810</v>
      </c>
      <c r="O79" s="2">
        <v>1102003307823</v>
      </c>
      <c r="P79" s="2" t="s">
        <v>811</v>
      </c>
      <c r="Q79" s="2" t="s">
        <v>812</v>
      </c>
      <c r="R79" s="2" t="s">
        <v>813</v>
      </c>
      <c r="S79" s="2">
        <v>15102</v>
      </c>
      <c r="T79" s="2" t="s">
        <v>814</v>
      </c>
      <c r="U79" s="2">
        <v>15599</v>
      </c>
      <c r="V79" s="2" t="s">
        <v>815</v>
      </c>
      <c r="W79" s="3">
        <v>45885</v>
      </c>
      <c r="X79" s="2">
        <v>24.1</v>
      </c>
      <c r="Y79" s="2">
        <v>0.1</v>
      </c>
      <c r="Z79" s="3">
        <v>37127</v>
      </c>
      <c r="AA79" s="2">
        <v>3.83</v>
      </c>
      <c r="AB79" s="2">
        <v>2566</v>
      </c>
      <c r="AC79" s="2" t="s">
        <v>333</v>
      </c>
      <c r="AD79" s="2" t="s">
        <v>135</v>
      </c>
      <c r="AE79" s="2"/>
      <c r="AF79" s="2"/>
    </row>
    <row r="80" spans="1:32" ht="21" x14ac:dyDescent="0.6">
      <c r="A80" s="2">
        <v>79</v>
      </c>
      <c r="B80" s="2" t="s">
        <v>219</v>
      </c>
      <c r="C80" s="2" t="s">
        <v>816</v>
      </c>
      <c r="D80" s="2" t="s">
        <v>121</v>
      </c>
      <c r="E80" s="2" t="s">
        <v>122</v>
      </c>
      <c r="F80" s="2" t="s">
        <v>817</v>
      </c>
      <c r="G80" s="2" t="s">
        <v>818</v>
      </c>
      <c r="H80" s="2" t="s">
        <v>125</v>
      </c>
      <c r="I80" s="2" t="s">
        <v>38</v>
      </c>
      <c r="J80" s="2" t="s">
        <v>37</v>
      </c>
      <c r="K80" s="2" t="s">
        <v>36</v>
      </c>
      <c r="L80" s="2" t="s">
        <v>223</v>
      </c>
      <c r="M80" s="2" t="s">
        <v>128</v>
      </c>
      <c r="N80" s="2" t="s">
        <v>819</v>
      </c>
      <c r="O80" s="2">
        <v>1549900686873</v>
      </c>
      <c r="P80" s="2" t="s">
        <v>820</v>
      </c>
      <c r="Q80" s="2" t="s">
        <v>821</v>
      </c>
      <c r="R80" s="2" t="s">
        <v>822</v>
      </c>
      <c r="S80" s="2">
        <v>11075</v>
      </c>
      <c r="T80" s="2" t="s">
        <v>228</v>
      </c>
      <c r="U80" s="2">
        <v>14082</v>
      </c>
      <c r="V80" s="2" t="s">
        <v>229</v>
      </c>
      <c r="W80" s="3">
        <v>45901</v>
      </c>
      <c r="X80" s="2">
        <v>21.07</v>
      </c>
      <c r="Y80" s="2">
        <v>0.1</v>
      </c>
      <c r="Z80" s="3">
        <v>38313</v>
      </c>
      <c r="AA80" s="2">
        <v>3.84</v>
      </c>
      <c r="AB80" s="2">
        <v>2567</v>
      </c>
      <c r="AC80" s="2" t="s">
        <v>205</v>
      </c>
      <c r="AD80" s="2" t="s">
        <v>135</v>
      </c>
      <c r="AE80" s="2"/>
      <c r="AF80" s="2"/>
    </row>
    <row r="81" spans="1:36" ht="21" x14ac:dyDescent="0.6">
      <c r="A81" s="2">
        <v>80</v>
      </c>
      <c r="B81" s="2" t="s">
        <v>823</v>
      </c>
      <c r="C81" s="2" t="s">
        <v>824</v>
      </c>
      <c r="D81" s="2" t="s">
        <v>121</v>
      </c>
      <c r="E81" s="2" t="s">
        <v>122</v>
      </c>
      <c r="F81" s="2" t="s">
        <v>825</v>
      </c>
      <c r="G81" s="2" t="s">
        <v>826</v>
      </c>
      <c r="H81" s="2" t="s">
        <v>125</v>
      </c>
      <c r="I81" s="2" t="s">
        <v>12</v>
      </c>
      <c r="J81" s="2" t="s">
        <v>11</v>
      </c>
      <c r="K81" s="2" t="s">
        <v>827</v>
      </c>
      <c r="L81" s="2" t="s">
        <v>828</v>
      </c>
      <c r="M81" s="2" t="s">
        <v>143</v>
      </c>
      <c r="N81" s="2" t="s">
        <v>829</v>
      </c>
      <c r="O81" s="2">
        <v>1549900364124</v>
      </c>
      <c r="P81" s="2" t="s">
        <v>830</v>
      </c>
      <c r="Q81" s="2" t="s">
        <v>831</v>
      </c>
      <c r="R81" s="2" t="s">
        <v>832</v>
      </c>
      <c r="S81" s="2">
        <v>14189</v>
      </c>
      <c r="T81" s="2" t="s">
        <v>833</v>
      </c>
      <c r="U81" s="2"/>
      <c r="V81" s="2"/>
      <c r="W81" s="3">
        <v>42954</v>
      </c>
      <c r="X81" s="2">
        <v>32.03</v>
      </c>
      <c r="Y81" s="2">
        <v>8.1</v>
      </c>
      <c r="Z81" s="3">
        <v>34423</v>
      </c>
      <c r="AA81" s="2">
        <v>3.85</v>
      </c>
      <c r="AB81" s="2">
        <v>2559</v>
      </c>
      <c r="AC81" s="2" t="s">
        <v>834</v>
      </c>
      <c r="AD81" s="2" t="s">
        <v>135</v>
      </c>
      <c r="AE81" s="2"/>
      <c r="AF81" s="2"/>
    </row>
    <row r="82" spans="1:36" ht="21" x14ac:dyDescent="0.6">
      <c r="A82" s="2">
        <v>81</v>
      </c>
      <c r="B82" s="2" t="s">
        <v>178</v>
      </c>
      <c r="C82" s="2" t="s">
        <v>835</v>
      </c>
      <c r="D82" s="2" t="s">
        <v>121</v>
      </c>
      <c r="E82" s="2" t="s">
        <v>138</v>
      </c>
      <c r="F82" s="2" t="s">
        <v>836</v>
      </c>
      <c r="G82" s="2" t="s">
        <v>837</v>
      </c>
      <c r="H82" s="2" t="s">
        <v>141</v>
      </c>
      <c r="I82" s="2" t="s">
        <v>12</v>
      </c>
      <c r="J82" s="2" t="s">
        <v>18</v>
      </c>
      <c r="K82" s="2" t="s">
        <v>17</v>
      </c>
      <c r="L82" s="2" t="s">
        <v>17</v>
      </c>
      <c r="M82" s="2" t="s">
        <v>143</v>
      </c>
      <c r="N82" s="2" t="s">
        <v>838</v>
      </c>
      <c r="O82" s="2">
        <v>1480701267652</v>
      </c>
      <c r="P82" s="2" t="s">
        <v>839</v>
      </c>
      <c r="Q82" s="2" t="s">
        <v>146</v>
      </c>
      <c r="R82" s="2" t="s">
        <v>840</v>
      </c>
      <c r="S82" s="2">
        <v>14729</v>
      </c>
      <c r="T82" s="2" t="s">
        <v>340</v>
      </c>
      <c r="U82" s="2">
        <v>10950</v>
      </c>
      <c r="V82" s="2" t="s">
        <v>185</v>
      </c>
      <c r="W82" s="3">
        <v>46069</v>
      </c>
      <c r="X82" s="2">
        <v>23.03</v>
      </c>
      <c r="Y82" s="2">
        <v>0.04</v>
      </c>
      <c r="Z82" s="3">
        <v>37690</v>
      </c>
      <c r="AA82" s="2">
        <v>3.59</v>
      </c>
      <c r="AB82" s="2">
        <v>2566</v>
      </c>
      <c r="AC82" s="2" t="s">
        <v>841</v>
      </c>
      <c r="AD82" s="2" t="s">
        <v>135</v>
      </c>
      <c r="AE82" s="2"/>
      <c r="AF82" s="2"/>
    </row>
    <row r="83" spans="1:36" ht="21" x14ac:dyDescent="0.6">
      <c r="A83" s="2">
        <v>82</v>
      </c>
      <c r="B83" s="2" t="s">
        <v>178</v>
      </c>
      <c r="C83" s="2" t="s">
        <v>842</v>
      </c>
      <c r="D83" s="2" t="s">
        <v>121</v>
      </c>
      <c r="E83" s="2" t="s">
        <v>138</v>
      </c>
      <c r="F83" s="2" t="s">
        <v>843</v>
      </c>
      <c r="G83" s="2" t="s">
        <v>844</v>
      </c>
      <c r="H83" s="2" t="s">
        <v>141</v>
      </c>
      <c r="I83" s="2" t="s">
        <v>12</v>
      </c>
      <c r="J83" s="2" t="s">
        <v>18</v>
      </c>
      <c r="K83" s="2" t="s">
        <v>17</v>
      </c>
      <c r="L83" s="2" t="s">
        <v>17</v>
      </c>
      <c r="M83" s="2" t="s">
        <v>143</v>
      </c>
      <c r="N83" s="2" t="s">
        <v>845</v>
      </c>
      <c r="O83" s="2">
        <v>1409903193178</v>
      </c>
      <c r="P83" s="2" t="s">
        <v>846</v>
      </c>
      <c r="Q83" s="2" t="s">
        <v>146</v>
      </c>
      <c r="R83" s="2" t="s">
        <v>847</v>
      </c>
      <c r="S83" s="2">
        <v>14727</v>
      </c>
      <c r="T83" s="2" t="s">
        <v>184</v>
      </c>
      <c r="U83" s="2">
        <v>10950</v>
      </c>
      <c r="V83" s="2" t="s">
        <v>185</v>
      </c>
      <c r="W83" s="3">
        <v>46069</v>
      </c>
      <c r="X83" s="2">
        <v>23.03</v>
      </c>
      <c r="Y83" s="2">
        <v>0.04</v>
      </c>
      <c r="Z83" s="3">
        <v>37682</v>
      </c>
      <c r="AA83" s="2">
        <v>2.5</v>
      </c>
      <c r="AB83" s="2">
        <v>2566</v>
      </c>
      <c r="AC83" s="2" t="s">
        <v>848</v>
      </c>
      <c r="AD83" s="2" t="s">
        <v>151</v>
      </c>
      <c r="AE83" s="2"/>
      <c r="AF83" s="2"/>
    </row>
    <row r="84" spans="1:36" ht="21" x14ac:dyDescent="0.6">
      <c r="A84" s="2">
        <v>83</v>
      </c>
      <c r="B84" s="2" t="s">
        <v>136</v>
      </c>
      <c r="C84" s="2" t="s">
        <v>851</v>
      </c>
      <c r="D84" s="2" t="s">
        <v>121</v>
      </c>
      <c r="E84" s="2" t="s">
        <v>138</v>
      </c>
      <c r="F84" s="2" t="s">
        <v>852</v>
      </c>
      <c r="G84" s="2" t="s">
        <v>853</v>
      </c>
      <c r="H84" s="2" t="s">
        <v>141</v>
      </c>
      <c r="I84" s="2" t="s">
        <v>12</v>
      </c>
      <c r="J84" s="2" t="s">
        <v>54</v>
      </c>
      <c r="K84" s="2" t="s">
        <v>53</v>
      </c>
      <c r="L84" s="2" t="s">
        <v>142</v>
      </c>
      <c r="M84" s="2" t="s">
        <v>143</v>
      </c>
      <c r="N84" s="2" t="s">
        <v>854</v>
      </c>
      <c r="O84" s="2">
        <v>1489700012390</v>
      </c>
      <c r="P84" s="6" t="s">
        <v>855</v>
      </c>
      <c r="Q84" s="2" t="s">
        <v>146</v>
      </c>
      <c r="R84" s="2" t="s">
        <v>856</v>
      </c>
      <c r="S84" s="2">
        <v>11807</v>
      </c>
      <c r="T84" s="2" t="s">
        <v>148</v>
      </c>
      <c r="U84" s="2">
        <v>16558</v>
      </c>
      <c r="V84" s="2" t="s">
        <v>149</v>
      </c>
      <c r="W84" s="3">
        <v>46204</v>
      </c>
      <c r="X84" s="2">
        <v>22.06</v>
      </c>
      <c r="Y84" s="2">
        <v>0</v>
      </c>
      <c r="Z84" s="3">
        <v>37963</v>
      </c>
      <c r="AA84" s="2">
        <v>3.4</v>
      </c>
      <c r="AB84" s="2">
        <v>2568</v>
      </c>
      <c r="AC84" s="2" t="s">
        <v>857</v>
      </c>
      <c r="AD84" s="2" t="s">
        <v>135</v>
      </c>
      <c r="AE84" s="2"/>
      <c r="AF84" s="2"/>
    </row>
    <row r="85" spans="1:36" ht="21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6" ht="21" x14ac:dyDescent="0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8"/>
      <c r="AH86" s="7"/>
      <c r="AI86" s="7"/>
      <c r="AJ86" s="11"/>
    </row>
    <row r="87" spans="1:36" ht="18.600000000000001" x14ac:dyDescent="0.55000000000000004">
      <c r="A87" s="7"/>
      <c r="B87" s="7"/>
      <c r="C87" s="7"/>
      <c r="D87" s="7"/>
      <c r="E87" s="7"/>
      <c r="F87" s="8"/>
      <c r="G87" s="8"/>
      <c r="H87" s="7"/>
      <c r="I87" s="8"/>
      <c r="J87" s="8"/>
      <c r="K87" s="8"/>
      <c r="L87" s="8"/>
      <c r="M87" s="7"/>
      <c r="N87" s="7"/>
      <c r="O87" s="8"/>
      <c r="P87" s="8"/>
      <c r="Q87" s="8"/>
      <c r="R87" s="8"/>
      <c r="S87" s="7"/>
      <c r="T87" s="9"/>
      <c r="U87" s="7"/>
      <c r="V87" s="9"/>
      <c r="W87" s="12"/>
      <c r="X87" s="7"/>
      <c r="Y87" s="7"/>
      <c r="Z87" s="7"/>
      <c r="AA87" s="12"/>
      <c r="AB87" s="7"/>
      <c r="AC87" s="7"/>
      <c r="AD87" s="7"/>
      <c r="AE87" s="7"/>
      <c r="AF87" s="7"/>
      <c r="AG87" s="8"/>
      <c r="AH87" s="7"/>
      <c r="AI87" s="7"/>
      <c r="AJ87" s="8"/>
    </row>
    <row r="88" spans="1:36" ht="18.600000000000001" x14ac:dyDescent="0.55000000000000004">
      <c r="A88" s="7"/>
      <c r="B88" s="7"/>
      <c r="C88" s="7"/>
      <c r="D88" s="7"/>
      <c r="E88" s="7"/>
      <c r="F88" s="8"/>
      <c r="G88" s="8"/>
      <c r="H88" s="7"/>
      <c r="I88" s="8"/>
      <c r="J88" s="8"/>
      <c r="K88" s="8"/>
      <c r="L88" s="8"/>
      <c r="M88" s="7"/>
      <c r="N88" s="7"/>
      <c r="O88" s="8"/>
      <c r="P88" s="8"/>
      <c r="Q88" s="8"/>
      <c r="R88" s="8"/>
      <c r="S88" s="7"/>
      <c r="T88" s="9"/>
      <c r="U88" s="7"/>
      <c r="V88" s="9"/>
      <c r="W88" s="12"/>
      <c r="X88" s="7"/>
      <c r="Y88" s="7"/>
      <c r="Z88" s="7"/>
      <c r="AA88" s="12"/>
      <c r="AB88" s="7"/>
      <c r="AC88" s="7"/>
      <c r="AD88" s="7"/>
      <c r="AE88" s="7"/>
      <c r="AF88" s="7"/>
      <c r="AG88" s="8"/>
      <c r="AH88" s="7"/>
      <c r="AI88" s="7"/>
      <c r="AJ88" s="8"/>
    </row>
    <row r="89" spans="1:36" ht="18.600000000000001" x14ac:dyDescent="0.55000000000000004">
      <c r="A89" s="7"/>
      <c r="B89" s="7"/>
      <c r="C89" s="7"/>
      <c r="D89" s="7"/>
      <c r="E89" s="7"/>
      <c r="F89" s="8"/>
      <c r="G89" s="8"/>
      <c r="H89" s="7"/>
      <c r="I89" s="8"/>
      <c r="J89" s="8"/>
      <c r="K89" s="8"/>
      <c r="L89" s="8"/>
      <c r="M89" s="7"/>
      <c r="N89" s="7"/>
      <c r="O89" s="8"/>
      <c r="P89" s="8"/>
      <c r="Q89" s="8"/>
      <c r="R89" s="8"/>
      <c r="S89" s="7"/>
      <c r="T89" s="9"/>
      <c r="U89" s="7"/>
      <c r="V89" s="9"/>
      <c r="W89" s="12"/>
      <c r="X89" s="7"/>
      <c r="Y89" s="7"/>
      <c r="Z89" s="7"/>
      <c r="AA89" s="12"/>
      <c r="AB89" s="7"/>
      <c r="AC89" s="7"/>
      <c r="AD89" s="7"/>
      <c r="AE89" s="7"/>
      <c r="AF89" s="7"/>
      <c r="AG89" s="8"/>
      <c r="AH89" s="7"/>
      <c r="AI89" s="7"/>
      <c r="AJ89" s="8"/>
    </row>
  </sheetData>
  <hyperlinks>
    <hyperlink ref="P84" r:id="rId1" display="mailto:ibombombom5@gmail.com" xr:uid="{2F26447B-E2A6-4893-9A73-903A306273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C450-9CC5-41E7-B2B9-C3C25CFF977B}">
  <dimension ref="A1:AJ129"/>
  <sheetViews>
    <sheetView workbookViewId="0">
      <selection sqref="A1:AJ129"/>
    </sheetView>
  </sheetViews>
  <sheetFormatPr defaultRowHeight="13.8" x14ac:dyDescent="0.25"/>
  <sheetData>
    <row r="1" spans="1:36" ht="18.600000000000001" x14ac:dyDescent="0.55000000000000004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8" t="s">
        <v>94</v>
      </c>
      <c r="G1" s="8" t="s">
        <v>95</v>
      </c>
      <c r="H1" s="7" t="s">
        <v>96</v>
      </c>
      <c r="I1" s="7" t="s">
        <v>97</v>
      </c>
      <c r="J1" s="7" t="s">
        <v>98</v>
      </c>
      <c r="K1" s="7" t="s">
        <v>99</v>
      </c>
      <c r="L1" s="8" t="s">
        <v>100</v>
      </c>
      <c r="M1" s="7" t="s">
        <v>101</v>
      </c>
      <c r="N1" s="7" t="s">
        <v>102</v>
      </c>
      <c r="O1" s="8" t="s">
        <v>103</v>
      </c>
      <c r="P1" s="8" t="s">
        <v>104</v>
      </c>
      <c r="Q1" s="8" t="s">
        <v>105</v>
      </c>
      <c r="R1" s="8" t="s">
        <v>106</v>
      </c>
      <c r="S1" s="7" t="s">
        <v>107</v>
      </c>
      <c r="T1" s="9" t="s">
        <v>108</v>
      </c>
      <c r="U1" s="7" t="s">
        <v>109</v>
      </c>
      <c r="V1" s="9" t="s">
        <v>110</v>
      </c>
      <c r="W1" s="7" t="s">
        <v>111</v>
      </c>
      <c r="X1" s="10" t="s">
        <v>113</v>
      </c>
      <c r="Y1" s="10" t="s">
        <v>858</v>
      </c>
      <c r="Z1" s="10" t="s">
        <v>859</v>
      </c>
      <c r="AA1" s="7" t="s">
        <v>114</v>
      </c>
      <c r="AB1" s="10" t="s">
        <v>112</v>
      </c>
      <c r="AC1" s="10" t="s">
        <v>858</v>
      </c>
      <c r="AD1" s="10" t="s">
        <v>859</v>
      </c>
      <c r="AE1" s="7" t="s">
        <v>115</v>
      </c>
      <c r="AF1" s="7" t="s">
        <v>116</v>
      </c>
      <c r="AG1" s="8" t="s">
        <v>117</v>
      </c>
      <c r="AH1" s="7" t="s">
        <v>118</v>
      </c>
      <c r="AI1" s="7" t="s">
        <v>860</v>
      </c>
      <c r="AJ1" s="11">
        <v>46204</v>
      </c>
    </row>
    <row r="2" spans="1:36" ht="18.600000000000001" x14ac:dyDescent="0.55000000000000004">
      <c r="A2" s="7">
        <v>1</v>
      </c>
      <c r="B2" s="7" t="s">
        <v>861</v>
      </c>
      <c r="C2" s="7" t="s">
        <v>862</v>
      </c>
      <c r="D2" s="7" t="s">
        <v>121</v>
      </c>
      <c r="E2" s="7" t="s">
        <v>138</v>
      </c>
      <c r="F2" s="8" t="s">
        <v>863</v>
      </c>
      <c r="G2" s="8" t="s">
        <v>864</v>
      </c>
      <c r="H2" s="7" t="s">
        <v>865</v>
      </c>
      <c r="I2" s="8" t="s">
        <v>866</v>
      </c>
      <c r="J2" s="8" t="s">
        <v>867</v>
      </c>
      <c r="K2" s="8" t="s">
        <v>1830</v>
      </c>
      <c r="L2" s="8" t="s">
        <v>869</v>
      </c>
      <c r="M2" s="7" t="s">
        <v>128</v>
      </c>
      <c r="N2" s="7" t="s">
        <v>870</v>
      </c>
      <c r="O2" s="8">
        <v>1550900004511</v>
      </c>
      <c r="P2" s="8" t="s">
        <v>871</v>
      </c>
      <c r="Q2" s="8"/>
      <c r="R2" s="8" t="s">
        <v>872</v>
      </c>
      <c r="S2" s="7">
        <v>11718</v>
      </c>
      <c r="T2" s="9" t="s">
        <v>873</v>
      </c>
      <c r="U2" s="7">
        <v>14627</v>
      </c>
      <c r="V2" s="9" t="s">
        <v>874</v>
      </c>
      <c r="W2" s="12">
        <v>41249</v>
      </c>
      <c r="X2" s="7">
        <v>13.06</v>
      </c>
      <c r="Y2" s="7">
        <v>13</v>
      </c>
      <c r="Z2" s="7">
        <v>6</v>
      </c>
      <c r="AA2" s="12">
        <v>30830</v>
      </c>
      <c r="AB2" s="7">
        <v>42.01</v>
      </c>
      <c r="AC2" s="7">
        <v>42</v>
      </c>
      <c r="AD2" s="7">
        <v>1</v>
      </c>
      <c r="AE2" s="7">
        <v>1.93</v>
      </c>
      <c r="AF2" s="7">
        <v>2545</v>
      </c>
      <c r="AG2" s="8" t="s">
        <v>875</v>
      </c>
      <c r="AH2" s="7" t="s">
        <v>151</v>
      </c>
      <c r="AI2" s="7">
        <v>15490</v>
      </c>
      <c r="AJ2" s="8"/>
    </row>
    <row r="3" spans="1:36" ht="18.600000000000001" x14ac:dyDescent="0.55000000000000004">
      <c r="A3" s="7">
        <v>2</v>
      </c>
      <c r="B3" s="7" t="s">
        <v>876</v>
      </c>
      <c r="C3" s="7" t="s">
        <v>877</v>
      </c>
      <c r="D3" s="7" t="s">
        <v>121</v>
      </c>
      <c r="E3" s="7" t="s">
        <v>138</v>
      </c>
      <c r="F3" s="8" t="s">
        <v>878</v>
      </c>
      <c r="G3" s="8" t="s">
        <v>879</v>
      </c>
      <c r="H3" s="7" t="s">
        <v>865</v>
      </c>
      <c r="I3" s="8" t="s">
        <v>880</v>
      </c>
      <c r="J3" s="8" t="s">
        <v>881</v>
      </c>
      <c r="K3" s="8" t="s">
        <v>882</v>
      </c>
      <c r="L3" s="8" t="s">
        <v>882</v>
      </c>
      <c r="M3" s="7" t="s">
        <v>128</v>
      </c>
      <c r="N3" s="7" t="s">
        <v>883</v>
      </c>
      <c r="O3" s="8">
        <v>1450600141581</v>
      </c>
      <c r="P3" s="8" t="s">
        <v>884</v>
      </c>
      <c r="Q3" s="8"/>
      <c r="R3" s="8" t="s">
        <v>885</v>
      </c>
      <c r="S3" s="7">
        <v>10708</v>
      </c>
      <c r="T3" s="9" t="s">
        <v>886</v>
      </c>
      <c r="U3" s="7">
        <v>11205</v>
      </c>
      <c r="V3" s="9" t="s">
        <v>887</v>
      </c>
      <c r="W3" s="12">
        <v>41302</v>
      </c>
      <c r="X3" s="7">
        <v>13.05</v>
      </c>
      <c r="Y3" s="7">
        <v>13</v>
      </c>
      <c r="Z3" s="7">
        <v>5</v>
      </c>
      <c r="AA3" s="12">
        <v>33023</v>
      </c>
      <c r="AB3" s="7">
        <v>36.01</v>
      </c>
      <c r="AC3" s="7">
        <v>36</v>
      </c>
      <c r="AD3" s="7">
        <v>1</v>
      </c>
      <c r="AE3" s="7">
        <v>2.96</v>
      </c>
      <c r="AF3" s="7">
        <v>2552</v>
      </c>
      <c r="AG3" s="8" t="s">
        <v>888</v>
      </c>
      <c r="AH3" s="7" t="s">
        <v>151</v>
      </c>
      <c r="AI3" s="7">
        <v>15640</v>
      </c>
      <c r="AJ3" s="8"/>
    </row>
    <row r="4" spans="1:36" ht="18.600000000000001" x14ac:dyDescent="0.55000000000000004">
      <c r="A4" s="7">
        <v>3</v>
      </c>
      <c r="B4" s="7" t="s">
        <v>1831</v>
      </c>
      <c r="C4" s="7" t="s">
        <v>889</v>
      </c>
      <c r="D4" s="7" t="s">
        <v>121</v>
      </c>
      <c r="E4" s="7" t="s">
        <v>138</v>
      </c>
      <c r="F4" s="8" t="s">
        <v>890</v>
      </c>
      <c r="G4" s="8" t="s">
        <v>891</v>
      </c>
      <c r="H4" s="7" t="s">
        <v>865</v>
      </c>
      <c r="I4" s="8" t="s">
        <v>866</v>
      </c>
      <c r="J4" s="8"/>
      <c r="K4" s="8" t="s">
        <v>1832</v>
      </c>
      <c r="L4" s="8"/>
      <c r="M4" s="7" t="s">
        <v>128</v>
      </c>
      <c r="N4" s="7" t="s">
        <v>894</v>
      </c>
      <c r="O4" s="8">
        <v>3671000038539</v>
      </c>
      <c r="P4" s="8" t="s">
        <v>895</v>
      </c>
      <c r="Q4" s="8"/>
      <c r="R4" s="8" t="s">
        <v>896</v>
      </c>
      <c r="S4" s="7">
        <v>14932</v>
      </c>
      <c r="T4" s="9" t="s">
        <v>1833</v>
      </c>
      <c r="U4" s="7"/>
      <c r="V4" s="9"/>
      <c r="W4" s="12">
        <v>41604</v>
      </c>
      <c r="X4" s="7">
        <v>12.07</v>
      </c>
      <c r="Y4" s="7">
        <v>12</v>
      </c>
      <c r="Z4" s="7">
        <v>7</v>
      </c>
      <c r="AA4" s="12">
        <v>26583</v>
      </c>
      <c r="AB4" s="7">
        <v>53.08</v>
      </c>
      <c r="AC4" s="7">
        <v>53</v>
      </c>
      <c r="AD4" s="7">
        <v>8</v>
      </c>
      <c r="AE4" s="7">
        <v>2.0499999999999998</v>
      </c>
      <c r="AF4" s="7">
        <v>2544</v>
      </c>
      <c r="AG4" s="8" t="s">
        <v>897</v>
      </c>
      <c r="AH4" s="7" t="s">
        <v>151</v>
      </c>
      <c r="AI4" s="7">
        <v>14120</v>
      </c>
      <c r="AJ4" s="8"/>
    </row>
    <row r="5" spans="1:36" ht="18.600000000000001" x14ac:dyDescent="0.55000000000000004">
      <c r="A5" s="7">
        <v>4</v>
      </c>
      <c r="B5" s="7" t="s">
        <v>898</v>
      </c>
      <c r="C5" s="7" t="s">
        <v>899</v>
      </c>
      <c r="D5" s="7" t="s">
        <v>121</v>
      </c>
      <c r="E5" s="7" t="s">
        <v>138</v>
      </c>
      <c r="F5" s="8" t="s">
        <v>900</v>
      </c>
      <c r="G5" s="8" t="s">
        <v>901</v>
      </c>
      <c r="H5" s="7" t="s">
        <v>865</v>
      </c>
      <c r="I5" s="8" t="s">
        <v>866</v>
      </c>
      <c r="J5" s="8" t="s">
        <v>902</v>
      </c>
      <c r="K5" s="8" t="s">
        <v>903</v>
      </c>
      <c r="L5" s="8" t="s">
        <v>904</v>
      </c>
      <c r="M5" s="7" t="s">
        <v>128</v>
      </c>
      <c r="N5" s="7" t="s">
        <v>905</v>
      </c>
      <c r="O5" s="8">
        <v>1101500689359</v>
      </c>
      <c r="P5" s="8" t="s">
        <v>906</v>
      </c>
      <c r="Q5" s="8"/>
      <c r="R5" s="8" t="s">
        <v>907</v>
      </c>
      <c r="S5" s="7">
        <v>12054</v>
      </c>
      <c r="T5" s="9" t="s">
        <v>908</v>
      </c>
      <c r="U5" s="7">
        <v>12306</v>
      </c>
      <c r="V5" s="9" t="s">
        <v>909</v>
      </c>
      <c r="W5" s="12">
        <v>41751</v>
      </c>
      <c r="X5" s="7">
        <v>12.02</v>
      </c>
      <c r="Y5" s="7">
        <v>12</v>
      </c>
      <c r="Z5" s="7">
        <v>2</v>
      </c>
      <c r="AA5" s="12">
        <v>34175</v>
      </c>
      <c r="AB5" s="7">
        <v>32.11</v>
      </c>
      <c r="AC5" s="7">
        <v>32</v>
      </c>
      <c r="AD5" s="7">
        <v>11</v>
      </c>
      <c r="AE5" s="7">
        <v>2.54</v>
      </c>
      <c r="AF5" s="7">
        <v>2555</v>
      </c>
      <c r="AG5" s="8" t="s">
        <v>910</v>
      </c>
      <c r="AH5" s="7" t="s">
        <v>151</v>
      </c>
      <c r="AI5" s="7">
        <v>14410</v>
      </c>
      <c r="AJ5" s="8"/>
    </row>
    <row r="6" spans="1:36" ht="18.600000000000001" x14ac:dyDescent="0.55000000000000004">
      <c r="A6" s="7">
        <v>5</v>
      </c>
      <c r="B6" s="7" t="s">
        <v>911</v>
      </c>
      <c r="C6" s="7" t="s">
        <v>912</v>
      </c>
      <c r="D6" s="7" t="s">
        <v>121</v>
      </c>
      <c r="E6" s="7" t="s">
        <v>138</v>
      </c>
      <c r="F6" s="8" t="s">
        <v>913</v>
      </c>
      <c r="G6" s="8" t="s">
        <v>914</v>
      </c>
      <c r="H6" s="7" t="s">
        <v>865</v>
      </c>
      <c r="I6" s="8" t="s">
        <v>866</v>
      </c>
      <c r="J6" s="8" t="s">
        <v>915</v>
      </c>
      <c r="K6" s="8" t="s">
        <v>916</v>
      </c>
      <c r="L6" s="8" t="s">
        <v>916</v>
      </c>
      <c r="M6" s="7" t="s">
        <v>128</v>
      </c>
      <c r="N6" s="7" t="s">
        <v>917</v>
      </c>
      <c r="O6" s="8">
        <v>3360100229010</v>
      </c>
      <c r="P6" s="8" t="s">
        <v>918</v>
      </c>
      <c r="Q6" s="8"/>
      <c r="R6" s="8" t="s">
        <v>919</v>
      </c>
      <c r="S6" s="7">
        <v>11851</v>
      </c>
      <c r="T6" s="9" t="s">
        <v>920</v>
      </c>
      <c r="U6" s="7">
        <v>11106</v>
      </c>
      <c r="V6" s="9" t="s">
        <v>921</v>
      </c>
      <c r="W6" s="12">
        <v>41913</v>
      </c>
      <c r="X6" s="7">
        <v>11.09</v>
      </c>
      <c r="Y6" s="7">
        <v>11</v>
      </c>
      <c r="Z6" s="7">
        <v>9</v>
      </c>
      <c r="AA6" s="12">
        <v>29970</v>
      </c>
      <c r="AB6" s="7">
        <v>44.05</v>
      </c>
      <c r="AC6" s="7">
        <v>44</v>
      </c>
      <c r="AD6" s="7">
        <v>5</v>
      </c>
      <c r="AE6" s="7">
        <v>1.33</v>
      </c>
      <c r="AF6" s="7">
        <v>2543</v>
      </c>
      <c r="AG6" s="8" t="s">
        <v>922</v>
      </c>
      <c r="AH6" s="7" t="s">
        <v>151</v>
      </c>
      <c r="AI6" s="7">
        <v>14120</v>
      </c>
      <c r="AJ6" s="8"/>
    </row>
    <row r="7" spans="1:36" ht="18.600000000000001" x14ac:dyDescent="0.55000000000000004">
      <c r="A7" s="7">
        <v>6</v>
      </c>
      <c r="B7" s="7" t="s">
        <v>923</v>
      </c>
      <c r="C7" s="7" t="s">
        <v>924</v>
      </c>
      <c r="D7" s="7" t="s">
        <v>121</v>
      </c>
      <c r="E7" s="7" t="s">
        <v>138</v>
      </c>
      <c r="F7" s="8" t="s">
        <v>925</v>
      </c>
      <c r="G7" s="8" t="s">
        <v>926</v>
      </c>
      <c r="H7" s="7" t="s">
        <v>865</v>
      </c>
      <c r="I7" s="8" t="s">
        <v>866</v>
      </c>
      <c r="J7" s="8" t="s">
        <v>902</v>
      </c>
      <c r="K7" s="8" t="s">
        <v>927</v>
      </c>
      <c r="L7" s="8" t="s">
        <v>928</v>
      </c>
      <c r="M7" s="7" t="s">
        <v>128</v>
      </c>
      <c r="N7" s="7" t="s">
        <v>929</v>
      </c>
      <c r="O7" s="8">
        <v>1140600122643</v>
      </c>
      <c r="P7" s="8" t="s">
        <v>930</v>
      </c>
      <c r="Q7" s="8"/>
      <c r="R7" s="8" t="s">
        <v>931</v>
      </c>
      <c r="S7" s="7">
        <v>10894</v>
      </c>
      <c r="T7" s="9" t="s">
        <v>932</v>
      </c>
      <c r="U7" s="7">
        <v>11285</v>
      </c>
      <c r="V7" s="9" t="s">
        <v>933</v>
      </c>
      <c r="W7" s="12">
        <v>42859</v>
      </c>
      <c r="X7" s="7">
        <v>9.01</v>
      </c>
      <c r="Y7" s="7">
        <v>9</v>
      </c>
      <c r="Z7" s="7">
        <v>1</v>
      </c>
      <c r="AA7" s="12">
        <v>34474</v>
      </c>
      <c r="AB7" s="7">
        <v>32.01</v>
      </c>
      <c r="AC7" s="7">
        <v>32</v>
      </c>
      <c r="AD7" s="7">
        <v>1</v>
      </c>
      <c r="AE7" s="7">
        <v>3.01</v>
      </c>
      <c r="AF7" s="7">
        <v>2560</v>
      </c>
      <c r="AG7" s="8" t="s">
        <v>934</v>
      </c>
      <c r="AH7" s="7" t="s">
        <v>151</v>
      </c>
      <c r="AI7" s="7">
        <v>13110</v>
      </c>
      <c r="AJ7" s="8"/>
    </row>
    <row r="8" spans="1:36" ht="18.600000000000001" x14ac:dyDescent="0.55000000000000004">
      <c r="A8" s="7">
        <v>7</v>
      </c>
      <c r="B8" s="7" t="s">
        <v>1831</v>
      </c>
      <c r="C8" s="7" t="s">
        <v>935</v>
      </c>
      <c r="D8" s="7" t="s">
        <v>121</v>
      </c>
      <c r="E8" s="7" t="s">
        <v>138</v>
      </c>
      <c r="F8" s="8" t="s">
        <v>936</v>
      </c>
      <c r="G8" s="8" t="s">
        <v>937</v>
      </c>
      <c r="H8" s="7" t="s">
        <v>865</v>
      </c>
      <c r="I8" s="8" t="s">
        <v>866</v>
      </c>
      <c r="J8" s="8"/>
      <c r="K8" s="8" t="s">
        <v>1832</v>
      </c>
      <c r="L8" s="8"/>
      <c r="M8" s="7" t="s">
        <v>128</v>
      </c>
      <c r="N8" s="7" t="s">
        <v>938</v>
      </c>
      <c r="O8" s="8">
        <v>1300801313665</v>
      </c>
      <c r="P8" s="8" t="s">
        <v>939</v>
      </c>
      <c r="Q8" s="8"/>
      <c r="R8" s="8" t="s">
        <v>940</v>
      </c>
      <c r="S8" s="7">
        <v>14932</v>
      </c>
      <c r="T8" s="9" t="s">
        <v>1833</v>
      </c>
      <c r="U8" s="7"/>
      <c r="V8" s="9"/>
      <c r="W8" s="12">
        <v>42942</v>
      </c>
      <c r="X8" s="7">
        <v>8.11</v>
      </c>
      <c r="Y8" s="7">
        <v>8</v>
      </c>
      <c r="Z8" s="7">
        <v>11</v>
      </c>
      <c r="AA8" s="12">
        <v>35724</v>
      </c>
      <c r="AB8" s="7">
        <v>28.08</v>
      </c>
      <c r="AC8" s="7">
        <v>28</v>
      </c>
      <c r="AD8" s="7">
        <v>8</v>
      </c>
      <c r="AE8" s="7">
        <v>2.5</v>
      </c>
      <c r="AF8" s="7">
        <v>2560</v>
      </c>
      <c r="AG8" s="8" t="s">
        <v>941</v>
      </c>
      <c r="AH8" s="7" t="s">
        <v>258</v>
      </c>
      <c r="AI8" s="7">
        <v>13360</v>
      </c>
      <c r="AJ8" s="8"/>
    </row>
    <row r="9" spans="1:36" ht="18.600000000000001" x14ac:dyDescent="0.55000000000000004">
      <c r="A9" s="7">
        <v>8</v>
      </c>
      <c r="B9" s="7" t="s">
        <v>1834</v>
      </c>
      <c r="C9" s="7" t="s">
        <v>942</v>
      </c>
      <c r="D9" s="7" t="s">
        <v>121</v>
      </c>
      <c r="E9" s="7" t="s">
        <v>138</v>
      </c>
      <c r="F9" s="8" t="s">
        <v>943</v>
      </c>
      <c r="G9" s="8" t="s">
        <v>944</v>
      </c>
      <c r="H9" s="7" t="s">
        <v>865</v>
      </c>
      <c r="I9" s="8" t="s">
        <v>12</v>
      </c>
      <c r="J9" s="8" t="s">
        <v>18</v>
      </c>
      <c r="K9" s="8" t="s">
        <v>17</v>
      </c>
      <c r="L9" s="8" t="s">
        <v>17</v>
      </c>
      <c r="M9" s="7" t="s">
        <v>128</v>
      </c>
      <c r="N9" s="7" t="s">
        <v>348</v>
      </c>
      <c r="O9" s="8">
        <v>1319900373575</v>
      </c>
      <c r="P9" s="8" t="s">
        <v>945</v>
      </c>
      <c r="Q9" s="8"/>
      <c r="R9" s="8" t="s">
        <v>946</v>
      </c>
      <c r="S9" s="7">
        <v>14729</v>
      </c>
      <c r="T9" s="9" t="s">
        <v>1835</v>
      </c>
      <c r="U9" s="7">
        <v>10950</v>
      </c>
      <c r="V9" s="9" t="s">
        <v>1836</v>
      </c>
      <c r="W9" s="12">
        <v>43152</v>
      </c>
      <c r="X9" s="7">
        <v>8.0399999999999991</v>
      </c>
      <c r="Y9" s="7">
        <v>8</v>
      </c>
      <c r="Z9" s="7">
        <v>4</v>
      </c>
      <c r="AA9" s="12">
        <v>34423</v>
      </c>
      <c r="AB9" s="7">
        <v>32.03</v>
      </c>
      <c r="AC9" s="7">
        <v>32</v>
      </c>
      <c r="AD9" s="7">
        <v>3</v>
      </c>
      <c r="AE9" s="7">
        <v>1.73</v>
      </c>
      <c r="AF9" s="7">
        <v>2555</v>
      </c>
      <c r="AG9" s="8" t="s">
        <v>947</v>
      </c>
      <c r="AH9" s="7" t="s">
        <v>151</v>
      </c>
      <c r="AI9" s="7">
        <v>13835</v>
      </c>
      <c r="AJ9" s="8"/>
    </row>
    <row r="10" spans="1:36" ht="18.600000000000001" x14ac:dyDescent="0.55000000000000004">
      <c r="A10" s="7">
        <v>9</v>
      </c>
      <c r="B10" s="7" t="s">
        <v>948</v>
      </c>
      <c r="C10" s="7" t="s">
        <v>949</v>
      </c>
      <c r="D10" s="7" t="s">
        <v>121</v>
      </c>
      <c r="E10" s="7" t="s">
        <v>138</v>
      </c>
      <c r="F10" s="8" t="s">
        <v>950</v>
      </c>
      <c r="G10" s="8" t="s">
        <v>951</v>
      </c>
      <c r="H10" s="7" t="s">
        <v>865</v>
      </c>
      <c r="I10" s="8" t="s">
        <v>866</v>
      </c>
      <c r="J10" s="8" t="s">
        <v>902</v>
      </c>
      <c r="K10" s="8" t="s">
        <v>952</v>
      </c>
      <c r="L10" s="8" t="s">
        <v>953</v>
      </c>
      <c r="M10" s="7" t="s">
        <v>128</v>
      </c>
      <c r="N10" s="7" t="s">
        <v>954</v>
      </c>
      <c r="O10" s="8">
        <v>1379900013731</v>
      </c>
      <c r="P10" s="8" t="s">
        <v>955</v>
      </c>
      <c r="Q10" s="8"/>
      <c r="R10" s="8" t="s">
        <v>956</v>
      </c>
      <c r="S10" s="7">
        <v>10975</v>
      </c>
      <c r="T10" s="9" t="s">
        <v>957</v>
      </c>
      <c r="U10" s="7">
        <v>15513</v>
      </c>
      <c r="V10" s="9" t="s">
        <v>958</v>
      </c>
      <c r="W10" s="12">
        <v>43152</v>
      </c>
      <c r="X10" s="7">
        <v>8.0399999999999991</v>
      </c>
      <c r="Y10" s="7">
        <v>8</v>
      </c>
      <c r="Z10" s="7">
        <v>4</v>
      </c>
      <c r="AA10" s="12">
        <v>34964</v>
      </c>
      <c r="AB10" s="7">
        <v>30.09</v>
      </c>
      <c r="AC10" s="7">
        <v>30</v>
      </c>
      <c r="AD10" s="7">
        <v>9</v>
      </c>
      <c r="AE10" s="7">
        <v>2.92</v>
      </c>
      <c r="AF10" s="7">
        <v>2559</v>
      </c>
      <c r="AG10" s="8" t="s">
        <v>959</v>
      </c>
      <c r="AH10" s="7" t="s">
        <v>135</v>
      </c>
      <c r="AI10" s="7">
        <v>13200</v>
      </c>
      <c r="AJ10" s="8"/>
    </row>
    <row r="11" spans="1:36" ht="18.600000000000001" x14ac:dyDescent="0.55000000000000004">
      <c r="A11" s="7">
        <v>10</v>
      </c>
      <c r="B11" s="7" t="s">
        <v>911</v>
      </c>
      <c r="C11" s="7" t="s">
        <v>960</v>
      </c>
      <c r="D11" s="7" t="s">
        <v>121</v>
      </c>
      <c r="E11" s="7" t="s">
        <v>138</v>
      </c>
      <c r="F11" s="8" t="s">
        <v>961</v>
      </c>
      <c r="G11" s="8" t="s">
        <v>962</v>
      </c>
      <c r="H11" s="7" t="s">
        <v>865</v>
      </c>
      <c r="I11" s="8" t="s">
        <v>866</v>
      </c>
      <c r="J11" s="8" t="s">
        <v>915</v>
      </c>
      <c r="K11" s="8" t="s">
        <v>916</v>
      </c>
      <c r="L11" s="8" t="s">
        <v>916</v>
      </c>
      <c r="M11" s="7" t="s">
        <v>128</v>
      </c>
      <c r="N11" s="7" t="s">
        <v>963</v>
      </c>
      <c r="O11" s="8">
        <v>1349900324191</v>
      </c>
      <c r="P11" s="8" t="s">
        <v>964</v>
      </c>
      <c r="Q11" s="8"/>
      <c r="R11" s="8" t="s">
        <v>965</v>
      </c>
      <c r="S11" s="7">
        <v>11851</v>
      </c>
      <c r="T11" s="9" t="s">
        <v>920</v>
      </c>
      <c r="U11" s="7">
        <v>11106</v>
      </c>
      <c r="V11" s="9" t="s">
        <v>921</v>
      </c>
      <c r="W11" s="12">
        <v>43187</v>
      </c>
      <c r="X11" s="7">
        <v>8.0299999999999994</v>
      </c>
      <c r="Y11" s="7">
        <v>8</v>
      </c>
      <c r="Z11" s="7">
        <v>3</v>
      </c>
      <c r="AA11" s="12">
        <v>32849</v>
      </c>
      <c r="AB11" s="7">
        <v>36.06</v>
      </c>
      <c r="AC11" s="7">
        <v>36</v>
      </c>
      <c r="AD11" s="7">
        <v>6</v>
      </c>
      <c r="AE11" s="7">
        <v>2.87</v>
      </c>
      <c r="AF11" s="7">
        <v>2555</v>
      </c>
      <c r="AG11" s="8" t="s">
        <v>966</v>
      </c>
      <c r="AH11" s="7" t="s">
        <v>151</v>
      </c>
      <c r="AI11" s="7">
        <v>13440</v>
      </c>
      <c r="AJ11" s="8"/>
    </row>
    <row r="12" spans="1:36" ht="18.600000000000001" x14ac:dyDescent="0.55000000000000004">
      <c r="A12" s="7">
        <v>11</v>
      </c>
      <c r="B12" s="7" t="s">
        <v>861</v>
      </c>
      <c r="C12" s="7" t="s">
        <v>967</v>
      </c>
      <c r="D12" s="7" t="s">
        <v>121</v>
      </c>
      <c r="E12" s="7" t="s">
        <v>138</v>
      </c>
      <c r="F12" s="8" t="s">
        <v>968</v>
      </c>
      <c r="G12" s="8" t="s">
        <v>969</v>
      </c>
      <c r="H12" s="7" t="s">
        <v>865</v>
      </c>
      <c r="I12" s="8" t="s">
        <v>866</v>
      </c>
      <c r="J12" s="8" t="s">
        <v>867</v>
      </c>
      <c r="K12" s="8" t="s">
        <v>1830</v>
      </c>
      <c r="L12" s="8" t="s">
        <v>869</v>
      </c>
      <c r="M12" s="7" t="s">
        <v>128</v>
      </c>
      <c r="N12" s="7" t="s">
        <v>970</v>
      </c>
      <c r="O12" s="8">
        <v>1539900616000</v>
      </c>
      <c r="P12" s="8" t="s">
        <v>971</v>
      </c>
      <c r="Q12" s="8"/>
      <c r="R12" s="8" t="s">
        <v>972</v>
      </c>
      <c r="S12" s="7">
        <v>11718</v>
      </c>
      <c r="T12" s="9" t="s">
        <v>873</v>
      </c>
      <c r="U12" s="7">
        <v>14627</v>
      </c>
      <c r="V12" s="9" t="s">
        <v>874</v>
      </c>
      <c r="W12" s="12">
        <v>43332</v>
      </c>
      <c r="X12" s="7">
        <v>7.1</v>
      </c>
      <c r="Y12" s="7">
        <v>7</v>
      </c>
      <c r="Z12" s="7">
        <v>10</v>
      </c>
      <c r="AA12" s="12">
        <v>35756</v>
      </c>
      <c r="AB12" s="7">
        <v>28.07</v>
      </c>
      <c r="AC12" s="7">
        <v>28</v>
      </c>
      <c r="AD12" s="7">
        <v>7</v>
      </c>
      <c r="AE12" s="7">
        <v>2.72</v>
      </c>
      <c r="AF12" s="7">
        <v>2561</v>
      </c>
      <c r="AG12" s="8" t="s">
        <v>973</v>
      </c>
      <c r="AH12" s="7" t="s">
        <v>135</v>
      </c>
      <c r="AI12" s="7">
        <v>13260</v>
      </c>
      <c r="AJ12" s="8"/>
    </row>
    <row r="13" spans="1:36" ht="18.600000000000001" x14ac:dyDescent="0.55000000000000004">
      <c r="A13" s="7">
        <v>12</v>
      </c>
      <c r="B13" s="7" t="s">
        <v>974</v>
      </c>
      <c r="C13" s="7" t="s">
        <v>975</v>
      </c>
      <c r="D13" s="7" t="s">
        <v>121</v>
      </c>
      <c r="E13" s="7" t="s">
        <v>138</v>
      </c>
      <c r="F13" s="8" t="s">
        <v>976</v>
      </c>
      <c r="G13" s="8" t="s">
        <v>977</v>
      </c>
      <c r="H13" s="7" t="s">
        <v>865</v>
      </c>
      <c r="I13" s="8" t="s">
        <v>866</v>
      </c>
      <c r="J13" s="8" t="s">
        <v>902</v>
      </c>
      <c r="K13" s="8" t="s">
        <v>952</v>
      </c>
      <c r="L13" s="8" t="s">
        <v>978</v>
      </c>
      <c r="M13" s="7" t="s">
        <v>128</v>
      </c>
      <c r="N13" s="7" t="s">
        <v>979</v>
      </c>
      <c r="O13" s="8">
        <v>1103702155713</v>
      </c>
      <c r="P13" s="8" t="s">
        <v>980</v>
      </c>
      <c r="Q13" s="8"/>
      <c r="R13" s="8" t="s">
        <v>981</v>
      </c>
      <c r="S13" s="7">
        <v>10975</v>
      </c>
      <c r="T13" s="9" t="s">
        <v>957</v>
      </c>
      <c r="U13" s="7">
        <v>15513</v>
      </c>
      <c r="V13" s="9" t="s">
        <v>958</v>
      </c>
      <c r="W13" s="12">
        <v>43409</v>
      </c>
      <c r="X13" s="7">
        <v>7.07</v>
      </c>
      <c r="Y13" s="7">
        <v>7</v>
      </c>
      <c r="Z13" s="7">
        <v>7</v>
      </c>
      <c r="AA13" s="12">
        <v>35334</v>
      </c>
      <c r="AB13" s="7">
        <v>29.09</v>
      </c>
      <c r="AC13" s="7">
        <v>29</v>
      </c>
      <c r="AD13" s="7">
        <v>9</v>
      </c>
      <c r="AE13" s="7">
        <v>3.18</v>
      </c>
      <c r="AF13" s="7">
        <v>2560</v>
      </c>
      <c r="AG13" s="8" t="s">
        <v>982</v>
      </c>
      <c r="AH13" s="7" t="s">
        <v>135</v>
      </c>
      <c r="AI13" s="7">
        <v>13040</v>
      </c>
      <c r="AJ13" s="8"/>
    </row>
    <row r="14" spans="1:36" ht="18.600000000000001" x14ac:dyDescent="0.55000000000000004">
      <c r="A14" s="7">
        <v>13</v>
      </c>
      <c r="B14" s="7" t="s">
        <v>983</v>
      </c>
      <c r="C14" s="7" t="s">
        <v>984</v>
      </c>
      <c r="D14" s="7" t="s">
        <v>121</v>
      </c>
      <c r="E14" s="7" t="s">
        <v>138</v>
      </c>
      <c r="F14" s="8" t="s">
        <v>985</v>
      </c>
      <c r="G14" s="8" t="s">
        <v>986</v>
      </c>
      <c r="H14" s="7" t="s">
        <v>865</v>
      </c>
      <c r="I14" s="8" t="s">
        <v>866</v>
      </c>
      <c r="J14" s="8" t="s">
        <v>867</v>
      </c>
      <c r="K14" s="8" t="s">
        <v>1830</v>
      </c>
      <c r="L14" s="8" t="s">
        <v>1837</v>
      </c>
      <c r="M14" s="7" t="s">
        <v>128</v>
      </c>
      <c r="N14" s="7" t="s">
        <v>988</v>
      </c>
      <c r="O14" s="8">
        <v>1179900251684</v>
      </c>
      <c r="P14" s="8" t="s">
        <v>989</v>
      </c>
      <c r="Q14" s="8"/>
      <c r="R14" s="8" t="s">
        <v>990</v>
      </c>
      <c r="S14" s="7">
        <v>11000</v>
      </c>
      <c r="T14" s="9" t="s">
        <v>991</v>
      </c>
      <c r="U14" s="7">
        <v>14627</v>
      </c>
      <c r="V14" s="9" t="s">
        <v>874</v>
      </c>
      <c r="W14" s="12">
        <v>43418</v>
      </c>
      <c r="X14" s="7">
        <v>7.07</v>
      </c>
      <c r="Y14" s="7">
        <v>7</v>
      </c>
      <c r="Z14" s="7">
        <v>7</v>
      </c>
      <c r="AA14" s="12">
        <v>34029</v>
      </c>
      <c r="AB14" s="7">
        <v>33.04</v>
      </c>
      <c r="AC14" s="7">
        <v>33</v>
      </c>
      <c r="AD14" s="7">
        <v>4</v>
      </c>
      <c r="AE14" s="7">
        <v>3.08</v>
      </c>
      <c r="AF14" s="7">
        <v>2560</v>
      </c>
      <c r="AG14" s="8" t="s">
        <v>992</v>
      </c>
      <c r="AH14" s="7" t="s">
        <v>135</v>
      </c>
      <c r="AI14" s="7">
        <v>13160</v>
      </c>
      <c r="AJ14" s="8"/>
    </row>
    <row r="15" spans="1:36" ht="18.600000000000001" x14ac:dyDescent="0.55000000000000004">
      <c r="A15" s="7">
        <v>14</v>
      </c>
      <c r="B15" s="7" t="s">
        <v>1831</v>
      </c>
      <c r="C15" s="7" t="s">
        <v>993</v>
      </c>
      <c r="D15" s="7" t="s">
        <v>121</v>
      </c>
      <c r="E15" s="7" t="s">
        <v>138</v>
      </c>
      <c r="F15" s="8" t="s">
        <v>994</v>
      </c>
      <c r="G15" s="8" t="s">
        <v>995</v>
      </c>
      <c r="H15" s="7" t="s">
        <v>865</v>
      </c>
      <c r="I15" s="8" t="s">
        <v>866</v>
      </c>
      <c r="J15" s="8"/>
      <c r="K15" s="8" t="s">
        <v>1832</v>
      </c>
      <c r="L15" s="8"/>
      <c r="M15" s="7" t="s">
        <v>128</v>
      </c>
      <c r="N15" s="7" t="s">
        <v>996</v>
      </c>
      <c r="O15" s="8">
        <v>1660500140505</v>
      </c>
      <c r="P15" s="8" t="s">
        <v>997</v>
      </c>
      <c r="Q15" s="8"/>
      <c r="R15" s="8" t="s">
        <v>998</v>
      </c>
      <c r="S15" s="7">
        <v>14932</v>
      </c>
      <c r="T15" s="9" t="s">
        <v>1833</v>
      </c>
      <c r="U15" s="7"/>
      <c r="V15" s="9"/>
      <c r="W15" s="12">
        <v>43525</v>
      </c>
      <c r="X15" s="7">
        <v>7.04</v>
      </c>
      <c r="Y15" s="7">
        <v>7</v>
      </c>
      <c r="Z15" s="7">
        <v>4</v>
      </c>
      <c r="AA15" s="12">
        <v>34933</v>
      </c>
      <c r="AB15" s="7">
        <v>30.1</v>
      </c>
      <c r="AC15" s="7">
        <v>30</v>
      </c>
      <c r="AD15" s="7">
        <v>10</v>
      </c>
      <c r="AE15" s="7">
        <v>1.92</v>
      </c>
      <c r="AF15" s="7">
        <v>2557</v>
      </c>
      <c r="AG15" s="8" t="s">
        <v>999</v>
      </c>
      <c r="AH15" s="7" t="s">
        <v>151</v>
      </c>
      <c r="AI15" s="7">
        <v>13115</v>
      </c>
      <c r="AJ15" s="8"/>
    </row>
    <row r="16" spans="1:36" ht="18.600000000000001" x14ac:dyDescent="0.55000000000000004">
      <c r="A16" s="7">
        <v>15</v>
      </c>
      <c r="B16" s="7" t="s">
        <v>948</v>
      </c>
      <c r="C16" s="7" t="s">
        <v>1000</v>
      </c>
      <c r="D16" s="7" t="s">
        <v>121</v>
      </c>
      <c r="E16" s="7" t="s">
        <v>138</v>
      </c>
      <c r="F16" s="8" t="s">
        <v>1001</v>
      </c>
      <c r="G16" s="8" t="s">
        <v>1002</v>
      </c>
      <c r="H16" s="7" t="s">
        <v>865</v>
      </c>
      <c r="I16" s="8" t="s">
        <v>866</v>
      </c>
      <c r="J16" s="8" t="s">
        <v>902</v>
      </c>
      <c r="K16" s="8" t="s">
        <v>952</v>
      </c>
      <c r="L16" s="8" t="s">
        <v>953</v>
      </c>
      <c r="M16" s="7" t="s">
        <v>128</v>
      </c>
      <c r="N16" s="7" t="s">
        <v>1003</v>
      </c>
      <c r="O16" s="8">
        <v>1369900398845</v>
      </c>
      <c r="P16" s="8" t="s">
        <v>1004</v>
      </c>
      <c r="Q16" s="8"/>
      <c r="R16" s="8" t="s">
        <v>1005</v>
      </c>
      <c r="S16" s="7">
        <v>10975</v>
      </c>
      <c r="T16" s="9" t="s">
        <v>957</v>
      </c>
      <c r="U16" s="7">
        <v>15513</v>
      </c>
      <c r="V16" s="9" t="s">
        <v>958</v>
      </c>
      <c r="W16" s="12">
        <v>43578</v>
      </c>
      <c r="X16" s="7">
        <v>7.02</v>
      </c>
      <c r="Y16" s="7">
        <v>7</v>
      </c>
      <c r="Z16" s="7">
        <v>2</v>
      </c>
      <c r="AA16" s="12">
        <v>35492</v>
      </c>
      <c r="AB16" s="7">
        <v>29.03</v>
      </c>
      <c r="AC16" s="7">
        <v>29</v>
      </c>
      <c r="AD16" s="7">
        <v>3</v>
      </c>
      <c r="AE16" s="7">
        <v>2.93</v>
      </c>
      <c r="AF16" s="7">
        <v>2558</v>
      </c>
      <c r="AG16" s="8" t="s">
        <v>134</v>
      </c>
      <c r="AH16" s="7" t="s">
        <v>258</v>
      </c>
      <c r="AI16" s="7">
        <v>12860</v>
      </c>
      <c r="AJ16" s="8"/>
    </row>
    <row r="17" spans="1:36" ht="18.600000000000001" x14ac:dyDescent="0.55000000000000004">
      <c r="A17" s="7">
        <v>16</v>
      </c>
      <c r="B17" s="7" t="s">
        <v>861</v>
      </c>
      <c r="C17" s="7" t="s">
        <v>1006</v>
      </c>
      <c r="D17" s="7" t="s">
        <v>121</v>
      </c>
      <c r="E17" s="7" t="s">
        <v>138</v>
      </c>
      <c r="F17" s="8" t="s">
        <v>1007</v>
      </c>
      <c r="G17" s="8" t="s">
        <v>1008</v>
      </c>
      <c r="H17" s="7" t="s">
        <v>865</v>
      </c>
      <c r="I17" s="8" t="s">
        <v>866</v>
      </c>
      <c r="J17" s="8" t="s">
        <v>867</v>
      </c>
      <c r="K17" s="8" t="s">
        <v>1830</v>
      </c>
      <c r="L17" s="8" t="s">
        <v>869</v>
      </c>
      <c r="M17" s="7" t="s">
        <v>128</v>
      </c>
      <c r="N17" s="7" t="s">
        <v>611</v>
      </c>
      <c r="O17" s="8">
        <v>1130300133895</v>
      </c>
      <c r="P17" s="8" t="s">
        <v>1009</v>
      </c>
      <c r="Q17" s="8"/>
      <c r="R17" s="8" t="s">
        <v>1010</v>
      </c>
      <c r="S17" s="7">
        <v>11718</v>
      </c>
      <c r="T17" s="9" t="s">
        <v>873</v>
      </c>
      <c r="U17" s="7">
        <v>14627</v>
      </c>
      <c r="V17" s="9" t="s">
        <v>874</v>
      </c>
      <c r="W17" s="12">
        <v>43613</v>
      </c>
      <c r="X17" s="7">
        <v>7.01</v>
      </c>
      <c r="Y17" s="7">
        <v>7</v>
      </c>
      <c r="Z17" s="7">
        <v>1</v>
      </c>
      <c r="AA17" s="12">
        <v>35978</v>
      </c>
      <c r="AB17" s="7">
        <v>27.11</v>
      </c>
      <c r="AC17" s="7">
        <v>27</v>
      </c>
      <c r="AD17" s="7">
        <v>11</v>
      </c>
      <c r="AE17" s="7">
        <v>3.22</v>
      </c>
      <c r="AF17" s="7">
        <v>2562</v>
      </c>
      <c r="AG17" s="8" t="s">
        <v>1011</v>
      </c>
      <c r="AH17" s="7" t="s">
        <v>135</v>
      </c>
      <c r="AI17" s="7">
        <v>13110</v>
      </c>
      <c r="AJ17" s="8"/>
    </row>
    <row r="18" spans="1:36" ht="18.600000000000001" x14ac:dyDescent="0.55000000000000004">
      <c r="A18" s="7">
        <v>17</v>
      </c>
      <c r="B18" s="7" t="s">
        <v>1371</v>
      </c>
      <c r="C18" s="7" t="s">
        <v>1012</v>
      </c>
      <c r="D18" s="7" t="s">
        <v>121</v>
      </c>
      <c r="E18" s="7" t="s">
        <v>122</v>
      </c>
      <c r="F18" s="8" t="s">
        <v>1013</v>
      </c>
      <c r="G18" s="8" t="s">
        <v>1014</v>
      </c>
      <c r="H18" s="7" t="s">
        <v>865</v>
      </c>
      <c r="I18" s="8" t="s">
        <v>880</v>
      </c>
      <c r="J18" s="8" t="s">
        <v>1015</v>
      </c>
      <c r="K18" s="8" t="s">
        <v>1375</v>
      </c>
      <c r="L18" s="8" t="s">
        <v>1375</v>
      </c>
      <c r="M18" s="7" t="s">
        <v>128</v>
      </c>
      <c r="N18" s="7" t="s">
        <v>1016</v>
      </c>
      <c r="O18" s="8">
        <v>1119900733018</v>
      </c>
      <c r="P18" s="8" t="s">
        <v>1017</v>
      </c>
      <c r="Q18" s="8"/>
      <c r="R18" s="8" t="s">
        <v>1018</v>
      </c>
      <c r="S18" s="7">
        <v>12999</v>
      </c>
      <c r="T18" s="9" t="s">
        <v>1387</v>
      </c>
      <c r="U18" s="7">
        <v>11582</v>
      </c>
      <c r="V18" s="9" t="s">
        <v>1379</v>
      </c>
      <c r="W18" s="12">
        <v>43865</v>
      </c>
      <c r="X18" s="7">
        <v>6.04</v>
      </c>
      <c r="Y18" s="7">
        <v>6</v>
      </c>
      <c r="Z18" s="7">
        <v>4</v>
      </c>
      <c r="AA18" s="12">
        <v>35735</v>
      </c>
      <c r="AB18" s="7">
        <v>28.08</v>
      </c>
      <c r="AC18" s="7">
        <v>28</v>
      </c>
      <c r="AD18" s="7">
        <v>8</v>
      </c>
      <c r="AE18" s="7">
        <v>3.73</v>
      </c>
      <c r="AF18" s="7">
        <v>2561</v>
      </c>
      <c r="AG18" s="8" t="s">
        <v>1019</v>
      </c>
      <c r="AH18" s="7" t="s">
        <v>135</v>
      </c>
      <c r="AI18" s="7">
        <v>13760</v>
      </c>
      <c r="AJ18" s="8"/>
    </row>
    <row r="19" spans="1:36" ht="18.600000000000001" x14ac:dyDescent="0.55000000000000004">
      <c r="A19" s="7">
        <v>18</v>
      </c>
      <c r="B19" s="7" t="s">
        <v>923</v>
      </c>
      <c r="C19" s="7" t="s">
        <v>1020</v>
      </c>
      <c r="D19" s="7" t="s">
        <v>121</v>
      </c>
      <c r="E19" s="7" t="s">
        <v>138</v>
      </c>
      <c r="F19" s="8" t="s">
        <v>1021</v>
      </c>
      <c r="G19" s="8" t="s">
        <v>1022</v>
      </c>
      <c r="H19" s="7" t="s">
        <v>865</v>
      </c>
      <c r="I19" s="8" t="s">
        <v>866</v>
      </c>
      <c r="J19" s="8" t="s">
        <v>902</v>
      </c>
      <c r="K19" s="8" t="s">
        <v>927</v>
      </c>
      <c r="L19" s="8" t="s">
        <v>928</v>
      </c>
      <c r="M19" s="7" t="s">
        <v>128</v>
      </c>
      <c r="N19" s="7" t="s">
        <v>1023</v>
      </c>
      <c r="O19" s="8">
        <v>1629900386607</v>
      </c>
      <c r="P19" s="8" t="s">
        <v>1024</v>
      </c>
      <c r="Q19" s="8"/>
      <c r="R19" s="8" t="s">
        <v>1025</v>
      </c>
      <c r="S19" s="7">
        <v>10894</v>
      </c>
      <c r="T19" s="9" t="s">
        <v>932</v>
      </c>
      <c r="U19" s="7">
        <v>11285</v>
      </c>
      <c r="V19" s="9" t="s">
        <v>933</v>
      </c>
      <c r="W19" s="12">
        <v>44179</v>
      </c>
      <c r="X19" s="7">
        <v>5.0599999999999996</v>
      </c>
      <c r="Y19" s="7">
        <v>5</v>
      </c>
      <c r="Z19" s="7">
        <v>6</v>
      </c>
      <c r="AA19" s="12">
        <v>35242</v>
      </c>
      <c r="AB19" s="7">
        <v>30</v>
      </c>
      <c r="AC19" s="7">
        <v>30</v>
      </c>
      <c r="AD19" s="7">
        <v>0</v>
      </c>
      <c r="AE19" s="7">
        <v>3</v>
      </c>
      <c r="AF19" s="7">
        <v>2558</v>
      </c>
      <c r="AG19" s="8" t="s">
        <v>1026</v>
      </c>
      <c r="AH19" s="7" t="s">
        <v>151</v>
      </c>
      <c r="AI19" s="7">
        <v>12660</v>
      </c>
      <c r="AJ19" s="8"/>
    </row>
    <row r="20" spans="1:36" ht="18.600000000000001" x14ac:dyDescent="0.55000000000000004">
      <c r="A20" s="7">
        <v>19</v>
      </c>
      <c r="B20" s="7" t="s">
        <v>1027</v>
      </c>
      <c r="C20" s="7" t="s">
        <v>1028</v>
      </c>
      <c r="D20" s="7" t="s">
        <v>121</v>
      </c>
      <c r="E20" s="7" t="s">
        <v>138</v>
      </c>
      <c r="F20" s="8" t="s">
        <v>1029</v>
      </c>
      <c r="G20" s="8" t="s">
        <v>1030</v>
      </c>
      <c r="H20" s="7" t="s">
        <v>865</v>
      </c>
      <c r="I20" s="8" t="s">
        <v>866</v>
      </c>
      <c r="J20" s="8" t="s">
        <v>867</v>
      </c>
      <c r="K20" s="8" t="s">
        <v>1031</v>
      </c>
      <c r="L20" s="8" t="s">
        <v>1032</v>
      </c>
      <c r="M20" s="7" t="s">
        <v>128</v>
      </c>
      <c r="N20" s="7" t="s">
        <v>1033</v>
      </c>
      <c r="O20" s="8">
        <v>1469900377596</v>
      </c>
      <c r="P20" s="8" t="s">
        <v>1034</v>
      </c>
      <c r="Q20" s="8"/>
      <c r="R20" s="8" t="s">
        <v>1035</v>
      </c>
      <c r="S20" s="7">
        <v>11082</v>
      </c>
      <c r="T20" s="9" t="s">
        <v>1036</v>
      </c>
      <c r="U20" s="7">
        <v>12199</v>
      </c>
      <c r="V20" s="9" t="s">
        <v>1037</v>
      </c>
      <c r="W20" s="12">
        <v>44203</v>
      </c>
      <c r="X20" s="7">
        <v>5.05</v>
      </c>
      <c r="Y20" s="7">
        <v>5</v>
      </c>
      <c r="Z20" s="7">
        <v>5</v>
      </c>
      <c r="AA20" s="12">
        <v>35504</v>
      </c>
      <c r="AB20" s="7">
        <v>29.03</v>
      </c>
      <c r="AC20" s="7">
        <v>29</v>
      </c>
      <c r="AD20" s="7">
        <v>3</v>
      </c>
      <c r="AE20" s="7">
        <v>2.2799999999999998</v>
      </c>
      <c r="AF20" s="7">
        <v>2559</v>
      </c>
      <c r="AG20" s="8" t="s">
        <v>1038</v>
      </c>
      <c r="AH20" s="7" t="s">
        <v>151</v>
      </c>
      <c r="AI20" s="7">
        <v>12680</v>
      </c>
      <c r="AJ20" s="8"/>
    </row>
    <row r="21" spans="1:36" ht="18.600000000000001" x14ac:dyDescent="0.55000000000000004">
      <c r="A21" s="7">
        <v>20</v>
      </c>
      <c r="B21" s="7" t="s">
        <v>1039</v>
      </c>
      <c r="C21" s="7" t="s">
        <v>1040</v>
      </c>
      <c r="D21" s="7" t="s">
        <v>121</v>
      </c>
      <c r="E21" s="7" t="s">
        <v>138</v>
      </c>
      <c r="F21" s="8" t="s">
        <v>1041</v>
      </c>
      <c r="G21" s="8" t="s">
        <v>1042</v>
      </c>
      <c r="H21" s="7" t="s">
        <v>865</v>
      </c>
      <c r="I21" s="8" t="s">
        <v>866</v>
      </c>
      <c r="J21" s="8" t="s">
        <v>902</v>
      </c>
      <c r="K21" s="8" t="s">
        <v>952</v>
      </c>
      <c r="L21" s="8" t="s">
        <v>1043</v>
      </c>
      <c r="M21" s="7" t="s">
        <v>128</v>
      </c>
      <c r="N21" s="7" t="s">
        <v>1044</v>
      </c>
      <c r="O21" s="8">
        <v>1640600282212</v>
      </c>
      <c r="P21" s="8" t="s">
        <v>1045</v>
      </c>
      <c r="Q21" s="8"/>
      <c r="R21" s="8" t="s">
        <v>1046</v>
      </c>
      <c r="S21" s="7">
        <v>10975</v>
      </c>
      <c r="T21" s="9" t="s">
        <v>957</v>
      </c>
      <c r="U21" s="7">
        <v>15513</v>
      </c>
      <c r="V21" s="9" t="s">
        <v>958</v>
      </c>
      <c r="W21" s="12">
        <v>44204</v>
      </c>
      <c r="X21" s="7">
        <v>5.05</v>
      </c>
      <c r="Y21" s="7">
        <v>5</v>
      </c>
      <c r="Z21" s="7">
        <v>5</v>
      </c>
      <c r="AA21" s="12">
        <v>35969</v>
      </c>
      <c r="AB21" s="7">
        <v>28</v>
      </c>
      <c r="AC21" s="7">
        <v>28</v>
      </c>
      <c r="AD21" s="7">
        <v>0</v>
      </c>
      <c r="AE21" s="7">
        <v>3.41</v>
      </c>
      <c r="AF21" s="7">
        <v>2560</v>
      </c>
      <c r="AG21" s="8" t="s">
        <v>1047</v>
      </c>
      <c r="AH21" s="7" t="s">
        <v>258</v>
      </c>
      <c r="AI21" s="7">
        <v>12300</v>
      </c>
      <c r="AJ21" s="8"/>
    </row>
    <row r="22" spans="1:36" ht="18.600000000000001" x14ac:dyDescent="0.55000000000000004">
      <c r="A22" s="7">
        <v>21</v>
      </c>
      <c r="B22" s="7" t="s">
        <v>1048</v>
      </c>
      <c r="C22" s="7" t="s">
        <v>1049</v>
      </c>
      <c r="D22" s="7" t="s">
        <v>121</v>
      </c>
      <c r="E22" s="7" t="s">
        <v>138</v>
      </c>
      <c r="F22" s="8" t="s">
        <v>1050</v>
      </c>
      <c r="G22" s="8" t="s">
        <v>1051</v>
      </c>
      <c r="H22" s="7" t="s">
        <v>865</v>
      </c>
      <c r="I22" s="8" t="s">
        <v>866</v>
      </c>
      <c r="J22" s="8" t="s">
        <v>915</v>
      </c>
      <c r="K22" s="8" t="s">
        <v>1052</v>
      </c>
      <c r="L22" s="8" t="s">
        <v>1053</v>
      </c>
      <c r="M22" s="7" t="s">
        <v>128</v>
      </c>
      <c r="N22" s="7" t="s">
        <v>1054</v>
      </c>
      <c r="O22" s="8">
        <v>2309700021606</v>
      </c>
      <c r="P22" s="8" t="s">
        <v>1055</v>
      </c>
      <c r="Q22" s="8"/>
      <c r="R22" s="8" t="s">
        <v>1056</v>
      </c>
      <c r="S22" s="7">
        <v>12032</v>
      </c>
      <c r="T22" s="9" t="s">
        <v>1057</v>
      </c>
      <c r="U22" s="7">
        <v>10729</v>
      </c>
      <c r="V22" s="9" t="s">
        <v>1058</v>
      </c>
      <c r="W22" s="12">
        <v>44244</v>
      </c>
      <c r="X22" s="7">
        <v>5.04</v>
      </c>
      <c r="Y22" s="7">
        <v>5</v>
      </c>
      <c r="Z22" s="7">
        <v>4</v>
      </c>
      <c r="AA22" s="12">
        <v>35363</v>
      </c>
      <c r="AB22" s="7">
        <v>29.08</v>
      </c>
      <c r="AC22" s="7">
        <v>29</v>
      </c>
      <c r="AD22" s="7">
        <v>8</v>
      </c>
      <c r="AE22" s="7">
        <v>2.0699999999999998</v>
      </c>
      <c r="AF22" s="7">
        <v>2563</v>
      </c>
      <c r="AG22" s="8" t="s">
        <v>1059</v>
      </c>
      <c r="AH22" s="7" t="s">
        <v>151</v>
      </c>
      <c r="AI22" s="7">
        <v>12600</v>
      </c>
      <c r="AJ22" s="8"/>
    </row>
    <row r="23" spans="1:36" ht="18.600000000000001" x14ac:dyDescent="0.55000000000000004">
      <c r="A23" s="7">
        <v>22</v>
      </c>
      <c r="B23" s="7" t="s">
        <v>983</v>
      </c>
      <c r="C23" s="7" t="s">
        <v>1060</v>
      </c>
      <c r="D23" s="7" t="s">
        <v>121</v>
      </c>
      <c r="E23" s="7" t="s">
        <v>138</v>
      </c>
      <c r="F23" s="8" t="s">
        <v>1061</v>
      </c>
      <c r="G23" s="8" t="s">
        <v>1062</v>
      </c>
      <c r="H23" s="7" t="s">
        <v>865</v>
      </c>
      <c r="I23" s="8" t="s">
        <v>866</v>
      </c>
      <c r="J23" s="8" t="s">
        <v>867</v>
      </c>
      <c r="K23" s="8" t="s">
        <v>1830</v>
      </c>
      <c r="L23" s="8" t="s">
        <v>1837</v>
      </c>
      <c r="M23" s="7" t="s">
        <v>128</v>
      </c>
      <c r="N23" s="7" t="s">
        <v>1063</v>
      </c>
      <c r="O23" s="8">
        <v>1269900203611</v>
      </c>
      <c r="P23" s="8" t="s">
        <v>1064</v>
      </c>
      <c r="Q23" s="8"/>
      <c r="R23" s="8" t="s">
        <v>1065</v>
      </c>
      <c r="S23" s="7">
        <v>11000</v>
      </c>
      <c r="T23" s="9" t="s">
        <v>991</v>
      </c>
      <c r="U23" s="7">
        <v>14627</v>
      </c>
      <c r="V23" s="9" t="s">
        <v>874</v>
      </c>
      <c r="W23" s="12">
        <v>44287</v>
      </c>
      <c r="X23" s="7">
        <v>5.03</v>
      </c>
      <c r="Y23" s="7">
        <v>5</v>
      </c>
      <c r="Z23" s="7">
        <v>3</v>
      </c>
      <c r="AA23" s="12">
        <v>34727</v>
      </c>
      <c r="AB23" s="7">
        <v>31.05</v>
      </c>
      <c r="AC23" s="7">
        <v>31</v>
      </c>
      <c r="AD23" s="7">
        <v>5</v>
      </c>
      <c r="AE23" s="7">
        <v>3.5</v>
      </c>
      <c r="AF23" s="7">
        <v>2565</v>
      </c>
      <c r="AG23" s="8" t="s">
        <v>1066</v>
      </c>
      <c r="AH23" s="7" t="s">
        <v>135</v>
      </c>
      <c r="AI23" s="7">
        <v>12550</v>
      </c>
      <c r="AJ23" s="8"/>
    </row>
    <row r="24" spans="1:36" ht="18.600000000000001" x14ac:dyDescent="0.55000000000000004">
      <c r="A24" s="7">
        <v>23</v>
      </c>
      <c r="B24" s="7" t="s">
        <v>1834</v>
      </c>
      <c r="C24" s="7" t="s">
        <v>1067</v>
      </c>
      <c r="D24" s="7" t="s">
        <v>121</v>
      </c>
      <c r="E24" s="7" t="s">
        <v>138</v>
      </c>
      <c r="F24" s="8" t="s">
        <v>1068</v>
      </c>
      <c r="G24" s="8" t="s">
        <v>1069</v>
      </c>
      <c r="H24" s="7" t="s">
        <v>865</v>
      </c>
      <c r="I24" s="8" t="s">
        <v>12</v>
      </c>
      <c r="J24" s="8" t="s">
        <v>18</v>
      </c>
      <c r="K24" s="8" t="s">
        <v>17</v>
      </c>
      <c r="L24" s="8" t="s">
        <v>17</v>
      </c>
      <c r="M24" s="7" t="s">
        <v>128</v>
      </c>
      <c r="N24" s="7" t="s">
        <v>524</v>
      </c>
      <c r="O24" s="8">
        <v>1360500241380</v>
      </c>
      <c r="P24" s="8" t="s">
        <v>1070</v>
      </c>
      <c r="Q24" s="8"/>
      <c r="R24" s="8" t="s">
        <v>1071</v>
      </c>
      <c r="S24" s="7">
        <v>14727</v>
      </c>
      <c r="T24" s="9" t="s">
        <v>1838</v>
      </c>
      <c r="U24" s="7">
        <v>10950</v>
      </c>
      <c r="V24" s="9" t="s">
        <v>1836</v>
      </c>
      <c r="W24" s="12">
        <v>44357</v>
      </c>
      <c r="X24" s="7">
        <v>5</v>
      </c>
      <c r="Y24" s="7">
        <v>5</v>
      </c>
      <c r="Z24" s="7">
        <v>0</v>
      </c>
      <c r="AA24" s="12">
        <v>35408</v>
      </c>
      <c r="AB24" s="7">
        <v>29.06</v>
      </c>
      <c r="AC24" s="7">
        <v>29</v>
      </c>
      <c r="AD24" s="7">
        <v>6</v>
      </c>
      <c r="AE24" s="7">
        <v>3.15</v>
      </c>
      <c r="AF24" s="7">
        <v>2557</v>
      </c>
      <c r="AG24" s="8" t="s">
        <v>1072</v>
      </c>
      <c r="AH24" s="7" t="s">
        <v>151</v>
      </c>
      <c r="AI24" s="7">
        <v>12390</v>
      </c>
      <c r="AJ24" s="8"/>
    </row>
    <row r="25" spans="1:36" ht="18.600000000000001" x14ac:dyDescent="0.55000000000000004">
      <c r="A25" s="7">
        <v>24</v>
      </c>
      <c r="B25" s="7" t="s">
        <v>1073</v>
      </c>
      <c r="C25" s="7" t="s">
        <v>1074</v>
      </c>
      <c r="D25" s="7" t="s">
        <v>121</v>
      </c>
      <c r="E25" s="7" t="s">
        <v>138</v>
      </c>
      <c r="F25" s="8" t="s">
        <v>1075</v>
      </c>
      <c r="G25" s="8" t="s">
        <v>1076</v>
      </c>
      <c r="H25" s="7" t="s">
        <v>865</v>
      </c>
      <c r="I25" s="8" t="s">
        <v>866</v>
      </c>
      <c r="J25" s="8" t="s">
        <v>902</v>
      </c>
      <c r="K25" s="8" t="s">
        <v>903</v>
      </c>
      <c r="L25" s="8" t="s">
        <v>1077</v>
      </c>
      <c r="M25" s="7" t="s">
        <v>128</v>
      </c>
      <c r="N25" s="7" t="s">
        <v>1078</v>
      </c>
      <c r="O25" s="8">
        <v>1749800250427</v>
      </c>
      <c r="P25" s="8" t="s">
        <v>1079</v>
      </c>
      <c r="Q25" s="8"/>
      <c r="R25" s="8" t="s">
        <v>1080</v>
      </c>
      <c r="S25" s="7">
        <v>12054</v>
      </c>
      <c r="T25" s="9" t="s">
        <v>908</v>
      </c>
      <c r="U25" s="7">
        <v>12306</v>
      </c>
      <c r="V25" s="9" t="s">
        <v>909</v>
      </c>
      <c r="W25" s="12">
        <v>44578</v>
      </c>
      <c r="X25" s="7">
        <v>4.05</v>
      </c>
      <c r="Y25" s="7">
        <v>4</v>
      </c>
      <c r="Z25" s="7">
        <v>5</v>
      </c>
      <c r="AA25" s="12">
        <v>36482</v>
      </c>
      <c r="AB25" s="7">
        <v>26.07</v>
      </c>
      <c r="AC25" s="7">
        <v>26</v>
      </c>
      <c r="AD25" s="7">
        <v>7</v>
      </c>
      <c r="AE25" s="7">
        <v>3.22</v>
      </c>
      <c r="AF25" s="7">
        <v>2563</v>
      </c>
      <c r="AG25" s="8" t="s">
        <v>780</v>
      </c>
      <c r="AH25" s="7" t="s">
        <v>135</v>
      </c>
      <c r="AI25" s="7">
        <v>13140</v>
      </c>
      <c r="AJ25" s="8"/>
    </row>
    <row r="26" spans="1:36" ht="18.600000000000001" x14ac:dyDescent="0.55000000000000004">
      <c r="A26" s="7">
        <v>25</v>
      </c>
      <c r="B26" s="7" t="s">
        <v>974</v>
      </c>
      <c r="C26" s="7" t="s">
        <v>1081</v>
      </c>
      <c r="D26" s="7" t="s">
        <v>121</v>
      </c>
      <c r="E26" s="7" t="s">
        <v>138</v>
      </c>
      <c r="F26" s="8" t="s">
        <v>1082</v>
      </c>
      <c r="G26" s="8" t="s">
        <v>1083</v>
      </c>
      <c r="H26" s="7" t="s">
        <v>865</v>
      </c>
      <c r="I26" s="8" t="s">
        <v>866</v>
      </c>
      <c r="J26" s="8" t="s">
        <v>902</v>
      </c>
      <c r="K26" s="8" t="s">
        <v>952</v>
      </c>
      <c r="L26" s="8" t="s">
        <v>978</v>
      </c>
      <c r="M26" s="7" t="s">
        <v>128</v>
      </c>
      <c r="N26" s="7" t="s">
        <v>1084</v>
      </c>
      <c r="O26" s="8">
        <v>1460300207501</v>
      </c>
      <c r="P26" s="8" t="s">
        <v>1085</v>
      </c>
      <c r="Q26" s="8"/>
      <c r="R26" s="8" t="s">
        <v>1086</v>
      </c>
      <c r="S26" s="7">
        <v>10975</v>
      </c>
      <c r="T26" s="9" t="s">
        <v>957</v>
      </c>
      <c r="U26" s="7">
        <v>15513</v>
      </c>
      <c r="V26" s="9" t="s">
        <v>958</v>
      </c>
      <c r="W26" s="12">
        <v>44578</v>
      </c>
      <c r="X26" s="7">
        <v>4.05</v>
      </c>
      <c r="Y26" s="7">
        <v>4</v>
      </c>
      <c r="Z26" s="7">
        <v>5</v>
      </c>
      <c r="AA26" s="12">
        <v>35732</v>
      </c>
      <c r="AB26" s="7">
        <v>28.08</v>
      </c>
      <c r="AC26" s="7">
        <v>28</v>
      </c>
      <c r="AD26" s="7">
        <v>8</v>
      </c>
      <c r="AE26" s="7">
        <v>2.4700000000000002</v>
      </c>
      <c r="AF26" s="7">
        <v>2559</v>
      </c>
      <c r="AG26" s="8" t="s">
        <v>1087</v>
      </c>
      <c r="AH26" s="7" t="s">
        <v>151</v>
      </c>
      <c r="AI26" s="7">
        <v>12310</v>
      </c>
      <c r="AJ26" s="8"/>
    </row>
    <row r="27" spans="1:36" ht="18.600000000000001" x14ac:dyDescent="0.55000000000000004">
      <c r="A27" s="7">
        <v>26</v>
      </c>
      <c r="B27" s="7" t="s">
        <v>974</v>
      </c>
      <c r="C27" s="7" t="s">
        <v>1090</v>
      </c>
      <c r="D27" s="7" t="s">
        <v>121</v>
      </c>
      <c r="E27" s="7" t="s">
        <v>138</v>
      </c>
      <c r="F27" s="8" t="s">
        <v>1091</v>
      </c>
      <c r="G27" s="8" t="s">
        <v>1092</v>
      </c>
      <c r="H27" s="7" t="s">
        <v>865</v>
      </c>
      <c r="I27" s="8" t="s">
        <v>866</v>
      </c>
      <c r="J27" s="8" t="s">
        <v>902</v>
      </c>
      <c r="K27" s="8" t="s">
        <v>952</v>
      </c>
      <c r="L27" s="8" t="s">
        <v>978</v>
      </c>
      <c r="M27" s="7" t="s">
        <v>128</v>
      </c>
      <c r="N27" s="7" t="s">
        <v>1093</v>
      </c>
      <c r="O27" s="8">
        <v>1640600247689</v>
      </c>
      <c r="P27" s="8" t="s">
        <v>1094</v>
      </c>
      <c r="Q27" s="8"/>
      <c r="R27" s="8" t="s">
        <v>1095</v>
      </c>
      <c r="S27" s="7">
        <v>10975</v>
      </c>
      <c r="T27" s="9" t="s">
        <v>957</v>
      </c>
      <c r="U27" s="7">
        <v>15513</v>
      </c>
      <c r="V27" s="9" t="s">
        <v>958</v>
      </c>
      <c r="W27" s="12">
        <v>44599</v>
      </c>
      <c r="X27" s="7">
        <v>4.04</v>
      </c>
      <c r="Y27" s="7">
        <v>4</v>
      </c>
      <c r="Z27" s="7">
        <v>4</v>
      </c>
      <c r="AA27" s="12">
        <v>35274</v>
      </c>
      <c r="AB27" s="7">
        <v>29.11</v>
      </c>
      <c r="AC27" s="7">
        <v>29</v>
      </c>
      <c r="AD27" s="7">
        <v>11</v>
      </c>
      <c r="AE27" s="7">
        <v>2.5099999999999998</v>
      </c>
      <c r="AF27" s="7">
        <v>2557</v>
      </c>
      <c r="AG27" s="8" t="s">
        <v>1096</v>
      </c>
      <c r="AH27" s="7" t="s">
        <v>151</v>
      </c>
      <c r="AI27" s="7">
        <v>12300</v>
      </c>
      <c r="AJ27" s="8"/>
    </row>
    <row r="28" spans="1:36" ht="18.600000000000001" x14ac:dyDescent="0.55000000000000004">
      <c r="A28" s="7">
        <v>27</v>
      </c>
      <c r="B28" s="7" t="s">
        <v>1097</v>
      </c>
      <c r="C28" s="7" t="s">
        <v>1098</v>
      </c>
      <c r="D28" s="7" t="s">
        <v>121</v>
      </c>
      <c r="E28" s="7" t="s">
        <v>138</v>
      </c>
      <c r="F28" s="8" t="s">
        <v>1099</v>
      </c>
      <c r="G28" s="8" t="s">
        <v>1100</v>
      </c>
      <c r="H28" s="7" t="s">
        <v>865</v>
      </c>
      <c r="I28" s="8" t="s">
        <v>866</v>
      </c>
      <c r="J28" s="8" t="s">
        <v>915</v>
      </c>
      <c r="K28" s="8" t="s">
        <v>1101</v>
      </c>
      <c r="L28" s="8" t="s">
        <v>1101</v>
      </c>
      <c r="M28" s="7" t="s">
        <v>128</v>
      </c>
      <c r="N28" s="7" t="s">
        <v>1102</v>
      </c>
      <c r="O28" s="8">
        <v>1331700015015</v>
      </c>
      <c r="P28" s="8" t="s">
        <v>1103</v>
      </c>
      <c r="Q28" s="8"/>
      <c r="R28" s="8" t="s">
        <v>1104</v>
      </c>
      <c r="S28" s="7">
        <v>12023</v>
      </c>
      <c r="T28" s="9" t="s">
        <v>1105</v>
      </c>
      <c r="U28" s="7">
        <v>0</v>
      </c>
      <c r="V28" s="9">
        <v>0</v>
      </c>
      <c r="W28" s="12">
        <v>44606</v>
      </c>
      <c r="X28" s="7">
        <v>4.04</v>
      </c>
      <c r="Y28" s="7">
        <v>4</v>
      </c>
      <c r="Z28" s="7">
        <v>4</v>
      </c>
      <c r="AA28" s="12">
        <v>33968</v>
      </c>
      <c r="AB28" s="7">
        <v>33.06</v>
      </c>
      <c r="AC28" s="7">
        <v>33</v>
      </c>
      <c r="AD28" s="7">
        <v>6</v>
      </c>
      <c r="AE28" s="7">
        <v>3.42</v>
      </c>
      <c r="AF28" s="7">
        <v>2554</v>
      </c>
      <c r="AG28" s="8" t="s">
        <v>1106</v>
      </c>
      <c r="AH28" s="7" t="s">
        <v>258</v>
      </c>
      <c r="AI28" s="7">
        <v>12300</v>
      </c>
      <c r="AJ28" s="8"/>
    </row>
    <row r="29" spans="1:36" ht="18.600000000000001" x14ac:dyDescent="0.55000000000000004">
      <c r="A29" s="7">
        <v>28</v>
      </c>
      <c r="B29" s="7" t="s">
        <v>1097</v>
      </c>
      <c r="C29" s="7" t="s">
        <v>1107</v>
      </c>
      <c r="D29" s="7" t="s">
        <v>121</v>
      </c>
      <c r="E29" s="7" t="s">
        <v>138</v>
      </c>
      <c r="F29" s="8" t="s">
        <v>1108</v>
      </c>
      <c r="G29" s="8" t="s">
        <v>1109</v>
      </c>
      <c r="H29" s="7" t="s">
        <v>865</v>
      </c>
      <c r="I29" s="8" t="s">
        <v>866</v>
      </c>
      <c r="J29" s="8" t="s">
        <v>915</v>
      </c>
      <c r="K29" s="8" t="s">
        <v>1101</v>
      </c>
      <c r="L29" s="8" t="s">
        <v>1101</v>
      </c>
      <c r="M29" s="7" t="s">
        <v>128</v>
      </c>
      <c r="N29" s="7" t="s">
        <v>1110</v>
      </c>
      <c r="O29" s="8">
        <v>1320700295874</v>
      </c>
      <c r="P29" s="8" t="s">
        <v>1111</v>
      </c>
      <c r="Q29" s="8"/>
      <c r="R29" s="8" t="s">
        <v>1112</v>
      </c>
      <c r="S29" s="7">
        <v>12023</v>
      </c>
      <c r="T29" s="9" t="s">
        <v>1105</v>
      </c>
      <c r="U29" s="7">
        <v>0</v>
      </c>
      <c r="V29" s="9">
        <v>0</v>
      </c>
      <c r="W29" s="12">
        <v>44606</v>
      </c>
      <c r="X29" s="7">
        <v>4.04</v>
      </c>
      <c r="Y29" s="7">
        <v>4</v>
      </c>
      <c r="Z29" s="7">
        <v>4</v>
      </c>
      <c r="AA29" s="12">
        <v>36038</v>
      </c>
      <c r="AB29" s="7">
        <v>27.1</v>
      </c>
      <c r="AC29" s="7">
        <v>27</v>
      </c>
      <c r="AD29" s="7">
        <v>10</v>
      </c>
      <c r="AE29" s="7">
        <v>2.87</v>
      </c>
      <c r="AF29" s="7">
        <v>2562</v>
      </c>
      <c r="AG29" s="8" t="s">
        <v>1113</v>
      </c>
      <c r="AH29" s="7" t="s">
        <v>151</v>
      </c>
      <c r="AI29" s="7">
        <v>12160</v>
      </c>
      <c r="AJ29" s="8"/>
    </row>
    <row r="30" spans="1:36" ht="18.600000000000001" x14ac:dyDescent="0.55000000000000004">
      <c r="A30" s="7">
        <v>29</v>
      </c>
      <c r="B30" s="7" t="s">
        <v>1048</v>
      </c>
      <c r="C30" s="7" t="s">
        <v>1114</v>
      </c>
      <c r="D30" s="7" t="s">
        <v>121</v>
      </c>
      <c r="E30" s="7" t="s">
        <v>138</v>
      </c>
      <c r="F30" s="8" t="s">
        <v>1115</v>
      </c>
      <c r="G30" s="8" t="s">
        <v>1116</v>
      </c>
      <c r="H30" s="7" t="s">
        <v>865</v>
      </c>
      <c r="I30" s="8" t="s">
        <v>866</v>
      </c>
      <c r="J30" s="8" t="s">
        <v>915</v>
      </c>
      <c r="K30" s="8" t="s">
        <v>1052</v>
      </c>
      <c r="L30" s="8" t="s">
        <v>1053</v>
      </c>
      <c r="M30" s="7" t="s">
        <v>128</v>
      </c>
      <c r="N30" s="7" t="s">
        <v>1117</v>
      </c>
      <c r="O30" s="8">
        <v>1440600247389</v>
      </c>
      <c r="P30" s="8" t="s">
        <v>1118</v>
      </c>
      <c r="Q30" s="8"/>
      <c r="R30" s="8" t="s">
        <v>1119</v>
      </c>
      <c r="S30" s="7">
        <v>12032</v>
      </c>
      <c r="T30" s="9" t="s">
        <v>1057</v>
      </c>
      <c r="U30" s="7">
        <v>10729</v>
      </c>
      <c r="V30" s="9" t="s">
        <v>1058</v>
      </c>
      <c r="W30" s="12">
        <v>44606</v>
      </c>
      <c r="X30" s="7">
        <v>4.04</v>
      </c>
      <c r="Y30" s="7">
        <v>4</v>
      </c>
      <c r="Z30" s="7">
        <v>4</v>
      </c>
      <c r="AA30" s="12">
        <v>35457</v>
      </c>
      <c r="AB30" s="7">
        <v>29.05</v>
      </c>
      <c r="AC30" s="7">
        <v>29</v>
      </c>
      <c r="AD30" s="7">
        <v>5</v>
      </c>
      <c r="AE30" s="7">
        <v>1.77</v>
      </c>
      <c r="AF30" s="7">
        <v>2558</v>
      </c>
      <c r="AG30" s="8" t="s">
        <v>1120</v>
      </c>
      <c r="AH30" s="7" t="s">
        <v>151</v>
      </c>
      <c r="AI30" s="7">
        <v>12250</v>
      </c>
      <c r="AJ30" s="8"/>
    </row>
    <row r="31" spans="1:36" ht="18.600000000000001" x14ac:dyDescent="0.55000000000000004">
      <c r="A31" s="7">
        <v>30</v>
      </c>
      <c r="B31" s="7" t="s">
        <v>1121</v>
      </c>
      <c r="C31" s="7" t="s">
        <v>1122</v>
      </c>
      <c r="D31" s="7" t="s">
        <v>121</v>
      </c>
      <c r="E31" s="7" t="s">
        <v>138</v>
      </c>
      <c r="F31" s="8" t="s">
        <v>1123</v>
      </c>
      <c r="G31" s="8" t="s">
        <v>1124</v>
      </c>
      <c r="H31" s="7" t="s">
        <v>865</v>
      </c>
      <c r="I31" s="8" t="s">
        <v>866</v>
      </c>
      <c r="J31" s="8" t="s">
        <v>902</v>
      </c>
      <c r="K31" s="8" t="s">
        <v>927</v>
      </c>
      <c r="L31" s="8" t="s">
        <v>1125</v>
      </c>
      <c r="M31" s="7" t="s">
        <v>128</v>
      </c>
      <c r="N31" s="7" t="s">
        <v>1126</v>
      </c>
      <c r="O31" s="8">
        <v>1309801326544</v>
      </c>
      <c r="P31" s="8" t="s">
        <v>1127</v>
      </c>
      <c r="Q31" s="8"/>
      <c r="R31" s="8" t="s">
        <v>1128</v>
      </c>
      <c r="S31" s="7">
        <v>10894</v>
      </c>
      <c r="T31" s="9" t="s">
        <v>932</v>
      </c>
      <c r="U31" s="7">
        <v>11285</v>
      </c>
      <c r="V31" s="9" t="s">
        <v>933</v>
      </c>
      <c r="W31" s="12">
        <v>44606</v>
      </c>
      <c r="X31" s="7">
        <v>4.04</v>
      </c>
      <c r="Y31" s="7">
        <v>4</v>
      </c>
      <c r="Z31" s="7">
        <v>4</v>
      </c>
      <c r="AA31" s="12">
        <v>36011</v>
      </c>
      <c r="AB31" s="7">
        <v>27.1</v>
      </c>
      <c r="AC31" s="7">
        <v>27</v>
      </c>
      <c r="AD31" s="7">
        <v>10</v>
      </c>
      <c r="AE31" s="7">
        <v>2.04</v>
      </c>
      <c r="AF31" s="7">
        <v>2561</v>
      </c>
      <c r="AG31" s="8" t="s">
        <v>1129</v>
      </c>
      <c r="AH31" s="7" t="s">
        <v>151</v>
      </c>
      <c r="AI31" s="7">
        <v>12240</v>
      </c>
      <c r="AJ31" s="8"/>
    </row>
    <row r="32" spans="1:36" ht="18.600000000000001" x14ac:dyDescent="0.55000000000000004">
      <c r="A32" s="7">
        <v>31</v>
      </c>
      <c r="B32" s="7" t="s">
        <v>983</v>
      </c>
      <c r="C32" s="7" t="s">
        <v>1130</v>
      </c>
      <c r="D32" s="7" t="s">
        <v>121</v>
      </c>
      <c r="E32" s="7" t="s">
        <v>138</v>
      </c>
      <c r="F32" s="8" t="s">
        <v>1131</v>
      </c>
      <c r="G32" s="8" t="s">
        <v>1132</v>
      </c>
      <c r="H32" s="7" t="s">
        <v>865</v>
      </c>
      <c r="I32" s="8" t="s">
        <v>866</v>
      </c>
      <c r="J32" s="8" t="s">
        <v>867</v>
      </c>
      <c r="K32" s="8" t="s">
        <v>1830</v>
      </c>
      <c r="L32" s="8" t="s">
        <v>1837</v>
      </c>
      <c r="M32" s="7" t="s">
        <v>128</v>
      </c>
      <c r="N32" s="7" t="s">
        <v>1133</v>
      </c>
      <c r="O32" s="8">
        <v>1401800080446</v>
      </c>
      <c r="P32" s="8" t="s">
        <v>1134</v>
      </c>
      <c r="Q32" s="8"/>
      <c r="R32" s="8" t="s">
        <v>1135</v>
      </c>
      <c r="S32" s="7">
        <v>11000</v>
      </c>
      <c r="T32" s="9" t="s">
        <v>991</v>
      </c>
      <c r="U32" s="7">
        <v>14627</v>
      </c>
      <c r="V32" s="9" t="s">
        <v>874</v>
      </c>
      <c r="W32" s="12">
        <v>44606</v>
      </c>
      <c r="X32" s="7">
        <v>4.04</v>
      </c>
      <c r="Y32" s="7">
        <v>4</v>
      </c>
      <c r="Z32" s="7">
        <v>4</v>
      </c>
      <c r="AA32" s="12">
        <v>36026</v>
      </c>
      <c r="AB32" s="7">
        <v>27.1</v>
      </c>
      <c r="AC32" s="7">
        <v>27</v>
      </c>
      <c r="AD32" s="7">
        <v>10</v>
      </c>
      <c r="AE32" s="7">
        <v>2.77</v>
      </c>
      <c r="AF32" s="7">
        <v>2562</v>
      </c>
      <c r="AG32" s="8" t="s">
        <v>451</v>
      </c>
      <c r="AH32" s="7" t="s">
        <v>135</v>
      </c>
      <c r="AI32" s="7">
        <v>11830</v>
      </c>
      <c r="AJ32" s="8"/>
    </row>
    <row r="33" spans="1:36" ht="18.600000000000001" x14ac:dyDescent="0.55000000000000004">
      <c r="A33" s="7">
        <v>32</v>
      </c>
      <c r="B33" s="7" t="s">
        <v>1136</v>
      </c>
      <c r="C33" s="7" t="s">
        <v>1137</v>
      </c>
      <c r="D33" s="7" t="s">
        <v>121</v>
      </c>
      <c r="E33" s="7" t="s">
        <v>138</v>
      </c>
      <c r="F33" s="8" t="s">
        <v>1138</v>
      </c>
      <c r="G33" s="8" t="s">
        <v>1139</v>
      </c>
      <c r="H33" s="7" t="s">
        <v>865</v>
      </c>
      <c r="I33" s="8" t="s">
        <v>866</v>
      </c>
      <c r="J33" s="8" t="s">
        <v>867</v>
      </c>
      <c r="K33" s="8" t="s">
        <v>1031</v>
      </c>
      <c r="L33" s="8" t="s">
        <v>1140</v>
      </c>
      <c r="M33" s="7" t="s">
        <v>128</v>
      </c>
      <c r="N33" s="7" t="s">
        <v>1141</v>
      </c>
      <c r="O33" s="8">
        <v>1539900437555</v>
      </c>
      <c r="P33" s="8" t="s">
        <v>1142</v>
      </c>
      <c r="Q33" s="8"/>
      <c r="R33" s="8" t="s">
        <v>1143</v>
      </c>
      <c r="S33" s="7">
        <v>11988</v>
      </c>
      <c r="T33" s="9" t="s">
        <v>1839</v>
      </c>
      <c r="U33" s="7">
        <v>12199</v>
      </c>
      <c r="V33" s="9" t="s">
        <v>1037</v>
      </c>
      <c r="W33" s="12">
        <v>44606</v>
      </c>
      <c r="X33" s="7">
        <v>4.04</v>
      </c>
      <c r="Y33" s="7">
        <v>4</v>
      </c>
      <c r="Z33" s="7">
        <v>4</v>
      </c>
      <c r="AA33" s="12">
        <v>34356</v>
      </c>
      <c r="AB33" s="7">
        <v>32.049999999999997</v>
      </c>
      <c r="AC33" s="7">
        <v>32</v>
      </c>
      <c r="AD33" s="7">
        <v>5</v>
      </c>
      <c r="AE33" s="7">
        <v>2.16</v>
      </c>
      <c r="AF33" s="7">
        <v>2556</v>
      </c>
      <c r="AG33" s="8" t="s">
        <v>1144</v>
      </c>
      <c r="AH33" s="7" t="s">
        <v>151</v>
      </c>
      <c r="AI33" s="7">
        <v>12330</v>
      </c>
      <c r="AJ33" s="8"/>
    </row>
    <row r="34" spans="1:36" ht="18.600000000000001" x14ac:dyDescent="0.55000000000000004">
      <c r="A34" s="7">
        <v>33</v>
      </c>
      <c r="B34" s="7" t="s">
        <v>1136</v>
      </c>
      <c r="C34" s="7" t="s">
        <v>1145</v>
      </c>
      <c r="D34" s="7" t="s">
        <v>121</v>
      </c>
      <c r="E34" s="7" t="s">
        <v>138</v>
      </c>
      <c r="F34" s="8" t="s">
        <v>1146</v>
      </c>
      <c r="G34" s="8" t="s">
        <v>1147</v>
      </c>
      <c r="H34" s="7" t="s">
        <v>865</v>
      </c>
      <c r="I34" s="8" t="s">
        <v>866</v>
      </c>
      <c r="J34" s="8" t="s">
        <v>867</v>
      </c>
      <c r="K34" s="8" t="s">
        <v>1031</v>
      </c>
      <c r="L34" s="8" t="s">
        <v>1140</v>
      </c>
      <c r="M34" s="7" t="s">
        <v>128</v>
      </c>
      <c r="N34" s="7" t="s">
        <v>488</v>
      </c>
      <c r="O34" s="8">
        <v>1460800072361</v>
      </c>
      <c r="P34" s="8" t="s">
        <v>1148</v>
      </c>
      <c r="Q34" s="8"/>
      <c r="R34" s="8" t="s">
        <v>1149</v>
      </c>
      <c r="S34" s="7">
        <v>11988</v>
      </c>
      <c r="T34" s="9" t="s">
        <v>1839</v>
      </c>
      <c r="U34" s="7">
        <v>12199</v>
      </c>
      <c r="V34" s="9" t="s">
        <v>1037</v>
      </c>
      <c r="W34" s="12">
        <v>44606</v>
      </c>
      <c r="X34" s="7">
        <v>4.04</v>
      </c>
      <c r="Y34" s="7">
        <v>4</v>
      </c>
      <c r="Z34" s="7">
        <v>4</v>
      </c>
      <c r="AA34" s="12">
        <v>33799</v>
      </c>
      <c r="AB34" s="7">
        <v>33.11</v>
      </c>
      <c r="AC34" s="7">
        <v>33</v>
      </c>
      <c r="AD34" s="7">
        <v>11</v>
      </c>
      <c r="AE34" s="7">
        <v>2.2000000000000002</v>
      </c>
      <c r="AF34" s="7">
        <v>2554</v>
      </c>
      <c r="AG34" s="8" t="s">
        <v>1150</v>
      </c>
      <c r="AH34" s="7" t="s">
        <v>151</v>
      </c>
      <c r="AI34" s="7">
        <v>12150</v>
      </c>
      <c r="AJ34" s="8"/>
    </row>
    <row r="35" spans="1:36" ht="18.600000000000001" x14ac:dyDescent="0.55000000000000004">
      <c r="A35" s="7">
        <v>34</v>
      </c>
      <c r="B35" s="7" t="s">
        <v>1834</v>
      </c>
      <c r="C35" s="7" t="s">
        <v>1151</v>
      </c>
      <c r="D35" s="7" t="s">
        <v>121</v>
      </c>
      <c r="E35" s="7" t="s">
        <v>138</v>
      </c>
      <c r="F35" s="8" t="s">
        <v>1152</v>
      </c>
      <c r="G35" s="8" t="s">
        <v>1153</v>
      </c>
      <c r="H35" s="7" t="s">
        <v>865</v>
      </c>
      <c r="I35" s="8" t="s">
        <v>12</v>
      </c>
      <c r="J35" s="8" t="s">
        <v>18</v>
      </c>
      <c r="K35" s="8" t="s">
        <v>17</v>
      </c>
      <c r="L35" s="8" t="s">
        <v>17</v>
      </c>
      <c r="M35" s="7" t="s">
        <v>128</v>
      </c>
      <c r="N35" s="7" t="s">
        <v>1154</v>
      </c>
      <c r="O35" s="8">
        <v>1379900087424</v>
      </c>
      <c r="P35" s="8" t="s">
        <v>1155</v>
      </c>
      <c r="Q35" s="8"/>
      <c r="R35" s="8" t="s">
        <v>1156</v>
      </c>
      <c r="S35" s="7">
        <v>14727</v>
      </c>
      <c r="T35" s="9" t="s">
        <v>1838</v>
      </c>
      <c r="U35" s="7">
        <v>10950</v>
      </c>
      <c r="V35" s="9" t="s">
        <v>1836</v>
      </c>
      <c r="W35" s="12">
        <v>44606</v>
      </c>
      <c r="X35" s="7">
        <v>4.04</v>
      </c>
      <c r="Y35" s="7">
        <v>4</v>
      </c>
      <c r="Z35" s="7">
        <v>4</v>
      </c>
      <c r="AA35" s="12">
        <v>36044</v>
      </c>
      <c r="AB35" s="7">
        <v>27.09</v>
      </c>
      <c r="AC35" s="7">
        <v>27</v>
      </c>
      <c r="AD35" s="7">
        <v>9</v>
      </c>
      <c r="AE35" s="7">
        <v>2.96</v>
      </c>
      <c r="AF35" s="7">
        <v>2563</v>
      </c>
      <c r="AG35" s="8" t="s">
        <v>1157</v>
      </c>
      <c r="AH35" s="7" t="s">
        <v>135</v>
      </c>
      <c r="AI35" s="7">
        <v>12010</v>
      </c>
      <c r="AJ35" s="8"/>
    </row>
    <row r="36" spans="1:36" ht="18.600000000000001" x14ac:dyDescent="0.55000000000000004">
      <c r="A36" s="7">
        <v>35</v>
      </c>
      <c r="B36" s="7" t="s">
        <v>923</v>
      </c>
      <c r="C36" s="7" t="s">
        <v>1158</v>
      </c>
      <c r="D36" s="7" t="s">
        <v>121</v>
      </c>
      <c r="E36" s="7" t="s">
        <v>138</v>
      </c>
      <c r="F36" s="8" t="s">
        <v>1159</v>
      </c>
      <c r="G36" s="8" t="s">
        <v>1160</v>
      </c>
      <c r="H36" s="7" t="s">
        <v>865</v>
      </c>
      <c r="I36" s="8" t="s">
        <v>866</v>
      </c>
      <c r="J36" s="8" t="s">
        <v>902</v>
      </c>
      <c r="K36" s="8" t="s">
        <v>927</v>
      </c>
      <c r="L36" s="8" t="s">
        <v>928</v>
      </c>
      <c r="M36" s="7" t="s">
        <v>128</v>
      </c>
      <c r="N36" s="7" t="s">
        <v>1161</v>
      </c>
      <c r="O36" s="8">
        <v>1530300065799</v>
      </c>
      <c r="P36" s="8" t="s">
        <v>1162</v>
      </c>
      <c r="Q36" s="8"/>
      <c r="R36" s="8" t="s">
        <v>1163</v>
      </c>
      <c r="S36" s="7">
        <v>10894</v>
      </c>
      <c r="T36" s="9" t="s">
        <v>932</v>
      </c>
      <c r="U36" s="7">
        <v>11285</v>
      </c>
      <c r="V36" s="9" t="s">
        <v>933</v>
      </c>
      <c r="W36" s="12">
        <v>44606</v>
      </c>
      <c r="X36" s="7">
        <v>4.04</v>
      </c>
      <c r="Y36" s="7">
        <v>4</v>
      </c>
      <c r="Z36" s="7">
        <v>4</v>
      </c>
      <c r="AA36" s="12">
        <v>34814</v>
      </c>
      <c r="AB36" s="7">
        <v>31.02</v>
      </c>
      <c r="AC36" s="7">
        <v>31</v>
      </c>
      <c r="AD36" s="7">
        <v>2</v>
      </c>
      <c r="AE36" s="7">
        <v>2.41</v>
      </c>
      <c r="AF36" s="7">
        <v>2558</v>
      </c>
      <c r="AG36" s="8" t="s">
        <v>1164</v>
      </c>
      <c r="AH36" s="7" t="s">
        <v>258</v>
      </c>
      <c r="AI36" s="7">
        <v>12190</v>
      </c>
      <c r="AJ36" s="8"/>
    </row>
    <row r="37" spans="1:36" ht="18.600000000000001" x14ac:dyDescent="0.55000000000000004">
      <c r="A37" s="7">
        <v>36</v>
      </c>
      <c r="B37" s="7" t="s">
        <v>898</v>
      </c>
      <c r="C37" s="7" t="s">
        <v>1165</v>
      </c>
      <c r="D37" s="7" t="s">
        <v>121</v>
      </c>
      <c r="E37" s="7" t="s">
        <v>138</v>
      </c>
      <c r="F37" s="8" t="s">
        <v>1166</v>
      </c>
      <c r="G37" s="8" t="s">
        <v>1167</v>
      </c>
      <c r="H37" s="7" t="s">
        <v>865</v>
      </c>
      <c r="I37" s="8" t="s">
        <v>866</v>
      </c>
      <c r="J37" s="8" t="s">
        <v>902</v>
      </c>
      <c r="K37" s="8" t="s">
        <v>903</v>
      </c>
      <c r="L37" s="8" t="s">
        <v>904</v>
      </c>
      <c r="M37" s="7" t="s">
        <v>128</v>
      </c>
      <c r="N37" s="7" t="s">
        <v>1168</v>
      </c>
      <c r="O37" s="8">
        <v>1139600104457</v>
      </c>
      <c r="P37" s="8" t="s">
        <v>1169</v>
      </c>
      <c r="Q37" s="8"/>
      <c r="R37" s="8" t="s">
        <v>1170</v>
      </c>
      <c r="S37" s="7">
        <v>12054</v>
      </c>
      <c r="T37" s="9" t="s">
        <v>908</v>
      </c>
      <c r="U37" s="7">
        <v>12306</v>
      </c>
      <c r="V37" s="9" t="s">
        <v>909</v>
      </c>
      <c r="W37" s="12">
        <v>44606</v>
      </c>
      <c r="X37" s="7">
        <v>4.04</v>
      </c>
      <c r="Y37" s="7">
        <v>4</v>
      </c>
      <c r="Z37" s="7">
        <v>4</v>
      </c>
      <c r="AA37" s="12">
        <v>36798</v>
      </c>
      <c r="AB37" s="7">
        <v>25.09</v>
      </c>
      <c r="AC37" s="7">
        <v>25</v>
      </c>
      <c r="AD37" s="7">
        <v>9</v>
      </c>
      <c r="AE37" s="7">
        <v>3.35</v>
      </c>
      <c r="AF37" s="7">
        <v>2564</v>
      </c>
      <c r="AG37" s="8" t="s">
        <v>1171</v>
      </c>
      <c r="AH37" s="7" t="s">
        <v>135</v>
      </c>
      <c r="AI37" s="7">
        <v>12370</v>
      </c>
      <c r="AJ37" s="8"/>
    </row>
    <row r="38" spans="1:36" ht="18.600000000000001" x14ac:dyDescent="0.55000000000000004">
      <c r="A38" s="7">
        <v>37</v>
      </c>
      <c r="B38" s="7" t="s">
        <v>1039</v>
      </c>
      <c r="C38" s="7" t="s">
        <v>1172</v>
      </c>
      <c r="D38" s="7" t="s">
        <v>121</v>
      </c>
      <c r="E38" s="7" t="s">
        <v>138</v>
      </c>
      <c r="F38" s="8" t="s">
        <v>1173</v>
      </c>
      <c r="G38" s="8" t="s">
        <v>1174</v>
      </c>
      <c r="H38" s="7" t="s">
        <v>865</v>
      </c>
      <c r="I38" s="8" t="s">
        <v>866</v>
      </c>
      <c r="J38" s="8" t="s">
        <v>902</v>
      </c>
      <c r="K38" s="8" t="s">
        <v>952</v>
      </c>
      <c r="L38" s="8" t="s">
        <v>1043</v>
      </c>
      <c r="M38" s="7" t="s">
        <v>128</v>
      </c>
      <c r="N38" s="7" t="s">
        <v>1175</v>
      </c>
      <c r="O38" s="8">
        <v>1331200100196</v>
      </c>
      <c r="P38" s="8" t="s">
        <v>1176</v>
      </c>
      <c r="Q38" s="8"/>
      <c r="R38" s="8" t="s">
        <v>1177</v>
      </c>
      <c r="S38" s="7">
        <v>10975</v>
      </c>
      <c r="T38" s="9" t="s">
        <v>957</v>
      </c>
      <c r="U38" s="7">
        <v>15513</v>
      </c>
      <c r="V38" s="9" t="s">
        <v>958</v>
      </c>
      <c r="W38" s="12">
        <v>44606</v>
      </c>
      <c r="X38" s="7">
        <v>4.04</v>
      </c>
      <c r="Y38" s="7">
        <v>4</v>
      </c>
      <c r="Z38" s="7">
        <v>4</v>
      </c>
      <c r="AA38" s="12">
        <v>36644</v>
      </c>
      <c r="AB38" s="7">
        <v>26.02</v>
      </c>
      <c r="AC38" s="7">
        <v>26</v>
      </c>
      <c r="AD38" s="7">
        <v>2</v>
      </c>
      <c r="AE38" s="7">
        <v>3.31</v>
      </c>
      <c r="AF38" s="7">
        <v>2564</v>
      </c>
      <c r="AG38" s="8" t="s">
        <v>1178</v>
      </c>
      <c r="AH38" s="7" t="s">
        <v>135</v>
      </c>
      <c r="AI38" s="7">
        <v>12460</v>
      </c>
      <c r="AJ38" s="8"/>
    </row>
    <row r="39" spans="1:36" ht="18.600000000000001" x14ac:dyDescent="0.55000000000000004">
      <c r="A39" s="7">
        <v>38</v>
      </c>
      <c r="B39" s="7" t="s">
        <v>974</v>
      </c>
      <c r="C39" s="7" t="s">
        <v>1179</v>
      </c>
      <c r="D39" s="7" t="s">
        <v>121</v>
      </c>
      <c r="E39" s="7" t="s">
        <v>138</v>
      </c>
      <c r="F39" s="8" t="s">
        <v>1180</v>
      </c>
      <c r="G39" s="8" t="s">
        <v>1181</v>
      </c>
      <c r="H39" s="7" t="s">
        <v>865</v>
      </c>
      <c r="I39" s="8" t="s">
        <v>866</v>
      </c>
      <c r="J39" s="8" t="s">
        <v>902</v>
      </c>
      <c r="K39" s="8" t="s">
        <v>952</v>
      </c>
      <c r="L39" s="8" t="s">
        <v>978</v>
      </c>
      <c r="M39" s="7" t="s">
        <v>128</v>
      </c>
      <c r="N39" s="7" t="s">
        <v>652</v>
      </c>
      <c r="O39" s="8">
        <v>1369900467693</v>
      </c>
      <c r="P39" s="8" t="s">
        <v>1182</v>
      </c>
      <c r="Q39" s="8"/>
      <c r="R39" s="8" t="s">
        <v>1183</v>
      </c>
      <c r="S39" s="7">
        <v>10975</v>
      </c>
      <c r="T39" s="9" t="s">
        <v>957</v>
      </c>
      <c r="U39" s="7">
        <v>15513</v>
      </c>
      <c r="V39" s="9" t="s">
        <v>958</v>
      </c>
      <c r="W39" s="12">
        <v>44606</v>
      </c>
      <c r="X39" s="7">
        <v>4.04</v>
      </c>
      <c r="Y39" s="7">
        <v>4</v>
      </c>
      <c r="Z39" s="7">
        <v>4</v>
      </c>
      <c r="AA39" s="12">
        <v>36127</v>
      </c>
      <c r="AB39" s="7">
        <v>27.07</v>
      </c>
      <c r="AC39" s="7">
        <v>27</v>
      </c>
      <c r="AD39" s="7">
        <v>7</v>
      </c>
      <c r="AE39" s="7">
        <v>2.15</v>
      </c>
      <c r="AF39" s="7">
        <v>2560</v>
      </c>
      <c r="AG39" s="8" t="s">
        <v>1184</v>
      </c>
      <c r="AH39" s="7" t="s">
        <v>151</v>
      </c>
      <c r="AI39" s="7">
        <v>12290</v>
      </c>
      <c r="AJ39" s="8"/>
    </row>
    <row r="40" spans="1:36" ht="18.600000000000001" x14ac:dyDescent="0.55000000000000004">
      <c r="A40" s="7">
        <v>39</v>
      </c>
      <c r="B40" s="7" t="s">
        <v>1831</v>
      </c>
      <c r="C40" s="7" t="s">
        <v>1185</v>
      </c>
      <c r="D40" s="7" t="s">
        <v>121</v>
      </c>
      <c r="E40" s="7" t="s">
        <v>138</v>
      </c>
      <c r="F40" s="8" t="s">
        <v>1186</v>
      </c>
      <c r="G40" s="8" t="s">
        <v>1187</v>
      </c>
      <c r="H40" s="7" t="s">
        <v>865</v>
      </c>
      <c r="I40" s="8" t="s">
        <v>866</v>
      </c>
      <c r="J40" s="8"/>
      <c r="K40" s="8" t="s">
        <v>1832</v>
      </c>
      <c r="L40" s="8"/>
      <c r="M40" s="7" t="s">
        <v>128</v>
      </c>
      <c r="N40" s="7" t="s">
        <v>676</v>
      </c>
      <c r="O40" s="8">
        <v>1801300265168</v>
      </c>
      <c r="P40" s="8" t="s">
        <v>1189</v>
      </c>
      <c r="Q40" s="8"/>
      <c r="R40" s="8" t="s">
        <v>1190</v>
      </c>
      <c r="S40" s="7">
        <v>14932</v>
      </c>
      <c r="T40" s="9" t="s">
        <v>1833</v>
      </c>
      <c r="U40" s="7"/>
      <c r="V40" s="9"/>
      <c r="W40" s="12">
        <v>44607</v>
      </c>
      <c r="X40" s="7">
        <v>4.04</v>
      </c>
      <c r="Y40" s="7">
        <v>4</v>
      </c>
      <c r="Z40" s="7">
        <v>4</v>
      </c>
      <c r="AA40" s="12">
        <v>36325</v>
      </c>
      <c r="AB40" s="7">
        <v>27</v>
      </c>
      <c r="AC40" s="7">
        <v>27</v>
      </c>
      <c r="AD40" s="7">
        <v>0</v>
      </c>
      <c r="AE40" s="7">
        <v>2.78</v>
      </c>
      <c r="AF40" s="7">
        <v>2563</v>
      </c>
      <c r="AG40" s="8" t="s">
        <v>1191</v>
      </c>
      <c r="AH40" s="7" t="s">
        <v>135</v>
      </c>
      <c r="AI40" s="7">
        <v>11970</v>
      </c>
      <c r="AJ40" s="8"/>
    </row>
    <row r="41" spans="1:36" ht="18.600000000000001" x14ac:dyDescent="0.55000000000000004">
      <c r="A41" s="7">
        <v>40</v>
      </c>
      <c r="B41" s="7" t="s">
        <v>1073</v>
      </c>
      <c r="C41" s="7" t="s">
        <v>1192</v>
      </c>
      <c r="D41" s="7" t="s">
        <v>121</v>
      </c>
      <c r="E41" s="7" t="s">
        <v>138</v>
      </c>
      <c r="F41" s="8" t="s">
        <v>1193</v>
      </c>
      <c r="G41" s="8" t="s">
        <v>1194</v>
      </c>
      <c r="H41" s="7" t="s">
        <v>865</v>
      </c>
      <c r="I41" s="8" t="s">
        <v>866</v>
      </c>
      <c r="J41" s="8" t="s">
        <v>902</v>
      </c>
      <c r="K41" s="8" t="s">
        <v>903</v>
      </c>
      <c r="L41" s="8" t="s">
        <v>1077</v>
      </c>
      <c r="M41" s="7" t="s">
        <v>128</v>
      </c>
      <c r="N41" s="7" t="s">
        <v>1195</v>
      </c>
      <c r="O41" s="8">
        <v>1441300000061</v>
      </c>
      <c r="P41" s="8" t="s">
        <v>1196</v>
      </c>
      <c r="Q41" s="8"/>
      <c r="R41" s="8" t="s">
        <v>1197</v>
      </c>
      <c r="S41" s="7">
        <v>12054</v>
      </c>
      <c r="T41" s="9" t="s">
        <v>908</v>
      </c>
      <c r="U41" s="7">
        <v>12306</v>
      </c>
      <c r="V41" s="9" t="s">
        <v>909</v>
      </c>
      <c r="W41" s="12">
        <v>44607</v>
      </c>
      <c r="X41" s="7">
        <v>4.04</v>
      </c>
      <c r="Y41" s="7">
        <v>4</v>
      </c>
      <c r="Z41" s="7">
        <v>4</v>
      </c>
      <c r="AA41" s="12">
        <v>35689</v>
      </c>
      <c r="AB41" s="7">
        <v>28.09</v>
      </c>
      <c r="AC41" s="7">
        <v>28</v>
      </c>
      <c r="AD41" s="7">
        <v>9</v>
      </c>
      <c r="AE41" s="7">
        <v>3.6</v>
      </c>
      <c r="AF41" s="7">
        <v>2561</v>
      </c>
      <c r="AG41" s="8" t="s">
        <v>1198</v>
      </c>
      <c r="AH41" s="7" t="s">
        <v>135</v>
      </c>
      <c r="AI41" s="7">
        <v>12440</v>
      </c>
      <c r="AJ41" s="8"/>
    </row>
    <row r="42" spans="1:36" ht="18.600000000000001" x14ac:dyDescent="0.55000000000000004">
      <c r="A42" s="7">
        <v>41</v>
      </c>
      <c r="B42" s="7" t="s">
        <v>1136</v>
      </c>
      <c r="C42" s="7" t="s">
        <v>1199</v>
      </c>
      <c r="D42" s="7" t="s">
        <v>121</v>
      </c>
      <c r="E42" s="7" t="s">
        <v>138</v>
      </c>
      <c r="F42" s="8" t="s">
        <v>1200</v>
      </c>
      <c r="G42" s="8" t="s">
        <v>1201</v>
      </c>
      <c r="H42" s="7" t="s">
        <v>865</v>
      </c>
      <c r="I42" s="8" t="s">
        <v>866</v>
      </c>
      <c r="J42" s="8" t="s">
        <v>867</v>
      </c>
      <c r="K42" s="8" t="s">
        <v>1031</v>
      </c>
      <c r="L42" s="8" t="s">
        <v>1140</v>
      </c>
      <c r="M42" s="7" t="s">
        <v>128</v>
      </c>
      <c r="N42" s="7" t="s">
        <v>1202</v>
      </c>
      <c r="O42" s="8">
        <v>1441100009773</v>
      </c>
      <c r="P42" s="8" t="s">
        <v>1203</v>
      </c>
      <c r="Q42" s="8"/>
      <c r="R42" s="8" t="s">
        <v>1204</v>
      </c>
      <c r="S42" s="7">
        <v>11988</v>
      </c>
      <c r="T42" s="9" t="s">
        <v>1839</v>
      </c>
      <c r="U42" s="7">
        <v>12199</v>
      </c>
      <c r="V42" s="9" t="s">
        <v>1037</v>
      </c>
      <c r="W42" s="12">
        <v>44609</v>
      </c>
      <c r="X42" s="7">
        <v>4.04</v>
      </c>
      <c r="Y42" s="7">
        <v>4</v>
      </c>
      <c r="Z42" s="7">
        <v>4</v>
      </c>
      <c r="AA42" s="12">
        <v>33568</v>
      </c>
      <c r="AB42" s="7">
        <v>34.07</v>
      </c>
      <c r="AC42" s="7">
        <v>34</v>
      </c>
      <c r="AD42" s="7">
        <v>7</v>
      </c>
      <c r="AE42" s="7">
        <v>2.93</v>
      </c>
      <c r="AF42" s="7">
        <v>2553</v>
      </c>
      <c r="AG42" s="8" t="s">
        <v>1205</v>
      </c>
      <c r="AH42" s="7" t="s">
        <v>258</v>
      </c>
      <c r="AI42" s="7">
        <v>12120</v>
      </c>
      <c r="AJ42" s="8"/>
    </row>
    <row r="43" spans="1:36" ht="18.600000000000001" x14ac:dyDescent="0.55000000000000004">
      <c r="A43" s="7">
        <v>42</v>
      </c>
      <c r="B43" s="7" t="s">
        <v>1206</v>
      </c>
      <c r="C43" s="7" t="s">
        <v>1207</v>
      </c>
      <c r="D43" s="7" t="s">
        <v>121</v>
      </c>
      <c r="E43" s="7" t="s">
        <v>138</v>
      </c>
      <c r="F43" s="8" t="s">
        <v>1208</v>
      </c>
      <c r="G43" s="8" t="s">
        <v>1209</v>
      </c>
      <c r="H43" s="7" t="s">
        <v>865</v>
      </c>
      <c r="I43" s="8" t="s">
        <v>866</v>
      </c>
      <c r="J43" s="8" t="s">
        <v>915</v>
      </c>
      <c r="K43" s="8" t="s">
        <v>1052</v>
      </c>
      <c r="L43" s="8" t="s">
        <v>1210</v>
      </c>
      <c r="M43" s="7" t="s">
        <v>128</v>
      </c>
      <c r="N43" s="7" t="s">
        <v>963</v>
      </c>
      <c r="O43" s="8">
        <v>1461300157598</v>
      </c>
      <c r="P43" s="8" t="s">
        <v>1211</v>
      </c>
      <c r="Q43" s="8"/>
      <c r="R43" s="8" t="s">
        <v>1212</v>
      </c>
      <c r="S43" s="7">
        <v>12991</v>
      </c>
      <c r="T43" s="9" t="s">
        <v>1213</v>
      </c>
      <c r="U43" s="7">
        <v>10729</v>
      </c>
      <c r="V43" s="9" t="s">
        <v>1058</v>
      </c>
      <c r="W43" s="12">
        <v>44616</v>
      </c>
      <c r="X43" s="7">
        <v>4.04</v>
      </c>
      <c r="Y43" s="7">
        <v>4</v>
      </c>
      <c r="Z43" s="7">
        <v>4</v>
      </c>
      <c r="AA43" s="12">
        <v>35240</v>
      </c>
      <c r="AB43" s="7">
        <v>30</v>
      </c>
      <c r="AC43" s="7">
        <v>30</v>
      </c>
      <c r="AD43" s="7">
        <v>0</v>
      </c>
      <c r="AE43" s="7">
        <v>2.17</v>
      </c>
      <c r="AF43" s="7">
        <v>2558</v>
      </c>
      <c r="AG43" s="8" t="s">
        <v>1214</v>
      </c>
      <c r="AH43" s="7" t="s">
        <v>151</v>
      </c>
      <c r="AI43" s="7">
        <v>12260</v>
      </c>
      <c r="AJ43" s="8"/>
    </row>
    <row r="44" spans="1:36" ht="18.600000000000001" x14ac:dyDescent="0.55000000000000004">
      <c r="A44" s="7">
        <v>43</v>
      </c>
      <c r="B44" s="7" t="s">
        <v>1831</v>
      </c>
      <c r="C44" s="7" t="s">
        <v>1215</v>
      </c>
      <c r="D44" s="7" t="s">
        <v>121</v>
      </c>
      <c r="E44" s="7" t="s">
        <v>138</v>
      </c>
      <c r="F44" s="8" t="s">
        <v>1216</v>
      </c>
      <c r="G44" s="8" t="s">
        <v>1217</v>
      </c>
      <c r="H44" s="7" t="s">
        <v>865</v>
      </c>
      <c r="I44" s="8" t="s">
        <v>866</v>
      </c>
      <c r="J44" s="8"/>
      <c r="K44" s="8" t="s">
        <v>1832</v>
      </c>
      <c r="L44" s="8"/>
      <c r="M44" s="7" t="s">
        <v>128</v>
      </c>
      <c r="N44" s="7" t="s">
        <v>988</v>
      </c>
      <c r="O44" s="8">
        <v>1409800317826</v>
      </c>
      <c r="P44" s="8" t="s">
        <v>1218</v>
      </c>
      <c r="Q44" s="8"/>
      <c r="R44" s="8" t="s">
        <v>1219</v>
      </c>
      <c r="S44" s="7">
        <v>14932</v>
      </c>
      <c r="T44" s="9" t="s">
        <v>1833</v>
      </c>
      <c r="U44" s="7"/>
      <c r="V44" s="9"/>
      <c r="W44" s="12">
        <v>44620</v>
      </c>
      <c r="X44" s="7">
        <v>4.04</v>
      </c>
      <c r="Y44" s="7">
        <v>4</v>
      </c>
      <c r="Z44" s="7">
        <v>4</v>
      </c>
      <c r="AA44" s="12">
        <v>35345</v>
      </c>
      <c r="AB44" s="7">
        <v>29.08</v>
      </c>
      <c r="AC44" s="7">
        <v>29</v>
      </c>
      <c r="AD44" s="7">
        <v>8</v>
      </c>
      <c r="AE44" s="7">
        <v>2.95</v>
      </c>
      <c r="AF44" s="7">
        <v>2563</v>
      </c>
      <c r="AG44" s="8" t="s">
        <v>1220</v>
      </c>
      <c r="AH44" s="7" t="s">
        <v>258</v>
      </c>
      <c r="AI44" s="7">
        <v>12380</v>
      </c>
      <c r="AJ44" s="8"/>
    </row>
    <row r="45" spans="1:36" ht="18.600000000000001" x14ac:dyDescent="0.55000000000000004">
      <c r="A45" s="7">
        <v>44</v>
      </c>
      <c r="B45" s="7" t="s">
        <v>1121</v>
      </c>
      <c r="C45" s="7" t="s">
        <v>1221</v>
      </c>
      <c r="D45" s="7" t="s">
        <v>121</v>
      </c>
      <c r="E45" s="7" t="s">
        <v>138</v>
      </c>
      <c r="F45" s="8" t="s">
        <v>1222</v>
      </c>
      <c r="G45" s="8" t="s">
        <v>1223</v>
      </c>
      <c r="H45" s="7" t="s">
        <v>865</v>
      </c>
      <c r="I45" s="8" t="s">
        <v>866</v>
      </c>
      <c r="J45" s="8" t="s">
        <v>902</v>
      </c>
      <c r="K45" s="8" t="s">
        <v>927</v>
      </c>
      <c r="L45" s="8" t="s">
        <v>1125</v>
      </c>
      <c r="M45" s="7" t="s">
        <v>128</v>
      </c>
      <c r="N45" s="7" t="s">
        <v>1224</v>
      </c>
      <c r="O45" s="8">
        <v>1100201302591</v>
      </c>
      <c r="P45" s="8" t="s">
        <v>1225</v>
      </c>
      <c r="Q45" s="8"/>
      <c r="R45" s="8" t="s">
        <v>1226</v>
      </c>
      <c r="S45" s="7">
        <v>10894</v>
      </c>
      <c r="T45" s="9" t="s">
        <v>932</v>
      </c>
      <c r="U45" s="7">
        <v>11285</v>
      </c>
      <c r="V45" s="9" t="s">
        <v>933</v>
      </c>
      <c r="W45" s="12">
        <v>44634</v>
      </c>
      <c r="X45" s="7">
        <v>4.03</v>
      </c>
      <c r="Y45" s="7">
        <v>4</v>
      </c>
      <c r="Z45" s="7">
        <v>3</v>
      </c>
      <c r="AA45" s="12">
        <v>35464</v>
      </c>
      <c r="AB45" s="7">
        <v>29.04</v>
      </c>
      <c r="AC45" s="7">
        <v>29</v>
      </c>
      <c r="AD45" s="7">
        <v>4</v>
      </c>
      <c r="AE45" s="7">
        <v>2.0699999999999998</v>
      </c>
      <c r="AF45" s="7">
        <v>2559</v>
      </c>
      <c r="AG45" s="8" t="s">
        <v>1227</v>
      </c>
      <c r="AH45" s="7" t="s">
        <v>258</v>
      </c>
      <c r="AI45" s="7">
        <v>12430</v>
      </c>
      <c r="AJ45" s="8"/>
    </row>
    <row r="46" spans="1:36" ht="18.600000000000001" x14ac:dyDescent="0.55000000000000004">
      <c r="A46" s="7">
        <v>45</v>
      </c>
      <c r="B46" s="7" t="s">
        <v>974</v>
      </c>
      <c r="C46" s="7" t="s">
        <v>1228</v>
      </c>
      <c r="D46" s="7" t="s">
        <v>121</v>
      </c>
      <c r="E46" s="7" t="s">
        <v>138</v>
      </c>
      <c r="F46" s="8" t="s">
        <v>1229</v>
      </c>
      <c r="G46" s="8" t="s">
        <v>1230</v>
      </c>
      <c r="H46" s="7" t="s">
        <v>865</v>
      </c>
      <c r="I46" s="8" t="s">
        <v>866</v>
      </c>
      <c r="J46" s="8" t="s">
        <v>902</v>
      </c>
      <c r="K46" s="8" t="s">
        <v>952</v>
      </c>
      <c r="L46" s="8" t="s">
        <v>978</v>
      </c>
      <c r="M46" s="7" t="s">
        <v>128</v>
      </c>
      <c r="N46" s="7" t="s">
        <v>1231</v>
      </c>
      <c r="O46" s="8">
        <v>1360400218599</v>
      </c>
      <c r="P46" s="8" t="s">
        <v>1232</v>
      </c>
      <c r="Q46" s="8"/>
      <c r="R46" s="8" t="s">
        <v>1233</v>
      </c>
      <c r="S46" s="7">
        <v>10975</v>
      </c>
      <c r="T46" s="9" t="s">
        <v>957</v>
      </c>
      <c r="U46" s="7">
        <v>15513</v>
      </c>
      <c r="V46" s="9" t="s">
        <v>958</v>
      </c>
      <c r="W46" s="12">
        <v>44659</v>
      </c>
      <c r="X46" s="7">
        <v>4.0199999999999996</v>
      </c>
      <c r="Y46" s="7">
        <v>4</v>
      </c>
      <c r="Z46" s="7">
        <v>2</v>
      </c>
      <c r="AA46" s="12">
        <v>35139</v>
      </c>
      <c r="AB46" s="7">
        <v>30.03</v>
      </c>
      <c r="AC46" s="7">
        <v>30</v>
      </c>
      <c r="AD46" s="7">
        <v>3</v>
      </c>
      <c r="AE46" s="7">
        <v>2.9</v>
      </c>
      <c r="AF46" s="7">
        <v>2558</v>
      </c>
      <c r="AG46" s="8" t="s">
        <v>1072</v>
      </c>
      <c r="AH46" s="7" t="s">
        <v>258</v>
      </c>
      <c r="AI46" s="7">
        <v>12310</v>
      </c>
      <c r="AJ46" s="8"/>
    </row>
    <row r="47" spans="1:36" ht="18.600000000000001" x14ac:dyDescent="0.55000000000000004">
      <c r="A47" s="7">
        <v>46</v>
      </c>
      <c r="B47" s="7" t="s">
        <v>1097</v>
      </c>
      <c r="C47" s="7" t="s">
        <v>1234</v>
      </c>
      <c r="D47" s="7" t="s">
        <v>121</v>
      </c>
      <c r="E47" s="7" t="s">
        <v>138</v>
      </c>
      <c r="F47" s="8" t="s">
        <v>1235</v>
      </c>
      <c r="G47" s="8" t="s">
        <v>1236</v>
      </c>
      <c r="H47" s="7" t="s">
        <v>865</v>
      </c>
      <c r="I47" s="8" t="s">
        <v>866</v>
      </c>
      <c r="J47" s="8" t="s">
        <v>915</v>
      </c>
      <c r="K47" s="8" t="s">
        <v>1101</v>
      </c>
      <c r="L47" s="8" t="s">
        <v>1101</v>
      </c>
      <c r="M47" s="7" t="s">
        <v>128</v>
      </c>
      <c r="N47" s="7" t="s">
        <v>1237</v>
      </c>
      <c r="O47" s="8">
        <v>1669900300346</v>
      </c>
      <c r="P47" s="8" t="s">
        <v>1238</v>
      </c>
      <c r="Q47" s="8"/>
      <c r="R47" s="8" t="s">
        <v>1239</v>
      </c>
      <c r="S47" s="7">
        <v>12023</v>
      </c>
      <c r="T47" s="9" t="s">
        <v>1105</v>
      </c>
      <c r="U47" s="7">
        <v>0</v>
      </c>
      <c r="V47" s="9">
        <v>0</v>
      </c>
      <c r="W47" s="12">
        <v>44676</v>
      </c>
      <c r="X47" s="7">
        <v>4.0199999999999996</v>
      </c>
      <c r="Y47" s="7">
        <v>4</v>
      </c>
      <c r="Z47" s="7">
        <v>2</v>
      </c>
      <c r="AA47" s="12">
        <v>35197</v>
      </c>
      <c r="AB47" s="7">
        <v>30.01</v>
      </c>
      <c r="AC47" s="7">
        <v>30</v>
      </c>
      <c r="AD47" s="7">
        <v>1</v>
      </c>
      <c r="AE47" s="7">
        <v>1.89</v>
      </c>
      <c r="AF47" s="7">
        <v>2560</v>
      </c>
      <c r="AG47" s="8" t="s">
        <v>1240</v>
      </c>
      <c r="AH47" s="7" t="s">
        <v>151</v>
      </c>
      <c r="AI47" s="7">
        <v>12270</v>
      </c>
      <c r="AJ47" s="8"/>
    </row>
    <row r="48" spans="1:36" ht="18.600000000000001" x14ac:dyDescent="0.55000000000000004">
      <c r="A48" s="7">
        <v>47</v>
      </c>
      <c r="B48" s="7" t="s">
        <v>1831</v>
      </c>
      <c r="C48" s="7" t="s">
        <v>1241</v>
      </c>
      <c r="D48" s="7" t="s">
        <v>121</v>
      </c>
      <c r="E48" s="7" t="s">
        <v>138</v>
      </c>
      <c r="F48" s="8" t="s">
        <v>1242</v>
      </c>
      <c r="G48" s="8" t="s">
        <v>1243</v>
      </c>
      <c r="H48" s="7" t="s">
        <v>865</v>
      </c>
      <c r="I48" s="8" t="s">
        <v>866</v>
      </c>
      <c r="J48" s="8"/>
      <c r="K48" s="8" t="s">
        <v>1832</v>
      </c>
      <c r="L48" s="8"/>
      <c r="M48" s="7" t="s">
        <v>128</v>
      </c>
      <c r="N48" s="7" t="s">
        <v>753</v>
      </c>
      <c r="O48" s="8">
        <v>1670700202831</v>
      </c>
      <c r="P48" s="8" t="s">
        <v>1244</v>
      </c>
      <c r="Q48" s="8"/>
      <c r="R48" s="8" t="s">
        <v>1245</v>
      </c>
      <c r="S48" s="7">
        <v>14932</v>
      </c>
      <c r="T48" s="9" t="s">
        <v>1833</v>
      </c>
      <c r="U48" s="7"/>
      <c r="V48" s="9"/>
      <c r="W48" s="12">
        <v>44676</v>
      </c>
      <c r="X48" s="7">
        <v>4.0199999999999996</v>
      </c>
      <c r="Y48" s="7">
        <v>4</v>
      </c>
      <c r="Z48" s="7">
        <v>2</v>
      </c>
      <c r="AA48" s="12">
        <v>33734</v>
      </c>
      <c r="AB48" s="7">
        <v>34.01</v>
      </c>
      <c r="AC48" s="7">
        <v>34</v>
      </c>
      <c r="AD48" s="7">
        <v>1</v>
      </c>
      <c r="AE48" s="7">
        <v>2.06</v>
      </c>
      <c r="AF48" s="7">
        <v>2555</v>
      </c>
      <c r="AG48" s="8" t="s">
        <v>1246</v>
      </c>
      <c r="AH48" s="7" t="s">
        <v>151</v>
      </c>
      <c r="AI48" s="7">
        <v>12070</v>
      </c>
      <c r="AJ48" s="8"/>
    </row>
    <row r="49" spans="1:36" ht="18.600000000000001" x14ac:dyDescent="0.55000000000000004">
      <c r="A49" s="7">
        <v>48</v>
      </c>
      <c r="B49" s="7" t="s">
        <v>1136</v>
      </c>
      <c r="C49" s="7" t="s">
        <v>1247</v>
      </c>
      <c r="D49" s="7" t="s">
        <v>121</v>
      </c>
      <c r="E49" s="7" t="s">
        <v>138</v>
      </c>
      <c r="F49" s="8" t="s">
        <v>1248</v>
      </c>
      <c r="G49" s="8" t="s">
        <v>1249</v>
      </c>
      <c r="H49" s="7" t="s">
        <v>865</v>
      </c>
      <c r="I49" s="8" t="s">
        <v>866</v>
      </c>
      <c r="J49" s="8" t="s">
        <v>867</v>
      </c>
      <c r="K49" s="8" t="s">
        <v>1031</v>
      </c>
      <c r="L49" s="8" t="s">
        <v>1140</v>
      </c>
      <c r="M49" s="7" t="s">
        <v>128</v>
      </c>
      <c r="N49" s="7" t="s">
        <v>1250</v>
      </c>
      <c r="O49" s="8">
        <v>1104300101423</v>
      </c>
      <c r="P49" s="8" t="s">
        <v>1251</v>
      </c>
      <c r="Q49" s="8"/>
      <c r="R49" s="8" t="s">
        <v>1252</v>
      </c>
      <c r="S49" s="7">
        <v>11988</v>
      </c>
      <c r="T49" s="9" t="s">
        <v>1839</v>
      </c>
      <c r="U49" s="7">
        <v>12199</v>
      </c>
      <c r="V49" s="9" t="s">
        <v>1037</v>
      </c>
      <c r="W49" s="12">
        <v>44686</v>
      </c>
      <c r="X49" s="7">
        <v>4.01</v>
      </c>
      <c r="Y49" s="7">
        <v>4</v>
      </c>
      <c r="Z49" s="7">
        <v>1</v>
      </c>
      <c r="AA49" s="12">
        <v>36066</v>
      </c>
      <c r="AB49" s="7">
        <v>27.09</v>
      </c>
      <c r="AC49" s="7">
        <v>27</v>
      </c>
      <c r="AD49" s="7">
        <v>9</v>
      </c>
      <c r="AE49" s="7">
        <v>1.87</v>
      </c>
      <c r="AF49" s="7">
        <v>2560</v>
      </c>
      <c r="AG49" s="8" t="s">
        <v>1253</v>
      </c>
      <c r="AH49" s="7" t="s">
        <v>151</v>
      </c>
      <c r="AI49" s="7">
        <v>12160</v>
      </c>
      <c r="AJ49" s="8"/>
    </row>
    <row r="50" spans="1:36" ht="18.600000000000001" x14ac:dyDescent="0.55000000000000004">
      <c r="A50" s="7">
        <v>49</v>
      </c>
      <c r="B50" s="7" t="s">
        <v>983</v>
      </c>
      <c r="C50" s="7" t="s">
        <v>1254</v>
      </c>
      <c r="D50" s="7" t="s">
        <v>121</v>
      </c>
      <c r="E50" s="7" t="s">
        <v>138</v>
      </c>
      <c r="F50" s="8" t="s">
        <v>1255</v>
      </c>
      <c r="G50" s="8" t="s">
        <v>1256</v>
      </c>
      <c r="H50" s="7" t="s">
        <v>865</v>
      </c>
      <c r="I50" s="8" t="s">
        <v>866</v>
      </c>
      <c r="J50" s="8" t="s">
        <v>867</v>
      </c>
      <c r="K50" s="8" t="s">
        <v>1830</v>
      </c>
      <c r="L50" s="8" t="s">
        <v>1837</v>
      </c>
      <c r="M50" s="7" t="s">
        <v>128</v>
      </c>
      <c r="N50" s="7" t="s">
        <v>182</v>
      </c>
      <c r="O50" s="8">
        <v>1430900239501</v>
      </c>
      <c r="P50" s="8" t="s">
        <v>1257</v>
      </c>
      <c r="Q50" s="8"/>
      <c r="R50" s="8" t="s">
        <v>1258</v>
      </c>
      <c r="S50" s="7">
        <v>11000</v>
      </c>
      <c r="T50" s="9" t="s">
        <v>991</v>
      </c>
      <c r="U50" s="7">
        <v>14627</v>
      </c>
      <c r="V50" s="9" t="s">
        <v>874</v>
      </c>
      <c r="W50" s="12">
        <v>44686</v>
      </c>
      <c r="X50" s="7">
        <v>4.01</v>
      </c>
      <c r="Y50" s="7">
        <v>4</v>
      </c>
      <c r="Z50" s="7">
        <v>1</v>
      </c>
      <c r="AA50" s="12">
        <v>35849</v>
      </c>
      <c r="AB50" s="7">
        <v>28.04</v>
      </c>
      <c r="AC50" s="7">
        <v>28</v>
      </c>
      <c r="AD50" s="7">
        <v>4</v>
      </c>
      <c r="AE50" s="7">
        <v>2.41</v>
      </c>
      <c r="AF50" s="7">
        <v>2562</v>
      </c>
      <c r="AG50" s="8" t="s">
        <v>1259</v>
      </c>
      <c r="AH50" s="7" t="s">
        <v>135</v>
      </c>
      <c r="AI50" s="7">
        <v>12020</v>
      </c>
      <c r="AJ50" s="8"/>
    </row>
    <row r="51" spans="1:36" ht="18.600000000000001" x14ac:dyDescent="0.55000000000000004">
      <c r="A51" s="7">
        <v>50</v>
      </c>
      <c r="B51" s="7" t="s">
        <v>1831</v>
      </c>
      <c r="C51" s="7" t="s">
        <v>1260</v>
      </c>
      <c r="D51" s="7" t="s">
        <v>121</v>
      </c>
      <c r="E51" s="7" t="s">
        <v>138</v>
      </c>
      <c r="F51" s="8" t="s">
        <v>1261</v>
      </c>
      <c r="G51" s="8" t="s">
        <v>1262</v>
      </c>
      <c r="H51" s="7" t="s">
        <v>865</v>
      </c>
      <c r="I51" s="8" t="s">
        <v>866</v>
      </c>
      <c r="J51" s="8"/>
      <c r="K51" s="8" t="s">
        <v>1832</v>
      </c>
      <c r="L51" s="8"/>
      <c r="M51" s="7" t="s">
        <v>128</v>
      </c>
      <c r="N51" s="7" t="s">
        <v>1263</v>
      </c>
      <c r="O51" s="8">
        <v>1301701352937</v>
      </c>
      <c r="P51" s="8" t="s">
        <v>1264</v>
      </c>
      <c r="Q51" s="8"/>
      <c r="R51" s="8" t="s">
        <v>1265</v>
      </c>
      <c r="S51" s="7">
        <v>14932</v>
      </c>
      <c r="T51" s="9" t="s">
        <v>1833</v>
      </c>
      <c r="U51" s="7"/>
      <c r="V51" s="9"/>
      <c r="W51" s="12">
        <v>44690</v>
      </c>
      <c r="X51" s="7">
        <v>4.01</v>
      </c>
      <c r="Y51" s="7">
        <v>4</v>
      </c>
      <c r="Z51" s="7">
        <v>1</v>
      </c>
      <c r="AA51" s="12">
        <v>36654</v>
      </c>
      <c r="AB51" s="7">
        <v>26.01</v>
      </c>
      <c r="AC51" s="7">
        <v>26</v>
      </c>
      <c r="AD51" s="7">
        <v>1</v>
      </c>
      <c r="AE51" s="7">
        <v>2.81</v>
      </c>
      <c r="AF51" s="7">
        <v>2561</v>
      </c>
      <c r="AG51" s="8" t="s">
        <v>1266</v>
      </c>
      <c r="AH51" s="7" t="s">
        <v>258</v>
      </c>
      <c r="AI51" s="7">
        <v>12100</v>
      </c>
      <c r="AJ51" s="8"/>
    </row>
    <row r="52" spans="1:36" ht="18.600000000000001" x14ac:dyDescent="0.55000000000000004">
      <c r="A52" s="7">
        <v>51</v>
      </c>
      <c r="B52" s="7" t="s">
        <v>861</v>
      </c>
      <c r="C52" s="7" t="s">
        <v>1267</v>
      </c>
      <c r="D52" s="7" t="s">
        <v>121</v>
      </c>
      <c r="E52" s="7" t="s">
        <v>138</v>
      </c>
      <c r="F52" s="8" t="s">
        <v>1268</v>
      </c>
      <c r="G52" s="8" t="s">
        <v>1269</v>
      </c>
      <c r="H52" s="7" t="s">
        <v>865</v>
      </c>
      <c r="I52" s="8" t="s">
        <v>866</v>
      </c>
      <c r="J52" s="8" t="s">
        <v>867</v>
      </c>
      <c r="K52" s="8" t="s">
        <v>1830</v>
      </c>
      <c r="L52" s="8" t="s">
        <v>869</v>
      </c>
      <c r="M52" s="7" t="s">
        <v>128</v>
      </c>
      <c r="N52" s="7" t="s">
        <v>1270</v>
      </c>
      <c r="O52" s="8">
        <v>1100801201559</v>
      </c>
      <c r="P52" s="8" t="s">
        <v>1271</v>
      </c>
      <c r="Q52" s="8"/>
      <c r="R52" s="8" t="s">
        <v>1272</v>
      </c>
      <c r="S52" s="7">
        <v>11718</v>
      </c>
      <c r="T52" s="9" t="s">
        <v>873</v>
      </c>
      <c r="U52" s="7">
        <v>14627</v>
      </c>
      <c r="V52" s="9" t="s">
        <v>874</v>
      </c>
      <c r="W52" s="12">
        <v>44698</v>
      </c>
      <c r="X52" s="7">
        <v>4.01</v>
      </c>
      <c r="Y52" s="7">
        <v>4</v>
      </c>
      <c r="Z52" s="7">
        <v>1</v>
      </c>
      <c r="AA52" s="12">
        <v>35557</v>
      </c>
      <c r="AB52" s="7">
        <v>29.01</v>
      </c>
      <c r="AC52" s="7">
        <v>29</v>
      </c>
      <c r="AD52" s="7">
        <v>1</v>
      </c>
      <c r="AE52" s="7">
        <v>3.19</v>
      </c>
      <c r="AF52" s="7">
        <v>2560</v>
      </c>
      <c r="AG52" s="8" t="s">
        <v>134</v>
      </c>
      <c r="AH52" s="7" t="s">
        <v>135</v>
      </c>
      <c r="AI52" s="7">
        <v>12350</v>
      </c>
      <c r="AJ52" s="8"/>
    </row>
    <row r="53" spans="1:36" ht="18.600000000000001" x14ac:dyDescent="0.55000000000000004">
      <c r="A53" s="7">
        <v>52</v>
      </c>
      <c r="B53" s="7" t="s">
        <v>1831</v>
      </c>
      <c r="C53" s="7" t="s">
        <v>1273</v>
      </c>
      <c r="D53" s="7" t="s">
        <v>121</v>
      </c>
      <c r="E53" s="7" t="s">
        <v>138</v>
      </c>
      <c r="F53" s="8" t="s">
        <v>1274</v>
      </c>
      <c r="G53" s="8" t="s">
        <v>1275</v>
      </c>
      <c r="H53" s="7" t="s">
        <v>865</v>
      </c>
      <c r="I53" s="8" t="s">
        <v>866</v>
      </c>
      <c r="J53" s="8"/>
      <c r="K53" s="8" t="s">
        <v>1832</v>
      </c>
      <c r="L53" s="8"/>
      <c r="M53" s="7" t="s">
        <v>128</v>
      </c>
      <c r="N53" s="7" t="s">
        <v>1078</v>
      </c>
      <c r="O53" s="8">
        <v>1430500411217</v>
      </c>
      <c r="P53" s="8" t="s">
        <v>1276</v>
      </c>
      <c r="Q53" s="8"/>
      <c r="R53" s="8" t="s">
        <v>1277</v>
      </c>
      <c r="S53" s="7">
        <v>14932</v>
      </c>
      <c r="T53" s="9" t="s">
        <v>1833</v>
      </c>
      <c r="U53" s="7"/>
      <c r="V53" s="9"/>
      <c r="W53" s="12">
        <v>44711</v>
      </c>
      <c r="X53" s="7">
        <v>4.01</v>
      </c>
      <c r="Y53" s="7">
        <v>4</v>
      </c>
      <c r="Z53" s="7">
        <v>1</v>
      </c>
      <c r="AA53" s="12">
        <v>36296</v>
      </c>
      <c r="AB53" s="7">
        <v>27.01</v>
      </c>
      <c r="AC53" s="7">
        <v>27</v>
      </c>
      <c r="AD53" s="7">
        <v>1</v>
      </c>
      <c r="AE53" s="7">
        <v>2.21</v>
      </c>
      <c r="AF53" s="7">
        <v>2561</v>
      </c>
      <c r="AG53" s="8" t="s">
        <v>1278</v>
      </c>
      <c r="AH53" s="7" t="s">
        <v>151</v>
      </c>
      <c r="AI53" s="7">
        <v>11830</v>
      </c>
      <c r="AJ53" s="8"/>
    </row>
    <row r="54" spans="1:36" ht="18.600000000000001" x14ac:dyDescent="0.55000000000000004">
      <c r="A54" s="7">
        <v>53</v>
      </c>
      <c r="B54" s="7" t="s">
        <v>1279</v>
      </c>
      <c r="C54" s="7" t="s">
        <v>1280</v>
      </c>
      <c r="D54" s="7" t="s">
        <v>121</v>
      </c>
      <c r="E54" s="7" t="s">
        <v>138</v>
      </c>
      <c r="F54" s="8" t="s">
        <v>1281</v>
      </c>
      <c r="G54" s="8" t="s">
        <v>1282</v>
      </c>
      <c r="H54" s="7" t="s">
        <v>865</v>
      </c>
      <c r="I54" s="8" t="s">
        <v>880</v>
      </c>
      <c r="J54" s="8" t="s">
        <v>1015</v>
      </c>
      <c r="K54" s="8" t="s">
        <v>1283</v>
      </c>
      <c r="L54" s="8" t="s">
        <v>1283</v>
      </c>
      <c r="M54" s="7" t="s">
        <v>128</v>
      </c>
      <c r="N54" s="7" t="s">
        <v>596</v>
      </c>
      <c r="O54" s="8">
        <v>1560501119900</v>
      </c>
      <c r="P54" s="8" t="s">
        <v>1284</v>
      </c>
      <c r="Q54" s="8"/>
      <c r="R54" s="8" t="s">
        <v>1285</v>
      </c>
      <c r="S54" s="7">
        <v>10860</v>
      </c>
      <c r="T54" s="9" t="s">
        <v>1286</v>
      </c>
      <c r="U54" s="7">
        <v>14978</v>
      </c>
      <c r="V54" s="9" t="s">
        <v>1287</v>
      </c>
      <c r="W54" s="12">
        <v>44816</v>
      </c>
      <c r="X54" s="7">
        <v>3.09</v>
      </c>
      <c r="Y54" s="7">
        <v>3</v>
      </c>
      <c r="Z54" s="7">
        <v>9</v>
      </c>
      <c r="AA54" s="12">
        <v>36722</v>
      </c>
      <c r="AB54" s="7">
        <v>25.11</v>
      </c>
      <c r="AC54" s="7">
        <v>25</v>
      </c>
      <c r="AD54" s="7">
        <v>11</v>
      </c>
      <c r="AE54" s="7">
        <v>2.56</v>
      </c>
      <c r="AF54" s="7">
        <v>2562</v>
      </c>
      <c r="AG54" s="8" t="s">
        <v>1288</v>
      </c>
      <c r="AH54" s="7" t="s">
        <v>258</v>
      </c>
      <c r="AI54" s="7">
        <v>11810</v>
      </c>
      <c r="AJ54" s="8"/>
    </row>
    <row r="55" spans="1:36" ht="18.600000000000001" x14ac:dyDescent="0.55000000000000004">
      <c r="A55" s="7">
        <v>54</v>
      </c>
      <c r="B55" s="7" t="s">
        <v>898</v>
      </c>
      <c r="C55" s="7" t="s">
        <v>1289</v>
      </c>
      <c r="D55" s="7" t="s">
        <v>121</v>
      </c>
      <c r="E55" s="7" t="s">
        <v>138</v>
      </c>
      <c r="F55" s="8" t="s">
        <v>1290</v>
      </c>
      <c r="G55" s="8" t="s">
        <v>1291</v>
      </c>
      <c r="H55" s="7" t="s">
        <v>865</v>
      </c>
      <c r="I55" s="8" t="s">
        <v>866</v>
      </c>
      <c r="J55" s="8" t="s">
        <v>902</v>
      </c>
      <c r="K55" s="8" t="s">
        <v>903</v>
      </c>
      <c r="L55" s="8" t="s">
        <v>904</v>
      </c>
      <c r="M55" s="7" t="s">
        <v>128</v>
      </c>
      <c r="N55" s="7" t="s">
        <v>1237</v>
      </c>
      <c r="O55" s="8">
        <v>1309701229440</v>
      </c>
      <c r="P55" s="8" t="s">
        <v>1292</v>
      </c>
      <c r="Q55" s="8"/>
      <c r="R55" s="8" t="s">
        <v>1293</v>
      </c>
      <c r="S55" s="7">
        <v>12054</v>
      </c>
      <c r="T55" s="9" t="s">
        <v>908</v>
      </c>
      <c r="U55" s="7">
        <v>12306</v>
      </c>
      <c r="V55" s="9" t="s">
        <v>909</v>
      </c>
      <c r="W55" s="12">
        <v>44823</v>
      </c>
      <c r="X55" s="7">
        <v>3.09</v>
      </c>
      <c r="Y55" s="7">
        <v>3</v>
      </c>
      <c r="Z55" s="7">
        <v>9</v>
      </c>
      <c r="AA55" s="12">
        <v>36674</v>
      </c>
      <c r="AB55" s="7">
        <v>26.01</v>
      </c>
      <c r="AC55" s="7">
        <v>26</v>
      </c>
      <c r="AD55" s="7">
        <v>1</v>
      </c>
      <c r="AE55" s="7">
        <v>3.84</v>
      </c>
      <c r="AF55" s="7">
        <v>2565</v>
      </c>
      <c r="AG55" s="8" t="s">
        <v>1294</v>
      </c>
      <c r="AH55" s="7" t="s">
        <v>135</v>
      </c>
      <c r="AI55" s="7">
        <v>11880</v>
      </c>
      <c r="AJ55" s="8"/>
    </row>
    <row r="56" spans="1:36" ht="18.600000000000001" x14ac:dyDescent="0.55000000000000004">
      <c r="A56" s="7">
        <v>55</v>
      </c>
      <c r="B56" s="7" t="s">
        <v>1027</v>
      </c>
      <c r="C56" s="7" t="s">
        <v>1295</v>
      </c>
      <c r="D56" s="7" t="s">
        <v>121</v>
      </c>
      <c r="E56" s="7" t="s">
        <v>138</v>
      </c>
      <c r="F56" s="8" t="s">
        <v>1296</v>
      </c>
      <c r="G56" s="8" t="s">
        <v>1297</v>
      </c>
      <c r="H56" s="7" t="s">
        <v>865</v>
      </c>
      <c r="I56" s="8" t="s">
        <v>866</v>
      </c>
      <c r="J56" s="8" t="s">
        <v>867</v>
      </c>
      <c r="K56" s="8" t="s">
        <v>1031</v>
      </c>
      <c r="L56" s="8" t="s">
        <v>1032</v>
      </c>
      <c r="M56" s="7" t="s">
        <v>128</v>
      </c>
      <c r="N56" s="7" t="s">
        <v>1298</v>
      </c>
      <c r="O56" s="8">
        <v>1339900402460</v>
      </c>
      <c r="P56" s="8" t="s">
        <v>1299</v>
      </c>
      <c r="Q56" s="8"/>
      <c r="R56" s="8" t="s">
        <v>1300</v>
      </c>
      <c r="S56" s="7">
        <v>11082</v>
      </c>
      <c r="T56" s="9" t="s">
        <v>1036</v>
      </c>
      <c r="U56" s="7">
        <v>12199</v>
      </c>
      <c r="V56" s="9" t="s">
        <v>1037</v>
      </c>
      <c r="W56" s="12">
        <v>44823</v>
      </c>
      <c r="X56" s="7">
        <v>3.09</v>
      </c>
      <c r="Y56" s="7">
        <v>3</v>
      </c>
      <c r="Z56" s="7">
        <v>9</v>
      </c>
      <c r="AA56" s="12">
        <v>34892</v>
      </c>
      <c r="AB56" s="7">
        <v>30.11</v>
      </c>
      <c r="AC56" s="7">
        <v>30</v>
      </c>
      <c r="AD56" s="7">
        <v>11</v>
      </c>
      <c r="AE56" s="7">
        <v>3.1</v>
      </c>
      <c r="AF56" s="7">
        <v>2557</v>
      </c>
      <c r="AG56" s="8" t="s">
        <v>1301</v>
      </c>
      <c r="AH56" s="7" t="s">
        <v>151</v>
      </c>
      <c r="AI56" s="7">
        <v>12160</v>
      </c>
      <c r="AJ56" s="8"/>
    </row>
    <row r="57" spans="1:36" ht="18.600000000000001" x14ac:dyDescent="0.55000000000000004">
      <c r="A57" s="7">
        <v>56</v>
      </c>
      <c r="B57" s="7" t="s">
        <v>983</v>
      </c>
      <c r="C57" s="7" t="s">
        <v>1302</v>
      </c>
      <c r="D57" s="7" t="s">
        <v>121</v>
      </c>
      <c r="E57" s="7" t="s">
        <v>138</v>
      </c>
      <c r="F57" s="8" t="s">
        <v>1303</v>
      </c>
      <c r="G57" s="8" t="s">
        <v>1304</v>
      </c>
      <c r="H57" s="7" t="s">
        <v>865</v>
      </c>
      <c r="I57" s="8" t="s">
        <v>866</v>
      </c>
      <c r="J57" s="8" t="s">
        <v>867</v>
      </c>
      <c r="K57" s="8" t="s">
        <v>1830</v>
      </c>
      <c r="L57" s="8" t="s">
        <v>1837</v>
      </c>
      <c r="M57" s="7" t="s">
        <v>128</v>
      </c>
      <c r="N57" s="7" t="s">
        <v>1305</v>
      </c>
      <c r="O57" s="8">
        <v>1409901643923</v>
      </c>
      <c r="P57" s="8" t="s">
        <v>1306</v>
      </c>
      <c r="Q57" s="8"/>
      <c r="R57" s="8" t="s">
        <v>1307</v>
      </c>
      <c r="S57" s="7">
        <v>11000</v>
      </c>
      <c r="T57" s="9" t="s">
        <v>991</v>
      </c>
      <c r="U57" s="7">
        <v>14627</v>
      </c>
      <c r="V57" s="9" t="s">
        <v>874</v>
      </c>
      <c r="W57" s="12">
        <v>44823</v>
      </c>
      <c r="X57" s="7">
        <v>3.09</v>
      </c>
      <c r="Y57" s="7">
        <v>3</v>
      </c>
      <c r="Z57" s="7">
        <v>9</v>
      </c>
      <c r="AA57" s="12">
        <v>35594</v>
      </c>
      <c r="AB57" s="7">
        <v>29</v>
      </c>
      <c r="AC57" s="7">
        <v>29</v>
      </c>
      <c r="AD57" s="7">
        <v>0</v>
      </c>
      <c r="AE57" s="7">
        <v>2.56</v>
      </c>
      <c r="AF57" s="7">
        <v>2564</v>
      </c>
      <c r="AG57" s="8" t="s">
        <v>1308</v>
      </c>
      <c r="AH57" s="7" t="s">
        <v>151</v>
      </c>
      <c r="AI57" s="7">
        <v>11780</v>
      </c>
      <c r="AJ57" s="8"/>
    </row>
    <row r="58" spans="1:36" ht="18.600000000000001" x14ac:dyDescent="0.55000000000000004">
      <c r="A58" s="7">
        <v>57</v>
      </c>
      <c r="B58" s="7" t="s">
        <v>1027</v>
      </c>
      <c r="C58" s="7" t="s">
        <v>1309</v>
      </c>
      <c r="D58" s="7" t="s">
        <v>121</v>
      </c>
      <c r="E58" s="7" t="s">
        <v>138</v>
      </c>
      <c r="F58" s="8" t="s">
        <v>1310</v>
      </c>
      <c r="G58" s="8" t="s">
        <v>1311</v>
      </c>
      <c r="H58" s="7" t="s">
        <v>865</v>
      </c>
      <c r="I58" s="8" t="s">
        <v>866</v>
      </c>
      <c r="J58" s="8" t="s">
        <v>867</v>
      </c>
      <c r="K58" s="8" t="s">
        <v>1031</v>
      </c>
      <c r="L58" s="8" t="s">
        <v>1032</v>
      </c>
      <c r="M58" s="7" t="s">
        <v>128</v>
      </c>
      <c r="N58" s="7" t="s">
        <v>1312</v>
      </c>
      <c r="O58" s="8">
        <v>1560600091361</v>
      </c>
      <c r="P58" s="8" t="s">
        <v>1313</v>
      </c>
      <c r="Q58" s="8"/>
      <c r="R58" s="8" t="s">
        <v>1314</v>
      </c>
      <c r="S58" s="7">
        <v>11082</v>
      </c>
      <c r="T58" s="9" t="s">
        <v>1036</v>
      </c>
      <c r="U58" s="7">
        <v>12199</v>
      </c>
      <c r="V58" s="9" t="s">
        <v>1037</v>
      </c>
      <c r="W58" s="12">
        <v>44823</v>
      </c>
      <c r="X58" s="7">
        <v>3.09</v>
      </c>
      <c r="Y58" s="7">
        <v>3</v>
      </c>
      <c r="Z58" s="7">
        <v>9</v>
      </c>
      <c r="AA58" s="12">
        <v>34667</v>
      </c>
      <c r="AB58" s="7">
        <v>31.07</v>
      </c>
      <c r="AC58" s="7">
        <v>31</v>
      </c>
      <c r="AD58" s="7">
        <v>7</v>
      </c>
      <c r="AE58" s="7">
        <v>2.4700000000000002</v>
      </c>
      <c r="AF58" s="7">
        <v>2556</v>
      </c>
      <c r="AG58" s="8" t="s">
        <v>1315</v>
      </c>
      <c r="AH58" s="7" t="s">
        <v>151</v>
      </c>
      <c r="AI58" s="7">
        <v>11980</v>
      </c>
      <c r="AJ58" s="8"/>
    </row>
    <row r="59" spans="1:36" ht="18.600000000000001" x14ac:dyDescent="0.55000000000000004">
      <c r="A59" s="7">
        <v>58</v>
      </c>
      <c r="B59" s="7" t="s">
        <v>1027</v>
      </c>
      <c r="C59" s="7" t="s">
        <v>1316</v>
      </c>
      <c r="D59" s="7" t="s">
        <v>121</v>
      </c>
      <c r="E59" s="7" t="s">
        <v>138</v>
      </c>
      <c r="F59" s="8" t="s">
        <v>1317</v>
      </c>
      <c r="G59" s="8" t="s">
        <v>1318</v>
      </c>
      <c r="H59" s="7" t="s">
        <v>865</v>
      </c>
      <c r="I59" s="8" t="s">
        <v>866</v>
      </c>
      <c r="J59" s="8" t="s">
        <v>867</v>
      </c>
      <c r="K59" s="8" t="s">
        <v>1031</v>
      </c>
      <c r="L59" s="8" t="s">
        <v>1032</v>
      </c>
      <c r="M59" s="7" t="s">
        <v>128</v>
      </c>
      <c r="N59" s="7" t="s">
        <v>1319</v>
      </c>
      <c r="O59" s="8">
        <v>1600900116440</v>
      </c>
      <c r="P59" s="8" t="s">
        <v>1320</v>
      </c>
      <c r="Q59" s="8"/>
      <c r="R59" s="8" t="s">
        <v>1321</v>
      </c>
      <c r="S59" s="7">
        <v>11082</v>
      </c>
      <c r="T59" s="9" t="s">
        <v>1036</v>
      </c>
      <c r="U59" s="7">
        <v>12199</v>
      </c>
      <c r="V59" s="9" t="s">
        <v>1037</v>
      </c>
      <c r="W59" s="12">
        <v>44823</v>
      </c>
      <c r="X59" s="7">
        <v>3.09</v>
      </c>
      <c r="Y59" s="7">
        <v>3</v>
      </c>
      <c r="Z59" s="7">
        <v>9</v>
      </c>
      <c r="AA59" s="12">
        <v>34930</v>
      </c>
      <c r="AB59" s="7">
        <v>30.1</v>
      </c>
      <c r="AC59" s="7">
        <v>30</v>
      </c>
      <c r="AD59" s="7">
        <v>10</v>
      </c>
      <c r="AE59" s="7">
        <v>1.76</v>
      </c>
      <c r="AF59" s="7">
        <v>2556</v>
      </c>
      <c r="AG59" s="8" t="s">
        <v>1322</v>
      </c>
      <c r="AH59" s="7" t="s">
        <v>151</v>
      </c>
      <c r="AI59" s="7">
        <v>11890</v>
      </c>
      <c r="AJ59" s="8"/>
    </row>
    <row r="60" spans="1:36" ht="18.600000000000001" x14ac:dyDescent="0.55000000000000004">
      <c r="A60" s="7">
        <v>59</v>
      </c>
      <c r="B60" s="7" t="s">
        <v>1136</v>
      </c>
      <c r="C60" s="7" t="s">
        <v>1323</v>
      </c>
      <c r="D60" s="7" t="s">
        <v>121</v>
      </c>
      <c r="E60" s="7" t="s">
        <v>138</v>
      </c>
      <c r="F60" s="8" t="s">
        <v>1324</v>
      </c>
      <c r="G60" s="8" t="s">
        <v>1325</v>
      </c>
      <c r="H60" s="7" t="s">
        <v>865</v>
      </c>
      <c r="I60" s="8" t="s">
        <v>866</v>
      </c>
      <c r="J60" s="8" t="s">
        <v>867</v>
      </c>
      <c r="K60" s="8" t="s">
        <v>1031</v>
      </c>
      <c r="L60" s="8" t="s">
        <v>1140</v>
      </c>
      <c r="M60" s="7" t="s">
        <v>128</v>
      </c>
      <c r="N60" s="7" t="s">
        <v>1319</v>
      </c>
      <c r="O60" s="8">
        <v>1660800092948</v>
      </c>
      <c r="P60" s="8" t="s">
        <v>1326</v>
      </c>
      <c r="Q60" s="8"/>
      <c r="R60" s="8" t="s">
        <v>1327</v>
      </c>
      <c r="S60" s="7">
        <v>11988</v>
      </c>
      <c r="T60" s="9" t="s">
        <v>1839</v>
      </c>
      <c r="U60" s="7">
        <v>12199</v>
      </c>
      <c r="V60" s="9" t="s">
        <v>1037</v>
      </c>
      <c r="W60" s="12">
        <v>44823</v>
      </c>
      <c r="X60" s="7">
        <v>3.09</v>
      </c>
      <c r="Y60" s="7">
        <v>3</v>
      </c>
      <c r="Z60" s="7">
        <v>9</v>
      </c>
      <c r="AA60" s="12">
        <v>36734</v>
      </c>
      <c r="AB60" s="7">
        <v>25.11</v>
      </c>
      <c r="AC60" s="7">
        <v>25</v>
      </c>
      <c r="AD60" s="7">
        <v>11</v>
      </c>
      <c r="AE60" s="7">
        <v>2.82</v>
      </c>
      <c r="AF60" s="7">
        <v>2564</v>
      </c>
      <c r="AG60" s="8" t="s">
        <v>1171</v>
      </c>
      <c r="AH60" s="7" t="s">
        <v>135</v>
      </c>
      <c r="AI60" s="7">
        <v>12050</v>
      </c>
      <c r="AJ60" s="8"/>
    </row>
    <row r="61" spans="1:36" ht="18.600000000000001" x14ac:dyDescent="0.55000000000000004">
      <c r="A61" s="7">
        <v>60</v>
      </c>
      <c r="B61" s="7" t="s">
        <v>1136</v>
      </c>
      <c r="C61" s="7" t="s">
        <v>1328</v>
      </c>
      <c r="D61" s="7" t="s">
        <v>121</v>
      </c>
      <c r="E61" s="7" t="s">
        <v>138</v>
      </c>
      <c r="F61" s="8" t="s">
        <v>1329</v>
      </c>
      <c r="G61" s="8" t="s">
        <v>1330</v>
      </c>
      <c r="H61" s="7" t="s">
        <v>865</v>
      </c>
      <c r="I61" s="8" t="s">
        <v>866</v>
      </c>
      <c r="J61" s="8" t="s">
        <v>867</v>
      </c>
      <c r="K61" s="8" t="s">
        <v>1031</v>
      </c>
      <c r="L61" s="8" t="s">
        <v>1140</v>
      </c>
      <c r="M61" s="7" t="s">
        <v>128</v>
      </c>
      <c r="N61" s="7" t="s">
        <v>1331</v>
      </c>
      <c r="O61" s="8">
        <v>1102002308851</v>
      </c>
      <c r="P61" s="8" t="s">
        <v>1332</v>
      </c>
      <c r="Q61" s="8"/>
      <c r="R61" s="8" t="s">
        <v>1333</v>
      </c>
      <c r="S61" s="7">
        <v>11988</v>
      </c>
      <c r="T61" s="9" t="s">
        <v>1839</v>
      </c>
      <c r="U61" s="7">
        <v>12199</v>
      </c>
      <c r="V61" s="9" t="s">
        <v>1037</v>
      </c>
      <c r="W61" s="12">
        <v>44825</v>
      </c>
      <c r="X61" s="7">
        <v>3.09</v>
      </c>
      <c r="Y61" s="7">
        <v>3</v>
      </c>
      <c r="Z61" s="7">
        <v>9</v>
      </c>
      <c r="AA61" s="12">
        <v>34779</v>
      </c>
      <c r="AB61" s="7">
        <v>31.03</v>
      </c>
      <c r="AC61" s="7">
        <v>31</v>
      </c>
      <c r="AD61" s="7">
        <v>3</v>
      </c>
      <c r="AE61" s="7">
        <v>3.53</v>
      </c>
      <c r="AF61" s="7">
        <v>2556</v>
      </c>
      <c r="AG61" s="8" t="s">
        <v>1334</v>
      </c>
      <c r="AH61" s="7" t="s">
        <v>258</v>
      </c>
      <c r="AI61" s="7">
        <v>11940</v>
      </c>
      <c r="AJ61" s="8"/>
    </row>
    <row r="62" spans="1:36" ht="18.600000000000001" x14ac:dyDescent="0.55000000000000004">
      <c r="A62" s="7">
        <v>61</v>
      </c>
      <c r="B62" s="7" t="s">
        <v>1136</v>
      </c>
      <c r="C62" s="7" t="s">
        <v>1335</v>
      </c>
      <c r="D62" s="7" t="s">
        <v>121</v>
      </c>
      <c r="E62" s="7" t="s">
        <v>138</v>
      </c>
      <c r="F62" s="8" t="s">
        <v>1336</v>
      </c>
      <c r="G62" s="8" t="s">
        <v>1337</v>
      </c>
      <c r="H62" s="7" t="s">
        <v>865</v>
      </c>
      <c r="I62" s="8" t="s">
        <v>866</v>
      </c>
      <c r="J62" s="8" t="s">
        <v>867</v>
      </c>
      <c r="K62" s="8" t="s">
        <v>1031</v>
      </c>
      <c r="L62" s="8" t="s">
        <v>1140</v>
      </c>
      <c r="M62" s="7" t="s">
        <v>128</v>
      </c>
      <c r="N62" s="7" t="s">
        <v>1338</v>
      </c>
      <c r="O62" s="8">
        <v>1609900042622</v>
      </c>
      <c r="P62" s="8" t="s">
        <v>1339</v>
      </c>
      <c r="Q62" s="8"/>
      <c r="R62" s="8" t="s">
        <v>1340</v>
      </c>
      <c r="S62" s="7">
        <v>11988</v>
      </c>
      <c r="T62" s="9" t="s">
        <v>1839</v>
      </c>
      <c r="U62" s="7">
        <v>12199</v>
      </c>
      <c r="V62" s="9" t="s">
        <v>1037</v>
      </c>
      <c r="W62" s="12">
        <v>44825</v>
      </c>
      <c r="X62" s="7">
        <v>3.09</v>
      </c>
      <c r="Y62" s="7">
        <v>3</v>
      </c>
      <c r="Z62" s="7">
        <v>9</v>
      </c>
      <c r="AA62" s="12">
        <v>31865</v>
      </c>
      <c r="AB62" s="7">
        <v>39.03</v>
      </c>
      <c r="AC62" s="7">
        <v>39</v>
      </c>
      <c r="AD62" s="7">
        <v>3</v>
      </c>
      <c r="AE62" s="7">
        <v>2.61</v>
      </c>
      <c r="AF62" s="7">
        <v>2561</v>
      </c>
      <c r="AG62" s="8" t="s">
        <v>1341</v>
      </c>
      <c r="AH62" s="7" t="s">
        <v>135</v>
      </c>
      <c r="AI62" s="7">
        <v>12100</v>
      </c>
      <c r="AJ62" s="8"/>
    </row>
    <row r="63" spans="1:36" ht="18.600000000000001" x14ac:dyDescent="0.55000000000000004">
      <c r="A63" s="7">
        <v>62</v>
      </c>
      <c r="B63" s="7" t="s">
        <v>923</v>
      </c>
      <c r="C63" s="7" t="s">
        <v>1342</v>
      </c>
      <c r="D63" s="7" t="s">
        <v>121</v>
      </c>
      <c r="E63" s="7" t="s">
        <v>138</v>
      </c>
      <c r="F63" s="8" t="s">
        <v>1343</v>
      </c>
      <c r="G63" s="8" t="s">
        <v>1344</v>
      </c>
      <c r="H63" s="7" t="s">
        <v>865</v>
      </c>
      <c r="I63" s="8" t="s">
        <v>866</v>
      </c>
      <c r="J63" s="8" t="s">
        <v>902</v>
      </c>
      <c r="K63" s="8" t="s">
        <v>927</v>
      </c>
      <c r="L63" s="8" t="s">
        <v>928</v>
      </c>
      <c r="M63" s="7" t="s">
        <v>128</v>
      </c>
      <c r="N63" s="7" t="s">
        <v>1345</v>
      </c>
      <c r="O63" s="8">
        <v>1450200275032</v>
      </c>
      <c r="P63" s="8" t="s">
        <v>1346</v>
      </c>
      <c r="Q63" s="8"/>
      <c r="R63" s="8" t="s">
        <v>1347</v>
      </c>
      <c r="S63" s="7">
        <v>10894</v>
      </c>
      <c r="T63" s="9" t="s">
        <v>932</v>
      </c>
      <c r="U63" s="7">
        <v>11285</v>
      </c>
      <c r="V63" s="9" t="s">
        <v>933</v>
      </c>
      <c r="W63" s="12">
        <v>44825</v>
      </c>
      <c r="X63" s="7">
        <v>3.09</v>
      </c>
      <c r="Y63" s="7">
        <v>3</v>
      </c>
      <c r="Z63" s="7">
        <v>9</v>
      </c>
      <c r="AA63" s="12">
        <v>36017</v>
      </c>
      <c r="AB63" s="7">
        <v>27.1</v>
      </c>
      <c r="AC63" s="7">
        <v>27</v>
      </c>
      <c r="AD63" s="7">
        <v>10</v>
      </c>
      <c r="AE63" s="7">
        <v>2.42</v>
      </c>
      <c r="AF63" s="7">
        <v>2559</v>
      </c>
      <c r="AG63" s="8" t="s">
        <v>1348</v>
      </c>
      <c r="AH63" s="7" t="s">
        <v>151</v>
      </c>
      <c r="AI63" s="7">
        <v>11990</v>
      </c>
      <c r="AJ63" s="8"/>
    </row>
    <row r="64" spans="1:36" ht="18.600000000000001" x14ac:dyDescent="0.55000000000000004">
      <c r="A64" s="7">
        <v>63</v>
      </c>
      <c r="B64" s="7" t="s">
        <v>983</v>
      </c>
      <c r="C64" s="7" t="s">
        <v>1349</v>
      </c>
      <c r="D64" s="7" t="s">
        <v>121</v>
      </c>
      <c r="E64" s="7" t="s">
        <v>138</v>
      </c>
      <c r="F64" s="8" t="s">
        <v>1350</v>
      </c>
      <c r="G64" s="8" t="s">
        <v>1351</v>
      </c>
      <c r="H64" s="7" t="s">
        <v>865</v>
      </c>
      <c r="I64" s="8" t="s">
        <v>866</v>
      </c>
      <c r="J64" s="8" t="s">
        <v>867</v>
      </c>
      <c r="K64" s="8" t="s">
        <v>1830</v>
      </c>
      <c r="L64" s="8" t="s">
        <v>1837</v>
      </c>
      <c r="M64" s="7" t="s">
        <v>128</v>
      </c>
      <c r="N64" s="7" t="s">
        <v>1352</v>
      </c>
      <c r="O64" s="8">
        <v>1430500387341</v>
      </c>
      <c r="P64" s="8" t="s">
        <v>1353</v>
      </c>
      <c r="Q64" s="8"/>
      <c r="R64" s="8" t="s">
        <v>1354</v>
      </c>
      <c r="S64" s="7">
        <v>11000</v>
      </c>
      <c r="T64" s="9" t="s">
        <v>991</v>
      </c>
      <c r="U64" s="7">
        <v>14627</v>
      </c>
      <c r="V64" s="9" t="s">
        <v>874</v>
      </c>
      <c r="W64" s="12">
        <v>44825</v>
      </c>
      <c r="X64" s="7">
        <v>3.09</v>
      </c>
      <c r="Y64" s="7">
        <v>3</v>
      </c>
      <c r="Z64" s="7">
        <v>9</v>
      </c>
      <c r="AA64" s="12">
        <v>35755</v>
      </c>
      <c r="AB64" s="7">
        <v>28.07</v>
      </c>
      <c r="AC64" s="7">
        <v>28</v>
      </c>
      <c r="AD64" s="7">
        <v>7</v>
      </c>
      <c r="AE64" s="7">
        <v>2.92</v>
      </c>
      <c r="AF64" s="7">
        <v>2561</v>
      </c>
      <c r="AG64" s="8" t="s">
        <v>1355</v>
      </c>
      <c r="AH64" s="7" t="s">
        <v>135</v>
      </c>
      <c r="AI64" s="7">
        <v>11860</v>
      </c>
      <c r="AJ64" s="8"/>
    </row>
    <row r="65" spans="1:36" ht="18.600000000000001" x14ac:dyDescent="0.55000000000000004">
      <c r="A65" s="7">
        <v>64</v>
      </c>
      <c r="B65" s="7" t="s">
        <v>1097</v>
      </c>
      <c r="C65" s="7" t="s">
        <v>1356</v>
      </c>
      <c r="D65" s="7" t="s">
        <v>121</v>
      </c>
      <c r="E65" s="7" t="s">
        <v>138</v>
      </c>
      <c r="F65" s="8" t="s">
        <v>1357</v>
      </c>
      <c r="G65" s="8" t="s">
        <v>1358</v>
      </c>
      <c r="H65" s="7" t="s">
        <v>865</v>
      </c>
      <c r="I65" s="8" t="s">
        <v>866</v>
      </c>
      <c r="J65" s="8" t="s">
        <v>915</v>
      </c>
      <c r="K65" s="8" t="s">
        <v>1101</v>
      </c>
      <c r="L65" s="8" t="s">
        <v>1101</v>
      </c>
      <c r="M65" s="7" t="s">
        <v>128</v>
      </c>
      <c r="N65" s="7" t="s">
        <v>753</v>
      </c>
      <c r="O65" s="8">
        <v>1570700168200</v>
      </c>
      <c r="P65" s="8" t="s">
        <v>1359</v>
      </c>
      <c r="Q65" s="8"/>
      <c r="R65" s="8" t="s">
        <v>1360</v>
      </c>
      <c r="S65" s="7">
        <v>12023</v>
      </c>
      <c r="T65" s="9" t="s">
        <v>1105</v>
      </c>
      <c r="U65" s="7">
        <v>0</v>
      </c>
      <c r="V65" s="9">
        <v>0</v>
      </c>
      <c r="W65" s="12">
        <v>44825</v>
      </c>
      <c r="X65" s="7">
        <v>3.09</v>
      </c>
      <c r="Y65" s="7">
        <v>3</v>
      </c>
      <c r="Z65" s="7">
        <v>9</v>
      </c>
      <c r="AA65" s="12">
        <v>34124</v>
      </c>
      <c r="AB65" s="7">
        <v>33</v>
      </c>
      <c r="AC65" s="7">
        <v>33</v>
      </c>
      <c r="AD65" s="7">
        <v>0</v>
      </c>
      <c r="AE65" s="7">
        <v>2.54</v>
      </c>
      <c r="AF65" s="7">
        <v>2561</v>
      </c>
      <c r="AG65" s="8" t="s">
        <v>1361</v>
      </c>
      <c r="AH65" s="7" t="s">
        <v>151</v>
      </c>
      <c r="AI65" s="7">
        <v>11970</v>
      </c>
      <c r="AJ65" s="8"/>
    </row>
    <row r="66" spans="1:36" ht="18.600000000000001" x14ac:dyDescent="0.55000000000000004">
      <c r="A66" s="7">
        <v>65</v>
      </c>
      <c r="B66" s="7" t="s">
        <v>1362</v>
      </c>
      <c r="C66" s="7" t="s">
        <v>1363</v>
      </c>
      <c r="D66" s="7" t="s">
        <v>121</v>
      </c>
      <c r="E66" s="7" t="s">
        <v>138</v>
      </c>
      <c r="F66" s="8" t="s">
        <v>1364</v>
      </c>
      <c r="G66" s="8" t="s">
        <v>1365</v>
      </c>
      <c r="H66" s="7" t="s">
        <v>865</v>
      </c>
      <c r="I66" s="8" t="s">
        <v>866</v>
      </c>
      <c r="J66" s="8" t="s">
        <v>902</v>
      </c>
      <c r="K66" s="8" t="s">
        <v>1366</v>
      </c>
      <c r="L66" s="8" t="s">
        <v>1366</v>
      </c>
      <c r="M66" s="7" t="s">
        <v>128</v>
      </c>
      <c r="N66" s="7" t="s">
        <v>1367</v>
      </c>
      <c r="O66" s="8">
        <v>1329200004348</v>
      </c>
      <c r="P66" s="8" t="s">
        <v>1368</v>
      </c>
      <c r="Q66" s="8"/>
      <c r="R66" s="8" t="s">
        <v>1369</v>
      </c>
      <c r="S66" s="7">
        <v>10894</v>
      </c>
      <c r="T66" s="9" t="s">
        <v>932</v>
      </c>
      <c r="U66" s="7">
        <v>11285</v>
      </c>
      <c r="V66" s="9" t="s">
        <v>933</v>
      </c>
      <c r="W66" s="12">
        <v>44825</v>
      </c>
      <c r="X66" s="7">
        <v>3.09</v>
      </c>
      <c r="Y66" s="7">
        <v>3</v>
      </c>
      <c r="Z66" s="7">
        <v>9</v>
      </c>
      <c r="AA66" s="12">
        <v>37166</v>
      </c>
      <c r="AB66" s="7">
        <v>24.08</v>
      </c>
      <c r="AC66" s="7">
        <v>24</v>
      </c>
      <c r="AD66" s="7">
        <v>8</v>
      </c>
      <c r="AE66" s="7">
        <v>2.21</v>
      </c>
      <c r="AF66" s="7">
        <v>2563</v>
      </c>
      <c r="AG66" s="8" t="s">
        <v>1370</v>
      </c>
      <c r="AH66" s="7" t="s">
        <v>151</v>
      </c>
      <c r="AI66" s="7">
        <v>12110</v>
      </c>
      <c r="AJ66" s="8"/>
    </row>
    <row r="67" spans="1:36" ht="18.600000000000001" x14ac:dyDescent="0.55000000000000004">
      <c r="A67" s="7">
        <v>66</v>
      </c>
      <c r="B67" s="7" t="s">
        <v>1371</v>
      </c>
      <c r="C67" s="7" t="s">
        <v>1372</v>
      </c>
      <c r="D67" s="7" t="s">
        <v>121</v>
      </c>
      <c r="E67" s="7" t="s">
        <v>138</v>
      </c>
      <c r="F67" s="8" t="s">
        <v>1373</v>
      </c>
      <c r="G67" s="8" t="s">
        <v>1374</v>
      </c>
      <c r="H67" s="7" t="s">
        <v>865</v>
      </c>
      <c r="I67" s="8" t="s">
        <v>880</v>
      </c>
      <c r="J67" s="8" t="s">
        <v>1015</v>
      </c>
      <c r="K67" s="8" t="s">
        <v>1375</v>
      </c>
      <c r="L67" s="8" t="s">
        <v>1375</v>
      </c>
      <c r="M67" s="7" t="s">
        <v>128</v>
      </c>
      <c r="N67" s="7" t="s">
        <v>555</v>
      </c>
      <c r="O67" s="8">
        <v>1431500000048</v>
      </c>
      <c r="P67" s="8" t="s">
        <v>1376</v>
      </c>
      <c r="Q67" s="8"/>
      <c r="R67" s="8" t="s">
        <v>1377</v>
      </c>
      <c r="S67" s="7">
        <v>11586</v>
      </c>
      <c r="T67" s="9" t="s">
        <v>1378</v>
      </c>
      <c r="U67" s="7">
        <v>11582</v>
      </c>
      <c r="V67" s="9" t="s">
        <v>1379</v>
      </c>
      <c r="W67" s="12">
        <v>44837</v>
      </c>
      <c r="X67" s="7">
        <v>3.08</v>
      </c>
      <c r="Y67" s="7">
        <v>3</v>
      </c>
      <c r="Z67" s="7">
        <v>8</v>
      </c>
      <c r="AA67" s="12">
        <v>34804</v>
      </c>
      <c r="AB67" s="7">
        <v>31.02</v>
      </c>
      <c r="AC67" s="7">
        <v>31</v>
      </c>
      <c r="AD67" s="7">
        <v>2</v>
      </c>
      <c r="AE67" s="7">
        <v>3.1</v>
      </c>
      <c r="AF67" s="7">
        <v>2556</v>
      </c>
      <c r="AG67" s="8" t="s">
        <v>1380</v>
      </c>
      <c r="AH67" s="7" t="s">
        <v>258</v>
      </c>
      <c r="AI67" s="7">
        <v>11780</v>
      </c>
      <c r="AJ67" s="8"/>
    </row>
    <row r="68" spans="1:36" ht="18.600000000000001" x14ac:dyDescent="0.55000000000000004">
      <c r="A68" s="7">
        <v>67</v>
      </c>
      <c r="B68" s="7" t="s">
        <v>1371</v>
      </c>
      <c r="C68" s="7" t="s">
        <v>1381</v>
      </c>
      <c r="D68" s="7" t="s">
        <v>121</v>
      </c>
      <c r="E68" s="7" t="s">
        <v>138</v>
      </c>
      <c r="F68" s="8" t="s">
        <v>1382</v>
      </c>
      <c r="G68" s="8" t="s">
        <v>1383</v>
      </c>
      <c r="H68" s="7" t="s">
        <v>865</v>
      </c>
      <c r="I68" s="8" t="s">
        <v>880</v>
      </c>
      <c r="J68" s="8" t="s">
        <v>1015</v>
      </c>
      <c r="K68" s="8" t="s">
        <v>1375</v>
      </c>
      <c r="L68" s="8" t="s">
        <v>1375</v>
      </c>
      <c r="M68" s="7" t="s">
        <v>128</v>
      </c>
      <c r="N68" s="7" t="s">
        <v>1384</v>
      </c>
      <c r="O68" s="8">
        <v>1139900200516</v>
      </c>
      <c r="P68" s="8" t="s">
        <v>1385</v>
      </c>
      <c r="Q68" s="8"/>
      <c r="R68" s="8" t="s">
        <v>1386</v>
      </c>
      <c r="S68" s="7">
        <v>12999</v>
      </c>
      <c r="T68" s="9" t="s">
        <v>1387</v>
      </c>
      <c r="U68" s="7">
        <v>11582</v>
      </c>
      <c r="V68" s="9" t="s">
        <v>1379</v>
      </c>
      <c r="W68" s="12">
        <v>44837</v>
      </c>
      <c r="X68" s="7">
        <v>3.08</v>
      </c>
      <c r="Y68" s="7">
        <v>3</v>
      </c>
      <c r="Z68" s="7">
        <v>8</v>
      </c>
      <c r="AA68" s="12">
        <v>34981</v>
      </c>
      <c r="AB68" s="7">
        <v>30.08</v>
      </c>
      <c r="AC68" s="7">
        <v>30</v>
      </c>
      <c r="AD68" s="7">
        <v>8</v>
      </c>
      <c r="AE68" s="7">
        <v>2.83</v>
      </c>
      <c r="AF68" s="7">
        <v>2557</v>
      </c>
      <c r="AG68" s="8" t="s">
        <v>1388</v>
      </c>
      <c r="AH68" s="7" t="s">
        <v>258</v>
      </c>
      <c r="AI68" s="7">
        <v>11790</v>
      </c>
      <c r="AJ68" s="8"/>
    </row>
    <row r="69" spans="1:36" ht="18.600000000000001" x14ac:dyDescent="0.55000000000000004">
      <c r="A69" s="7">
        <v>68</v>
      </c>
      <c r="B69" s="7" t="s">
        <v>1371</v>
      </c>
      <c r="C69" s="7" t="s">
        <v>1389</v>
      </c>
      <c r="D69" s="7" t="s">
        <v>121</v>
      </c>
      <c r="E69" s="7" t="s">
        <v>138</v>
      </c>
      <c r="F69" s="8" t="s">
        <v>1390</v>
      </c>
      <c r="G69" s="8" t="s">
        <v>1391</v>
      </c>
      <c r="H69" s="7" t="s">
        <v>865</v>
      </c>
      <c r="I69" s="8" t="s">
        <v>880</v>
      </c>
      <c r="J69" s="8" t="s">
        <v>1015</v>
      </c>
      <c r="K69" s="8" t="s">
        <v>1375</v>
      </c>
      <c r="L69" s="8" t="s">
        <v>1375</v>
      </c>
      <c r="M69" s="7" t="s">
        <v>128</v>
      </c>
      <c r="N69" s="7" t="s">
        <v>400</v>
      </c>
      <c r="O69" s="8">
        <v>1102002130831</v>
      </c>
      <c r="P69" s="8" t="s">
        <v>1392</v>
      </c>
      <c r="Q69" s="8"/>
      <c r="R69" s="8" t="s">
        <v>1393</v>
      </c>
      <c r="S69" s="7">
        <v>12999</v>
      </c>
      <c r="T69" s="9" t="s">
        <v>1387</v>
      </c>
      <c r="U69" s="7">
        <v>11582</v>
      </c>
      <c r="V69" s="9" t="s">
        <v>1379</v>
      </c>
      <c r="W69" s="12">
        <v>44844</v>
      </c>
      <c r="X69" s="7">
        <v>3.08</v>
      </c>
      <c r="Y69" s="7">
        <v>3</v>
      </c>
      <c r="Z69" s="7">
        <v>8</v>
      </c>
      <c r="AA69" s="12">
        <v>34468</v>
      </c>
      <c r="AB69" s="7">
        <v>32.01</v>
      </c>
      <c r="AC69" s="7">
        <v>32</v>
      </c>
      <c r="AD69" s="7">
        <v>1</v>
      </c>
      <c r="AE69" s="7">
        <v>3.02</v>
      </c>
      <c r="AF69" s="7">
        <v>2556</v>
      </c>
      <c r="AG69" s="8" t="s">
        <v>1394</v>
      </c>
      <c r="AH69" s="7" t="s">
        <v>258</v>
      </c>
      <c r="AI69" s="7">
        <v>12080</v>
      </c>
      <c r="AJ69" s="8"/>
    </row>
    <row r="70" spans="1:36" ht="18.600000000000001" x14ac:dyDescent="0.55000000000000004">
      <c r="A70" s="7">
        <v>69</v>
      </c>
      <c r="B70" s="7" t="s">
        <v>1279</v>
      </c>
      <c r="C70" s="7" t="s">
        <v>1395</v>
      </c>
      <c r="D70" s="7" t="s">
        <v>121</v>
      </c>
      <c r="E70" s="7" t="s">
        <v>138</v>
      </c>
      <c r="F70" s="8" t="s">
        <v>1396</v>
      </c>
      <c r="G70" s="8" t="s">
        <v>1397</v>
      </c>
      <c r="H70" s="7" t="s">
        <v>865</v>
      </c>
      <c r="I70" s="8" t="s">
        <v>880</v>
      </c>
      <c r="J70" s="8" t="s">
        <v>1015</v>
      </c>
      <c r="K70" s="8" t="s">
        <v>1283</v>
      </c>
      <c r="L70" s="8" t="s">
        <v>1283</v>
      </c>
      <c r="M70" s="7" t="s">
        <v>128</v>
      </c>
      <c r="N70" s="7" t="s">
        <v>1398</v>
      </c>
      <c r="O70" s="8">
        <v>1540300132747</v>
      </c>
      <c r="P70" s="8" t="s">
        <v>1399</v>
      </c>
      <c r="Q70" s="8"/>
      <c r="R70" s="8" t="s">
        <v>1400</v>
      </c>
      <c r="S70" s="7">
        <v>10860</v>
      </c>
      <c r="T70" s="9" t="s">
        <v>1286</v>
      </c>
      <c r="U70" s="7">
        <v>14978</v>
      </c>
      <c r="V70" s="9" t="s">
        <v>1287</v>
      </c>
      <c r="W70" s="12">
        <v>44844</v>
      </c>
      <c r="X70" s="7">
        <v>3.08</v>
      </c>
      <c r="Y70" s="7">
        <v>3</v>
      </c>
      <c r="Z70" s="7">
        <v>8</v>
      </c>
      <c r="AA70" s="12">
        <v>36148</v>
      </c>
      <c r="AB70" s="7">
        <v>27.06</v>
      </c>
      <c r="AC70" s="7">
        <v>27</v>
      </c>
      <c r="AD70" s="7">
        <v>6</v>
      </c>
      <c r="AE70" s="7">
        <v>3.1</v>
      </c>
      <c r="AF70" s="7">
        <v>2562</v>
      </c>
      <c r="AG70" s="8" t="s">
        <v>1401</v>
      </c>
      <c r="AH70" s="7" t="s">
        <v>135</v>
      </c>
      <c r="AI70" s="7">
        <v>12900</v>
      </c>
      <c r="AJ70" s="8"/>
    </row>
    <row r="71" spans="1:36" ht="18.600000000000001" x14ac:dyDescent="0.55000000000000004">
      <c r="A71" s="7">
        <v>70</v>
      </c>
      <c r="B71" s="7" t="s">
        <v>1831</v>
      </c>
      <c r="C71" s="7" t="s">
        <v>1402</v>
      </c>
      <c r="D71" s="7" t="s">
        <v>121</v>
      </c>
      <c r="E71" s="7" t="s">
        <v>138</v>
      </c>
      <c r="F71" s="8" t="s">
        <v>1403</v>
      </c>
      <c r="G71" s="8" t="s">
        <v>1404</v>
      </c>
      <c r="H71" s="7" t="s">
        <v>865</v>
      </c>
      <c r="I71" s="8" t="s">
        <v>866</v>
      </c>
      <c r="J71" s="8"/>
      <c r="K71" s="8" t="s">
        <v>1832</v>
      </c>
      <c r="L71" s="8"/>
      <c r="M71" s="7" t="s">
        <v>128</v>
      </c>
      <c r="N71" s="7" t="s">
        <v>463</v>
      </c>
      <c r="O71" s="8">
        <v>1470700039427</v>
      </c>
      <c r="P71" s="8" t="s">
        <v>1405</v>
      </c>
      <c r="Q71" s="8"/>
      <c r="R71" s="8" t="s">
        <v>1406</v>
      </c>
      <c r="S71" s="7">
        <v>14932</v>
      </c>
      <c r="T71" s="9" t="s">
        <v>1833</v>
      </c>
      <c r="U71" s="7"/>
      <c r="V71" s="9"/>
      <c r="W71" s="12">
        <v>44844</v>
      </c>
      <c r="X71" s="7">
        <v>3.08</v>
      </c>
      <c r="Y71" s="7">
        <v>3</v>
      </c>
      <c r="Z71" s="7">
        <v>8</v>
      </c>
      <c r="AA71" s="12">
        <v>33022</v>
      </c>
      <c r="AB71" s="7">
        <v>36.01</v>
      </c>
      <c r="AC71" s="7">
        <v>36</v>
      </c>
      <c r="AD71" s="7">
        <v>1</v>
      </c>
      <c r="AE71" s="7">
        <v>2.27</v>
      </c>
      <c r="AF71" s="7">
        <v>2555</v>
      </c>
      <c r="AG71" s="8" t="s">
        <v>1407</v>
      </c>
      <c r="AH71" s="7" t="s">
        <v>151</v>
      </c>
      <c r="AI71" s="7">
        <v>11930</v>
      </c>
      <c r="AJ71" s="8"/>
    </row>
    <row r="72" spans="1:36" ht="18.600000000000001" x14ac:dyDescent="0.55000000000000004">
      <c r="A72" s="7">
        <v>71</v>
      </c>
      <c r="B72" s="7" t="s">
        <v>1048</v>
      </c>
      <c r="C72" s="7" t="s">
        <v>1408</v>
      </c>
      <c r="D72" s="7" t="s">
        <v>121</v>
      </c>
      <c r="E72" s="7" t="s">
        <v>138</v>
      </c>
      <c r="F72" s="8" t="s">
        <v>1409</v>
      </c>
      <c r="G72" s="8" t="s">
        <v>1410</v>
      </c>
      <c r="H72" s="7" t="s">
        <v>865</v>
      </c>
      <c r="I72" s="8" t="s">
        <v>866</v>
      </c>
      <c r="J72" s="8" t="s">
        <v>915</v>
      </c>
      <c r="K72" s="8" t="s">
        <v>1052</v>
      </c>
      <c r="L72" s="8" t="s">
        <v>1053</v>
      </c>
      <c r="M72" s="7" t="s">
        <v>128</v>
      </c>
      <c r="N72" s="7" t="s">
        <v>1411</v>
      </c>
      <c r="O72" s="8">
        <v>1939900184947</v>
      </c>
      <c r="P72" s="13" t="s">
        <v>1412</v>
      </c>
      <c r="Q72" s="8"/>
      <c r="R72" s="8" t="s">
        <v>1413</v>
      </c>
      <c r="S72" s="7">
        <v>12032</v>
      </c>
      <c r="T72" s="9" t="s">
        <v>1057</v>
      </c>
      <c r="U72" s="7">
        <v>10729</v>
      </c>
      <c r="V72" s="9" t="s">
        <v>1058</v>
      </c>
      <c r="W72" s="12">
        <v>44879</v>
      </c>
      <c r="X72" s="7">
        <v>3.07</v>
      </c>
      <c r="Y72" s="7">
        <v>3</v>
      </c>
      <c r="Z72" s="7">
        <v>7</v>
      </c>
      <c r="AA72" s="12">
        <v>33481</v>
      </c>
      <c r="AB72" s="7">
        <v>34.1</v>
      </c>
      <c r="AC72" s="7">
        <v>34</v>
      </c>
      <c r="AD72" s="7">
        <v>10</v>
      </c>
      <c r="AE72" s="7">
        <v>2.71</v>
      </c>
      <c r="AF72" s="7">
        <v>2553</v>
      </c>
      <c r="AG72" s="8" t="s">
        <v>1414</v>
      </c>
      <c r="AH72" s="7" t="s">
        <v>258</v>
      </c>
      <c r="AI72" s="7">
        <v>11920</v>
      </c>
      <c r="AJ72" s="8"/>
    </row>
    <row r="73" spans="1:36" ht="18.600000000000001" x14ac:dyDescent="0.55000000000000004">
      <c r="A73" s="7">
        <v>72</v>
      </c>
      <c r="B73" s="7" t="s">
        <v>1048</v>
      </c>
      <c r="C73" s="7" t="s">
        <v>1415</v>
      </c>
      <c r="D73" s="7" t="s">
        <v>121</v>
      </c>
      <c r="E73" s="7" t="s">
        <v>138</v>
      </c>
      <c r="F73" s="8" t="s">
        <v>1416</v>
      </c>
      <c r="G73" s="8" t="s">
        <v>1417</v>
      </c>
      <c r="H73" s="7" t="s">
        <v>865</v>
      </c>
      <c r="I73" s="8" t="s">
        <v>866</v>
      </c>
      <c r="J73" s="8" t="s">
        <v>915</v>
      </c>
      <c r="K73" s="8" t="s">
        <v>1052</v>
      </c>
      <c r="L73" s="8" t="s">
        <v>1053</v>
      </c>
      <c r="M73" s="7" t="s">
        <v>128</v>
      </c>
      <c r="N73" s="7" t="s">
        <v>1418</v>
      </c>
      <c r="O73" s="8">
        <v>1560301341196</v>
      </c>
      <c r="P73" s="8" t="s">
        <v>1419</v>
      </c>
      <c r="Q73" s="8"/>
      <c r="R73" s="8" t="s">
        <v>1420</v>
      </c>
      <c r="S73" s="7">
        <v>12032</v>
      </c>
      <c r="T73" s="9" t="s">
        <v>1057</v>
      </c>
      <c r="U73" s="7">
        <v>10729</v>
      </c>
      <c r="V73" s="9" t="s">
        <v>1058</v>
      </c>
      <c r="W73" s="12">
        <v>44879</v>
      </c>
      <c r="X73" s="7">
        <v>3.07</v>
      </c>
      <c r="Y73" s="7">
        <v>3</v>
      </c>
      <c r="Z73" s="7">
        <v>7</v>
      </c>
      <c r="AA73" s="12">
        <v>36629</v>
      </c>
      <c r="AB73" s="7">
        <v>26.02</v>
      </c>
      <c r="AC73" s="7">
        <v>26</v>
      </c>
      <c r="AD73" s="7">
        <v>2</v>
      </c>
      <c r="AE73" s="7">
        <v>1.7</v>
      </c>
      <c r="AF73" s="7">
        <v>2562</v>
      </c>
      <c r="AG73" s="8" t="s">
        <v>1308</v>
      </c>
      <c r="AH73" s="7" t="s">
        <v>151</v>
      </c>
      <c r="AI73" s="7">
        <v>11860</v>
      </c>
      <c r="AJ73" s="8"/>
    </row>
    <row r="74" spans="1:36" ht="18.600000000000001" x14ac:dyDescent="0.55000000000000004">
      <c r="A74" s="7">
        <v>73</v>
      </c>
      <c r="B74" s="7" t="s">
        <v>1421</v>
      </c>
      <c r="C74" s="7" t="s">
        <v>1422</v>
      </c>
      <c r="D74" s="7" t="s">
        <v>121</v>
      </c>
      <c r="E74" s="7" t="s">
        <v>138</v>
      </c>
      <c r="F74" s="8" t="s">
        <v>1423</v>
      </c>
      <c r="G74" s="8" t="s">
        <v>1424</v>
      </c>
      <c r="H74" s="7" t="s">
        <v>865</v>
      </c>
      <c r="I74" s="8" t="s">
        <v>866</v>
      </c>
      <c r="J74" s="8" t="s">
        <v>915</v>
      </c>
      <c r="K74" s="8" t="s">
        <v>1052</v>
      </c>
      <c r="L74" s="8" t="s">
        <v>1425</v>
      </c>
      <c r="M74" s="7" t="s">
        <v>128</v>
      </c>
      <c r="N74" s="7" t="s">
        <v>1426</v>
      </c>
      <c r="O74" s="8">
        <v>1140600164478</v>
      </c>
      <c r="P74" s="8" t="s">
        <v>1427</v>
      </c>
      <c r="Q74" s="8"/>
      <c r="R74" s="8" t="s">
        <v>1428</v>
      </c>
      <c r="S74" s="7">
        <v>12991</v>
      </c>
      <c r="T74" s="9" t="s">
        <v>1213</v>
      </c>
      <c r="U74" s="7">
        <v>10729</v>
      </c>
      <c r="V74" s="9" t="s">
        <v>1058</v>
      </c>
      <c r="W74" s="12">
        <v>44893</v>
      </c>
      <c r="X74" s="7">
        <v>3.07</v>
      </c>
      <c r="Y74" s="7">
        <v>3</v>
      </c>
      <c r="Z74" s="7">
        <v>7</v>
      </c>
      <c r="AA74" s="12">
        <v>35668</v>
      </c>
      <c r="AB74" s="7">
        <v>28.1</v>
      </c>
      <c r="AC74" s="7">
        <v>28</v>
      </c>
      <c r="AD74" s="7">
        <v>10</v>
      </c>
      <c r="AE74" s="7">
        <v>2.19</v>
      </c>
      <c r="AF74" s="7">
        <v>2561</v>
      </c>
      <c r="AG74" s="8" t="s">
        <v>438</v>
      </c>
      <c r="AH74" s="7" t="s">
        <v>135</v>
      </c>
      <c r="AI74" s="7">
        <v>11730</v>
      </c>
      <c r="AJ74" s="8"/>
    </row>
    <row r="75" spans="1:36" ht="18.600000000000001" x14ac:dyDescent="0.55000000000000004">
      <c r="A75" s="7">
        <v>74</v>
      </c>
      <c r="B75" s="7" t="s">
        <v>1421</v>
      </c>
      <c r="C75" s="7" t="s">
        <v>1429</v>
      </c>
      <c r="D75" s="7" t="s">
        <v>121</v>
      </c>
      <c r="E75" s="7" t="s">
        <v>138</v>
      </c>
      <c r="F75" s="8" t="s">
        <v>1430</v>
      </c>
      <c r="G75" s="8" t="s">
        <v>1431</v>
      </c>
      <c r="H75" s="7" t="s">
        <v>865</v>
      </c>
      <c r="I75" s="8" t="s">
        <v>866</v>
      </c>
      <c r="J75" s="8" t="s">
        <v>915</v>
      </c>
      <c r="K75" s="8" t="s">
        <v>1052</v>
      </c>
      <c r="L75" s="8" t="s">
        <v>1425</v>
      </c>
      <c r="M75" s="7" t="s">
        <v>128</v>
      </c>
      <c r="N75" s="7" t="s">
        <v>1426</v>
      </c>
      <c r="O75" s="8">
        <v>1460200098696</v>
      </c>
      <c r="P75" s="8" t="s">
        <v>1432</v>
      </c>
      <c r="Q75" s="8"/>
      <c r="R75" s="8" t="s">
        <v>1433</v>
      </c>
      <c r="S75" s="7">
        <v>12991</v>
      </c>
      <c r="T75" s="9" t="s">
        <v>1213</v>
      </c>
      <c r="U75" s="7">
        <v>10729</v>
      </c>
      <c r="V75" s="9" t="s">
        <v>1058</v>
      </c>
      <c r="W75" s="12">
        <v>44893</v>
      </c>
      <c r="X75" s="7">
        <v>3.07</v>
      </c>
      <c r="Y75" s="7">
        <v>3</v>
      </c>
      <c r="Z75" s="7">
        <v>7</v>
      </c>
      <c r="AA75" s="12">
        <v>36495</v>
      </c>
      <c r="AB75" s="7">
        <v>26.07</v>
      </c>
      <c r="AC75" s="7">
        <v>26</v>
      </c>
      <c r="AD75" s="7">
        <v>7</v>
      </c>
      <c r="AE75" s="7">
        <v>2.79</v>
      </c>
      <c r="AF75" s="7">
        <v>2563</v>
      </c>
      <c r="AG75" s="8" t="s">
        <v>1434</v>
      </c>
      <c r="AH75" s="7" t="s">
        <v>135</v>
      </c>
      <c r="AI75" s="7">
        <v>11880</v>
      </c>
      <c r="AJ75" s="8"/>
    </row>
    <row r="76" spans="1:36" ht="18.600000000000001" x14ac:dyDescent="0.55000000000000004">
      <c r="A76" s="7">
        <v>75</v>
      </c>
      <c r="B76" s="7" t="s">
        <v>974</v>
      </c>
      <c r="C76" s="7" t="s">
        <v>1435</v>
      </c>
      <c r="D76" s="7" t="s">
        <v>121</v>
      </c>
      <c r="E76" s="7" t="s">
        <v>138</v>
      </c>
      <c r="F76" s="8" t="s">
        <v>1436</v>
      </c>
      <c r="G76" s="8" t="s">
        <v>1437</v>
      </c>
      <c r="H76" s="7" t="s">
        <v>865</v>
      </c>
      <c r="I76" s="8" t="s">
        <v>866</v>
      </c>
      <c r="J76" s="8" t="s">
        <v>902</v>
      </c>
      <c r="K76" s="8" t="s">
        <v>952</v>
      </c>
      <c r="L76" s="8" t="s">
        <v>978</v>
      </c>
      <c r="M76" s="7" t="s">
        <v>128</v>
      </c>
      <c r="N76" s="7" t="s">
        <v>1438</v>
      </c>
      <c r="O76" s="8">
        <v>1459900603405</v>
      </c>
      <c r="P76" s="8" t="s">
        <v>1439</v>
      </c>
      <c r="Q76" s="8"/>
      <c r="R76" s="8" t="s">
        <v>1440</v>
      </c>
      <c r="S76" s="7">
        <v>10975</v>
      </c>
      <c r="T76" s="9" t="s">
        <v>957</v>
      </c>
      <c r="U76" s="7">
        <v>15513</v>
      </c>
      <c r="V76" s="9" t="s">
        <v>958</v>
      </c>
      <c r="W76" s="12">
        <v>44901</v>
      </c>
      <c r="X76" s="7">
        <v>3.06</v>
      </c>
      <c r="Y76" s="7">
        <v>3</v>
      </c>
      <c r="Z76" s="7">
        <v>6</v>
      </c>
      <c r="AA76" s="12">
        <v>35483</v>
      </c>
      <c r="AB76" s="7">
        <v>29.04</v>
      </c>
      <c r="AC76" s="7">
        <v>29</v>
      </c>
      <c r="AD76" s="7">
        <v>4</v>
      </c>
      <c r="AE76" s="7">
        <v>2.93</v>
      </c>
      <c r="AF76" s="7">
        <v>2558</v>
      </c>
      <c r="AG76" s="8" t="s">
        <v>1441</v>
      </c>
      <c r="AH76" s="7" t="s">
        <v>258</v>
      </c>
      <c r="AI76" s="7">
        <v>11900</v>
      </c>
      <c r="AJ76" s="8"/>
    </row>
    <row r="77" spans="1:36" ht="18.600000000000001" x14ac:dyDescent="0.55000000000000004">
      <c r="A77" s="7">
        <v>76</v>
      </c>
      <c r="B77" s="7" t="s">
        <v>1831</v>
      </c>
      <c r="C77" s="7" t="s">
        <v>1442</v>
      </c>
      <c r="D77" s="7" t="s">
        <v>121</v>
      </c>
      <c r="E77" s="7" t="s">
        <v>138</v>
      </c>
      <c r="F77" s="8" t="s">
        <v>1443</v>
      </c>
      <c r="G77" s="8" t="s">
        <v>1444</v>
      </c>
      <c r="H77" s="7" t="s">
        <v>865</v>
      </c>
      <c r="I77" s="8" t="s">
        <v>866</v>
      </c>
      <c r="J77" s="8"/>
      <c r="K77" s="8" t="s">
        <v>1832</v>
      </c>
      <c r="L77" s="8"/>
      <c r="M77" s="7" t="s">
        <v>128</v>
      </c>
      <c r="N77" s="7" t="s">
        <v>1445</v>
      </c>
      <c r="O77" s="8">
        <v>1530500063218</v>
      </c>
      <c r="P77" s="8" t="s">
        <v>1446</v>
      </c>
      <c r="Q77" s="8"/>
      <c r="R77" s="8" t="s">
        <v>1447</v>
      </c>
      <c r="S77" s="7">
        <v>14932</v>
      </c>
      <c r="T77" s="9" t="s">
        <v>1833</v>
      </c>
      <c r="U77" s="7"/>
      <c r="V77" s="9"/>
      <c r="W77" s="12">
        <v>44901</v>
      </c>
      <c r="X77" s="7">
        <v>3.06</v>
      </c>
      <c r="Y77" s="7">
        <v>3</v>
      </c>
      <c r="Z77" s="7">
        <v>6</v>
      </c>
      <c r="AA77" s="12">
        <v>36416</v>
      </c>
      <c r="AB77" s="7">
        <v>26.09</v>
      </c>
      <c r="AC77" s="7">
        <v>26</v>
      </c>
      <c r="AD77" s="7">
        <v>9</v>
      </c>
      <c r="AE77" s="7">
        <v>2.48</v>
      </c>
      <c r="AF77" s="7">
        <v>2561</v>
      </c>
      <c r="AG77" s="8" t="s">
        <v>1448</v>
      </c>
      <c r="AH77" s="7" t="s">
        <v>258</v>
      </c>
      <c r="AI77" s="7">
        <v>11890</v>
      </c>
      <c r="AJ77" s="8"/>
    </row>
    <row r="78" spans="1:36" ht="18.600000000000001" x14ac:dyDescent="0.55000000000000004">
      <c r="A78" s="7">
        <v>77</v>
      </c>
      <c r="B78" s="7" t="s">
        <v>1279</v>
      </c>
      <c r="C78" s="7" t="s">
        <v>1449</v>
      </c>
      <c r="D78" s="7" t="s">
        <v>121</v>
      </c>
      <c r="E78" s="7" t="s">
        <v>138</v>
      </c>
      <c r="F78" s="8" t="s">
        <v>1450</v>
      </c>
      <c r="G78" s="8" t="s">
        <v>1451</v>
      </c>
      <c r="H78" s="7" t="s">
        <v>865</v>
      </c>
      <c r="I78" s="8" t="s">
        <v>880</v>
      </c>
      <c r="J78" s="8" t="s">
        <v>1015</v>
      </c>
      <c r="K78" s="8" t="s">
        <v>1283</v>
      </c>
      <c r="L78" s="8" t="s">
        <v>1283</v>
      </c>
      <c r="M78" s="7" t="s">
        <v>128</v>
      </c>
      <c r="N78" s="7" t="s">
        <v>1452</v>
      </c>
      <c r="O78" s="8">
        <v>1430501461561</v>
      </c>
      <c r="P78" s="8" t="s">
        <v>1453</v>
      </c>
      <c r="Q78" s="8"/>
      <c r="R78" s="8" t="s">
        <v>1454</v>
      </c>
      <c r="S78" s="7">
        <v>10860</v>
      </c>
      <c r="T78" s="9" t="s">
        <v>1286</v>
      </c>
      <c r="U78" s="7">
        <v>14978</v>
      </c>
      <c r="V78" s="9" t="s">
        <v>1287</v>
      </c>
      <c r="W78" s="12">
        <v>44942</v>
      </c>
      <c r="X78" s="7">
        <v>3.05</v>
      </c>
      <c r="Y78" s="7">
        <v>3</v>
      </c>
      <c r="Z78" s="7">
        <v>5</v>
      </c>
      <c r="AA78" s="12">
        <v>36898</v>
      </c>
      <c r="AB78" s="7">
        <v>25.05</v>
      </c>
      <c r="AC78" s="7">
        <v>25</v>
      </c>
      <c r="AD78" s="7">
        <v>5</v>
      </c>
      <c r="AE78" s="7">
        <v>2.94</v>
      </c>
      <c r="AF78" s="7">
        <v>2564</v>
      </c>
      <c r="AG78" s="8" t="s">
        <v>1455</v>
      </c>
      <c r="AH78" s="7" t="s">
        <v>135</v>
      </c>
      <c r="AI78" s="7">
        <v>12810</v>
      </c>
      <c r="AJ78" s="8"/>
    </row>
    <row r="79" spans="1:36" ht="18.600000000000001" x14ac:dyDescent="0.55000000000000004">
      <c r="A79" s="7">
        <v>78</v>
      </c>
      <c r="B79" s="7" t="s">
        <v>1456</v>
      </c>
      <c r="C79" s="7" t="s">
        <v>1457</v>
      </c>
      <c r="D79" s="7" t="s">
        <v>121</v>
      </c>
      <c r="E79" s="7" t="s">
        <v>138</v>
      </c>
      <c r="F79" s="8" t="s">
        <v>1458</v>
      </c>
      <c r="G79" s="8" t="s">
        <v>1459</v>
      </c>
      <c r="H79" s="7" t="s">
        <v>865</v>
      </c>
      <c r="I79" s="8" t="s">
        <v>67</v>
      </c>
      <c r="J79" s="8" t="s">
        <v>66</v>
      </c>
      <c r="K79" s="8" t="s">
        <v>65</v>
      </c>
      <c r="L79" s="8" t="s">
        <v>65</v>
      </c>
      <c r="M79" s="7" t="s">
        <v>128</v>
      </c>
      <c r="N79" s="7" t="s">
        <v>1460</v>
      </c>
      <c r="O79" s="8">
        <v>1650200157755</v>
      </c>
      <c r="P79" s="8" t="s">
        <v>1461</v>
      </c>
      <c r="Q79" s="8"/>
      <c r="R79" s="8" t="s">
        <v>1462</v>
      </c>
      <c r="S79" s="7">
        <v>11469</v>
      </c>
      <c r="T79" s="9" t="s">
        <v>1463</v>
      </c>
      <c r="U79" s="7">
        <v>15440</v>
      </c>
      <c r="V79" s="9" t="s">
        <v>1464</v>
      </c>
      <c r="W79" s="12">
        <v>44942</v>
      </c>
      <c r="X79" s="7">
        <v>3.05</v>
      </c>
      <c r="Y79" s="7">
        <v>3</v>
      </c>
      <c r="Z79" s="7">
        <v>5</v>
      </c>
      <c r="AA79" s="12">
        <v>35344</v>
      </c>
      <c r="AB79" s="7">
        <v>29.08</v>
      </c>
      <c r="AC79" s="7">
        <v>29</v>
      </c>
      <c r="AD79" s="7">
        <v>8</v>
      </c>
      <c r="AE79" s="7">
        <v>3.42</v>
      </c>
      <c r="AF79" s="7">
        <v>2560</v>
      </c>
      <c r="AG79" s="8" t="s">
        <v>1465</v>
      </c>
      <c r="AH79" s="7" t="s">
        <v>135</v>
      </c>
      <c r="AI79" s="7">
        <v>12730</v>
      </c>
      <c r="AJ79" s="8"/>
    </row>
    <row r="80" spans="1:36" ht="18.600000000000001" x14ac:dyDescent="0.55000000000000004">
      <c r="A80" s="7">
        <v>79</v>
      </c>
      <c r="B80" s="7" t="s">
        <v>1831</v>
      </c>
      <c r="C80" s="7" t="s">
        <v>1466</v>
      </c>
      <c r="D80" s="7" t="s">
        <v>121</v>
      </c>
      <c r="E80" s="7" t="s">
        <v>138</v>
      </c>
      <c r="F80" s="8" t="s">
        <v>1467</v>
      </c>
      <c r="G80" s="8" t="s">
        <v>1468</v>
      </c>
      <c r="H80" s="7" t="s">
        <v>865</v>
      </c>
      <c r="I80" s="8" t="s">
        <v>866</v>
      </c>
      <c r="J80" s="8"/>
      <c r="K80" s="8" t="s">
        <v>1832</v>
      </c>
      <c r="L80" s="8"/>
      <c r="M80" s="7" t="s">
        <v>128</v>
      </c>
      <c r="N80" s="7" t="s">
        <v>1469</v>
      </c>
      <c r="O80" s="8">
        <v>1469900396116</v>
      </c>
      <c r="P80" s="8" t="s">
        <v>1470</v>
      </c>
      <c r="Q80" s="8"/>
      <c r="R80" s="8" t="s">
        <v>1471</v>
      </c>
      <c r="S80" s="7">
        <v>14932</v>
      </c>
      <c r="T80" s="9" t="s">
        <v>1833</v>
      </c>
      <c r="U80" s="7"/>
      <c r="V80" s="9"/>
      <c r="W80" s="12">
        <v>45000</v>
      </c>
      <c r="X80" s="7">
        <v>3.03</v>
      </c>
      <c r="Y80" s="7">
        <v>3</v>
      </c>
      <c r="Z80" s="7">
        <v>3</v>
      </c>
      <c r="AA80" s="12">
        <v>35692</v>
      </c>
      <c r="AB80" s="7">
        <v>28.09</v>
      </c>
      <c r="AC80" s="7">
        <v>28</v>
      </c>
      <c r="AD80" s="7">
        <v>9</v>
      </c>
      <c r="AE80" s="7">
        <v>3.11</v>
      </c>
      <c r="AF80" s="7">
        <v>2560</v>
      </c>
      <c r="AG80" s="8" t="s">
        <v>1472</v>
      </c>
      <c r="AH80" s="7" t="s">
        <v>151</v>
      </c>
      <c r="AI80" s="7">
        <v>11820</v>
      </c>
      <c r="AJ80" s="8"/>
    </row>
    <row r="81" spans="1:36" ht="18.600000000000001" x14ac:dyDescent="0.55000000000000004">
      <c r="A81" s="7">
        <v>80</v>
      </c>
      <c r="B81" s="7" t="s">
        <v>1371</v>
      </c>
      <c r="C81" s="7" t="s">
        <v>1473</v>
      </c>
      <c r="D81" s="7" t="s">
        <v>121</v>
      </c>
      <c r="E81" s="7" t="s">
        <v>138</v>
      </c>
      <c r="F81" s="8" t="s">
        <v>1474</v>
      </c>
      <c r="G81" s="8" t="s">
        <v>1475</v>
      </c>
      <c r="H81" s="7" t="s">
        <v>865</v>
      </c>
      <c r="I81" s="8" t="s">
        <v>880</v>
      </c>
      <c r="J81" s="8" t="s">
        <v>1015</v>
      </c>
      <c r="K81" s="8" t="s">
        <v>1375</v>
      </c>
      <c r="L81" s="8" t="s">
        <v>1375</v>
      </c>
      <c r="M81" s="7" t="s">
        <v>128</v>
      </c>
      <c r="N81" s="7" t="s">
        <v>988</v>
      </c>
      <c r="O81" s="8">
        <v>1360600203889</v>
      </c>
      <c r="P81" s="8" t="s">
        <v>1476</v>
      </c>
      <c r="Q81" s="8"/>
      <c r="R81" s="8" t="s">
        <v>1477</v>
      </c>
      <c r="S81" s="7">
        <v>12999</v>
      </c>
      <c r="T81" s="9" t="s">
        <v>1387</v>
      </c>
      <c r="U81" s="7">
        <v>11582</v>
      </c>
      <c r="V81" s="9" t="s">
        <v>1379</v>
      </c>
      <c r="W81" s="12">
        <v>45005</v>
      </c>
      <c r="X81" s="7">
        <v>3.03</v>
      </c>
      <c r="Y81" s="7">
        <v>3</v>
      </c>
      <c r="Z81" s="7">
        <v>3</v>
      </c>
      <c r="AA81" s="12">
        <v>35843</v>
      </c>
      <c r="AB81" s="7">
        <v>28.04</v>
      </c>
      <c r="AC81" s="7">
        <v>28</v>
      </c>
      <c r="AD81" s="7">
        <v>4</v>
      </c>
      <c r="AE81" s="7">
        <v>3.3</v>
      </c>
      <c r="AF81" s="7">
        <v>2562</v>
      </c>
      <c r="AG81" s="8" t="s">
        <v>134</v>
      </c>
      <c r="AH81" s="7" t="s">
        <v>135</v>
      </c>
      <c r="AI81" s="7">
        <v>12660</v>
      </c>
      <c r="AJ81" s="8"/>
    </row>
    <row r="82" spans="1:36" ht="18.600000000000001" x14ac:dyDescent="0.55000000000000004">
      <c r="A82" s="7">
        <v>81</v>
      </c>
      <c r="B82" s="7" t="s">
        <v>898</v>
      </c>
      <c r="C82" s="7" t="s">
        <v>1478</v>
      </c>
      <c r="D82" s="7" t="s">
        <v>121</v>
      </c>
      <c r="E82" s="7" t="s">
        <v>138</v>
      </c>
      <c r="F82" s="8" t="s">
        <v>1479</v>
      </c>
      <c r="G82" s="8" t="s">
        <v>1480</v>
      </c>
      <c r="H82" s="7" t="s">
        <v>865</v>
      </c>
      <c r="I82" s="8" t="s">
        <v>866</v>
      </c>
      <c r="J82" s="8" t="s">
        <v>902</v>
      </c>
      <c r="K82" s="8" t="s">
        <v>903</v>
      </c>
      <c r="L82" s="8" t="s">
        <v>904</v>
      </c>
      <c r="M82" s="7" t="s">
        <v>128</v>
      </c>
      <c r="N82" s="7" t="s">
        <v>1481</v>
      </c>
      <c r="O82" s="8">
        <v>1480700168324</v>
      </c>
      <c r="P82" s="8" t="s">
        <v>1482</v>
      </c>
      <c r="Q82" s="8"/>
      <c r="R82" s="8" t="s">
        <v>1483</v>
      </c>
      <c r="S82" s="7">
        <v>12054</v>
      </c>
      <c r="T82" s="9" t="s">
        <v>908</v>
      </c>
      <c r="U82" s="7">
        <v>12306</v>
      </c>
      <c r="V82" s="9" t="s">
        <v>909</v>
      </c>
      <c r="W82" s="12">
        <v>45005</v>
      </c>
      <c r="X82" s="7">
        <v>3.03</v>
      </c>
      <c r="Y82" s="7">
        <v>3</v>
      </c>
      <c r="Z82" s="7">
        <v>3</v>
      </c>
      <c r="AA82" s="12">
        <v>35134</v>
      </c>
      <c r="AB82" s="7">
        <v>30.03</v>
      </c>
      <c r="AC82" s="7">
        <v>30</v>
      </c>
      <c r="AD82" s="7">
        <v>3</v>
      </c>
      <c r="AE82" s="7">
        <v>2.62</v>
      </c>
      <c r="AF82" s="7">
        <v>2561</v>
      </c>
      <c r="AG82" s="8" t="s">
        <v>1484</v>
      </c>
      <c r="AH82" s="7" t="s">
        <v>258</v>
      </c>
      <c r="AI82" s="7">
        <v>11860</v>
      </c>
      <c r="AJ82" s="8"/>
    </row>
    <row r="83" spans="1:36" ht="18.600000000000001" x14ac:dyDescent="0.55000000000000004">
      <c r="A83" s="7">
        <v>82</v>
      </c>
      <c r="B83" s="7" t="s">
        <v>983</v>
      </c>
      <c r="C83" s="7" t="s">
        <v>1485</v>
      </c>
      <c r="D83" s="7" t="s">
        <v>121</v>
      </c>
      <c r="E83" s="7" t="s">
        <v>138</v>
      </c>
      <c r="F83" s="8" t="s">
        <v>1486</v>
      </c>
      <c r="G83" s="8" t="s">
        <v>1487</v>
      </c>
      <c r="H83" s="7" t="s">
        <v>865</v>
      </c>
      <c r="I83" s="8" t="s">
        <v>866</v>
      </c>
      <c r="J83" s="8" t="s">
        <v>867</v>
      </c>
      <c r="K83" s="8" t="s">
        <v>1830</v>
      </c>
      <c r="L83" s="8" t="s">
        <v>1837</v>
      </c>
      <c r="M83" s="7" t="s">
        <v>128</v>
      </c>
      <c r="N83" s="7" t="s">
        <v>1488</v>
      </c>
      <c r="O83" s="8">
        <v>1369900479144</v>
      </c>
      <c r="P83" s="8" t="s">
        <v>1489</v>
      </c>
      <c r="Q83" s="8"/>
      <c r="R83" s="8" t="s">
        <v>1490</v>
      </c>
      <c r="S83" s="7">
        <v>11000</v>
      </c>
      <c r="T83" s="9" t="s">
        <v>991</v>
      </c>
      <c r="U83" s="7">
        <v>14627</v>
      </c>
      <c r="V83" s="9" t="s">
        <v>874</v>
      </c>
      <c r="W83" s="12">
        <v>45005</v>
      </c>
      <c r="X83" s="7">
        <v>3.03</v>
      </c>
      <c r="Y83" s="7">
        <v>3</v>
      </c>
      <c r="Z83" s="7">
        <v>3</v>
      </c>
      <c r="AA83" s="12">
        <v>36255</v>
      </c>
      <c r="AB83" s="7">
        <v>27.02</v>
      </c>
      <c r="AC83" s="7">
        <v>27</v>
      </c>
      <c r="AD83" s="7">
        <v>2</v>
      </c>
      <c r="AE83" s="7">
        <v>2.2200000000000002</v>
      </c>
      <c r="AF83" s="7">
        <v>2560</v>
      </c>
      <c r="AG83" s="8" t="s">
        <v>1491</v>
      </c>
      <c r="AH83" s="7" t="s">
        <v>151</v>
      </c>
      <c r="AI83" s="7">
        <v>11770</v>
      </c>
      <c r="AJ83" s="8"/>
    </row>
    <row r="84" spans="1:36" ht="18.600000000000001" x14ac:dyDescent="0.55000000000000004">
      <c r="A84" s="7">
        <v>83</v>
      </c>
      <c r="B84" s="7" t="s">
        <v>974</v>
      </c>
      <c r="C84" s="7" t="s">
        <v>1492</v>
      </c>
      <c r="D84" s="7" t="s">
        <v>121</v>
      </c>
      <c r="E84" s="7" t="s">
        <v>138</v>
      </c>
      <c r="F84" s="8" t="s">
        <v>1493</v>
      </c>
      <c r="G84" s="8" t="s">
        <v>1494</v>
      </c>
      <c r="H84" s="7" t="s">
        <v>865</v>
      </c>
      <c r="I84" s="8" t="s">
        <v>866</v>
      </c>
      <c r="J84" s="8" t="s">
        <v>902</v>
      </c>
      <c r="K84" s="8" t="s">
        <v>952</v>
      </c>
      <c r="L84" s="8" t="s">
        <v>978</v>
      </c>
      <c r="M84" s="7" t="s">
        <v>128</v>
      </c>
      <c r="N84" s="7" t="s">
        <v>1495</v>
      </c>
      <c r="O84" s="8">
        <v>1480400118526</v>
      </c>
      <c r="P84" s="8" t="s">
        <v>1496</v>
      </c>
      <c r="Q84" s="8"/>
      <c r="R84" s="8" t="s">
        <v>1497</v>
      </c>
      <c r="S84" s="7">
        <v>10975</v>
      </c>
      <c r="T84" s="9" t="s">
        <v>957</v>
      </c>
      <c r="U84" s="7">
        <v>15513</v>
      </c>
      <c r="V84" s="9" t="s">
        <v>958</v>
      </c>
      <c r="W84" s="12">
        <v>45033</v>
      </c>
      <c r="X84" s="7">
        <v>3.02</v>
      </c>
      <c r="Y84" s="7">
        <v>3</v>
      </c>
      <c r="Z84" s="7">
        <v>2</v>
      </c>
      <c r="AA84" s="12">
        <v>36553</v>
      </c>
      <c r="AB84" s="7">
        <v>26.05</v>
      </c>
      <c r="AC84" s="7">
        <v>26</v>
      </c>
      <c r="AD84" s="7">
        <v>5</v>
      </c>
      <c r="AE84" s="7">
        <v>3.63</v>
      </c>
      <c r="AF84" s="7">
        <v>2563</v>
      </c>
      <c r="AG84" s="8" t="s">
        <v>1498</v>
      </c>
      <c r="AH84" s="7" t="s">
        <v>135</v>
      </c>
      <c r="AI84" s="7">
        <v>12710</v>
      </c>
      <c r="AJ84" s="8"/>
    </row>
    <row r="85" spans="1:36" ht="18.600000000000001" x14ac:dyDescent="0.55000000000000004">
      <c r="A85" s="7">
        <v>84</v>
      </c>
      <c r="B85" s="7" t="s">
        <v>1421</v>
      </c>
      <c r="C85" s="7" t="s">
        <v>1499</v>
      </c>
      <c r="D85" s="7" t="s">
        <v>121</v>
      </c>
      <c r="E85" s="7" t="s">
        <v>138</v>
      </c>
      <c r="F85" s="8" t="s">
        <v>1500</v>
      </c>
      <c r="G85" s="8" t="s">
        <v>1501</v>
      </c>
      <c r="H85" s="7" t="s">
        <v>865</v>
      </c>
      <c r="I85" s="8" t="s">
        <v>866</v>
      </c>
      <c r="J85" s="8" t="s">
        <v>915</v>
      </c>
      <c r="K85" s="8" t="s">
        <v>1052</v>
      </c>
      <c r="L85" s="8" t="s">
        <v>1425</v>
      </c>
      <c r="M85" s="7" t="s">
        <v>128</v>
      </c>
      <c r="N85" s="7" t="s">
        <v>1502</v>
      </c>
      <c r="O85" s="8">
        <v>1321000339225</v>
      </c>
      <c r="P85" s="13" t="s">
        <v>1503</v>
      </c>
      <c r="Q85" s="8"/>
      <c r="R85" s="8" t="s">
        <v>1504</v>
      </c>
      <c r="S85" s="7">
        <v>12991</v>
      </c>
      <c r="T85" s="9" t="s">
        <v>1213</v>
      </c>
      <c r="U85" s="7">
        <v>10729</v>
      </c>
      <c r="V85" s="9" t="s">
        <v>1058</v>
      </c>
      <c r="W85" s="12">
        <v>45048</v>
      </c>
      <c r="X85" s="7">
        <v>3.01</v>
      </c>
      <c r="Y85" s="7">
        <v>3</v>
      </c>
      <c r="Z85" s="7">
        <v>1</v>
      </c>
      <c r="AA85" s="12">
        <v>35054</v>
      </c>
      <c r="AB85" s="7">
        <v>30.06</v>
      </c>
      <c r="AC85" s="7">
        <v>30</v>
      </c>
      <c r="AD85" s="7">
        <v>6</v>
      </c>
      <c r="AE85" s="7">
        <v>2.38</v>
      </c>
      <c r="AF85" s="7">
        <v>2557</v>
      </c>
      <c r="AG85" s="8" t="s">
        <v>1505</v>
      </c>
      <c r="AH85" s="7" t="s">
        <v>151</v>
      </c>
      <c r="AI85" s="7">
        <v>11860</v>
      </c>
      <c r="AJ85" s="8"/>
    </row>
    <row r="86" spans="1:36" ht="18.600000000000001" x14ac:dyDescent="0.55000000000000004">
      <c r="A86" s="7">
        <v>85</v>
      </c>
      <c r="B86" s="7" t="s">
        <v>1048</v>
      </c>
      <c r="C86" s="7" t="s">
        <v>1506</v>
      </c>
      <c r="D86" s="7" t="s">
        <v>121</v>
      </c>
      <c r="E86" s="7" t="s">
        <v>138</v>
      </c>
      <c r="F86" s="8" t="s">
        <v>1507</v>
      </c>
      <c r="G86" s="8" t="s">
        <v>1508</v>
      </c>
      <c r="H86" s="7" t="s">
        <v>865</v>
      </c>
      <c r="I86" s="8" t="s">
        <v>866</v>
      </c>
      <c r="J86" s="8" t="s">
        <v>915</v>
      </c>
      <c r="K86" s="8" t="s">
        <v>1052</v>
      </c>
      <c r="L86" s="8" t="s">
        <v>1053</v>
      </c>
      <c r="M86" s="7" t="s">
        <v>128</v>
      </c>
      <c r="N86" s="7" t="s">
        <v>400</v>
      </c>
      <c r="O86" s="8">
        <v>1468700007573</v>
      </c>
      <c r="P86" s="8" t="s">
        <v>1509</v>
      </c>
      <c r="Q86" s="8"/>
      <c r="R86" s="8" t="s">
        <v>1510</v>
      </c>
      <c r="S86" s="7">
        <v>12032</v>
      </c>
      <c r="T86" s="9" t="s">
        <v>1057</v>
      </c>
      <c r="U86" s="7">
        <v>10729</v>
      </c>
      <c r="V86" s="9" t="s">
        <v>1058</v>
      </c>
      <c r="W86" s="12">
        <v>45061</v>
      </c>
      <c r="X86" s="7">
        <v>3.01</v>
      </c>
      <c r="Y86" s="7">
        <v>3</v>
      </c>
      <c r="Z86" s="7">
        <v>1</v>
      </c>
      <c r="AA86" s="12">
        <v>37397</v>
      </c>
      <c r="AB86" s="7">
        <v>24.01</v>
      </c>
      <c r="AC86" s="7">
        <v>24</v>
      </c>
      <c r="AD86" s="7">
        <v>1</v>
      </c>
      <c r="AE86" s="7">
        <v>2.52</v>
      </c>
      <c r="AF86" s="7">
        <v>2564</v>
      </c>
      <c r="AG86" s="8" t="s">
        <v>1511</v>
      </c>
      <c r="AH86" s="7" t="s">
        <v>151</v>
      </c>
      <c r="AI86" s="7">
        <v>11820</v>
      </c>
      <c r="AJ86" s="8"/>
    </row>
    <row r="87" spans="1:36" ht="18.600000000000001" x14ac:dyDescent="0.55000000000000004">
      <c r="A87" s="7">
        <v>86</v>
      </c>
      <c r="B87" s="7" t="s">
        <v>1371</v>
      </c>
      <c r="C87" s="7" t="s">
        <v>1512</v>
      </c>
      <c r="D87" s="7" t="s">
        <v>121</v>
      </c>
      <c r="E87" s="7" t="s">
        <v>138</v>
      </c>
      <c r="F87" s="8" t="s">
        <v>1513</v>
      </c>
      <c r="G87" s="8" t="s">
        <v>1514</v>
      </c>
      <c r="H87" s="7" t="s">
        <v>865</v>
      </c>
      <c r="I87" s="8" t="s">
        <v>880</v>
      </c>
      <c r="J87" s="8" t="s">
        <v>1015</v>
      </c>
      <c r="K87" s="8" t="s">
        <v>1375</v>
      </c>
      <c r="L87" s="8" t="s">
        <v>1375</v>
      </c>
      <c r="M87" s="7" t="s">
        <v>128</v>
      </c>
      <c r="N87" s="7" t="s">
        <v>1515</v>
      </c>
      <c r="O87" s="8">
        <v>1369900379972</v>
      </c>
      <c r="P87" s="8" t="s">
        <v>1516</v>
      </c>
      <c r="Q87" s="8"/>
      <c r="R87" s="8" t="s">
        <v>1517</v>
      </c>
      <c r="S87" s="7">
        <v>11586</v>
      </c>
      <c r="T87" s="9" t="s">
        <v>1378</v>
      </c>
      <c r="U87" s="7">
        <v>11582</v>
      </c>
      <c r="V87" s="9" t="s">
        <v>1379</v>
      </c>
      <c r="W87" s="12">
        <v>45140</v>
      </c>
      <c r="X87" s="7">
        <v>2.1</v>
      </c>
      <c r="Y87" s="7">
        <v>2</v>
      </c>
      <c r="Z87" s="7">
        <v>10</v>
      </c>
      <c r="AA87" s="12">
        <v>35321</v>
      </c>
      <c r="AB87" s="7">
        <v>29.09</v>
      </c>
      <c r="AC87" s="7">
        <v>29</v>
      </c>
      <c r="AD87" s="7">
        <v>9</v>
      </c>
      <c r="AE87" s="7">
        <v>3.07</v>
      </c>
      <c r="AF87" s="7">
        <v>2560</v>
      </c>
      <c r="AG87" s="8" t="s">
        <v>134</v>
      </c>
      <c r="AH87" s="7" t="s">
        <v>135</v>
      </c>
      <c r="AI87" s="7">
        <v>11770</v>
      </c>
      <c r="AJ87" s="8"/>
    </row>
    <row r="88" spans="1:36" ht="18.600000000000001" x14ac:dyDescent="0.55000000000000004">
      <c r="A88" s="7">
        <v>87</v>
      </c>
      <c r="B88" s="7" t="s">
        <v>1456</v>
      </c>
      <c r="C88" s="7" t="s">
        <v>1518</v>
      </c>
      <c r="D88" s="7" t="s">
        <v>121</v>
      </c>
      <c r="E88" s="7" t="s">
        <v>138</v>
      </c>
      <c r="F88" s="8" t="s">
        <v>1519</v>
      </c>
      <c r="G88" s="8" t="s">
        <v>1520</v>
      </c>
      <c r="H88" s="7" t="s">
        <v>865</v>
      </c>
      <c r="I88" s="8" t="s">
        <v>67</v>
      </c>
      <c r="J88" s="8" t="s">
        <v>66</v>
      </c>
      <c r="K88" s="8" t="s">
        <v>65</v>
      </c>
      <c r="L88" s="8" t="s">
        <v>65</v>
      </c>
      <c r="M88" s="7" t="s">
        <v>128</v>
      </c>
      <c r="N88" s="7" t="s">
        <v>524</v>
      </c>
      <c r="O88" s="8">
        <v>1448900003547</v>
      </c>
      <c r="P88" s="8" t="s">
        <v>1521</v>
      </c>
      <c r="Q88" s="8"/>
      <c r="R88" s="8" t="s">
        <v>1522</v>
      </c>
      <c r="S88" s="7">
        <v>11470</v>
      </c>
      <c r="T88" s="9" t="s">
        <v>1523</v>
      </c>
      <c r="U88" s="7">
        <v>15440</v>
      </c>
      <c r="V88" s="9" t="s">
        <v>1464</v>
      </c>
      <c r="W88" s="12">
        <v>45566</v>
      </c>
      <c r="X88" s="7">
        <v>1.0900000000000001</v>
      </c>
      <c r="Y88" s="7">
        <v>1</v>
      </c>
      <c r="Z88" s="7">
        <v>9</v>
      </c>
      <c r="AA88" s="12">
        <v>37509</v>
      </c>
      <c r="AB88" s="7">
        <v>23.09</v>
      </c>
      <c r="AC88" s="7">
        <v>23</v>
      </c>
      <c r="AD88" s="7">
        <v>9</v>
      </c>
      <c r="AE88" s="7">
        <v>3.78</v>
      </c>
      <c r="AF88" s="7">
        <v>2566</v>
      </c>
      <c r="AG88" s="8" t="s">
        <v>1524</v>
      </c>
      <c r="AH88" s="7" t="s">
        <v>135</v>
      </c>
      <c r="AI88" s="7">
        <v>12590</v>
      </c>
      <c r="AJ88" s="8"/>
    </row>
    <row r="89" spans="1:36" ht="18.600000000000001" x14ac:dyDescent="0.55000000000000004">
      <c r="A89" s="7">
        <v>88</v>
      </c>
      <c r="B89" s="7" t="s">
        <v>1525</v>
      </c>
      <c r="C89" s="7" t="s">
        <v>1526</v>
      </c>
      <c r="D89" s="7" t="s">
        <v>121</v>
      </c>
      <c r="E89" s="7" t="s">
        <v>138</v>
      </c>
      <c r="F89" s="8" t="s">
        <v>1527</v>
      </c>
      <c r="G89" s="8" t="s">
        <v>1528</v>
      </c>
      <c r="H89" s="7" t="s">
        <v>865</v>
      </c>
      <c r="I89" s="8" t="s">
        <v>67</v>
      </c>
      <c r="J89" s="8" t="s">
        <v>66</v>
      </c>
      <c r="K89" s="8" t="s">
        <v>1529</v>
      </c>
      <c r="L89" s="8" t="s">
        <v>1529</v>
      </c>
      <c r="M89" s="7" t="s">
        <v>128</v>
      </c>
      <c r="N89" s="7" t="s">
        <v>1530</v>
      </c>
      <c r="O89" s="8">
        <v>1349901221868</v>
      </c>
      <c r="P89" s="8" t="s">
        <v>1531</v>
      </c>
      <c r="Q89" s="8"/>
      <c r="R89" s="8" t="s">
        <v>1532</v>
      </c>
      <c r="S89" s="7">
        <v>12271</v>
      </c>
      <c r="T89" s="9" t="s">
        <v>1533</v>
      </c>
      <c r="U89" s="7">
        <v>15192</v>
      </c>
      <c r="V89" s="9" t="s">
        <v>1534</v>
      </c>
      <c r="W89" s="12">
        <v>45572</v>
      </c>
      <c r="X89" s="7">
        <v>1.08</v>
      </c>
      <c r="Y89" s="7">
        <v>1</v>
      </c>
      <c r="Z89" s="7">
        <v>8</v>
      </c>
      <c r="AA89" s="12">
        <v>37820</v>
      </c>
      <c r="AB89" s="7">
        <v>22.11</v>
      </c>
      <c r="AC89" s="7">
        <v>22</v>
      </c>
      <c r="AD89" s="7">
        <v>11</v>
      </c>
      <c r="AE89" s="7">
        <v>3.45</v>
      </c>
      <c r="AF89" s="7">
        <v>2567</v>
      </c>
      <c r="AG89" s="8" t="s">
        <v>1535</v>
      </c>
      <c r="AH89" s="7" t="s">
        <v>135</v>
      </c>
      <c r="AI89" s="7">
        <v>12500</v>
      </c>
      <c r="AJ89" s="8"/>
    </row>
    <row r="90" spans="1:36" ht="18.600000000000001" x14ac:dyDescent="0.55000000000000004">
      <c r="A90" s="7">
        <v>89</v>
      </c>
      <c r="B90" s="7" t="s">
        <v>1525</v>
      </c>
      <c r="C90" s="7" t="s">
        <v>1536</v>
      </c>
      <c r="D90" s="7" t="s">
        <v>121</v>
      </c>
      <c r="E90" s="7" t="s">
        <v>138</v>
      </c>
      <c r="F90" s="8" t="s">
        <v>1537</v>
      </c>
      <c r="G90" s="8" t="s">
        <v>1538</v>
      </c>
      <c r="H90" s="7" t="s">
        <v>865</v>
      </c>
      <c r="I90" s="8" t="s">
        <v>67</v>
      </c>
      <c r="J90" s="8" t="s">
        <v>66</v>
      </c>
      <c r="K90" s="8" t="s">
        <v>1529</v>
      </c>
      <c r="L90" s="8" t="s">
        <v>1529</v>
      </c>
      <c r="M90" s="7" t="s">
        <v>128</v>
      </c>
      <c r="N90" s="7" t="s">
        <v>1539</v>
      </c>
      <c r="O90" s="8">
        <v>1490400107192</v>
      </c>
      <c r="P90" s="8" t="s">
        <v>1540</v>
      </c>
      <c r="Q90" s="8"/>
      <c r="R90" s="8" t="s">
        <v>1541</v>
      </c>
      <c r="S90" s="7">
        <v>11028</v>
      </c>
      <c r="T90" s="9" t="s">
        <v>1542</v>
      </c>
      <c r="U90" s="7">
        <v>15192</v>
      </c>
      <c r="V90" s="9" t="s">
        <v>1534</v>
      </c>
      <c r="W90" s="12">
        <v>45574</v>
      </c>
      <c r="X90" s="7">
        <v>1.08</v>
      </c>
      <c r="Y90" s="7">
        <v>1</v>
      </c>
      <c r="Z90" s="7">
        <v>8</v>
      </c>
      <c r="AA90" s="12">
        <v>36514</v>
      </c>
      <c r="AB90" s="7">
        <v>26.06</v>
      </c>
      <c r="AC90" s="7">
        <v>26</v>
      </c>
      <c r="AD90" s="7">
        <v>6</v>
      </c>
      <c r="AE90" s="7">
        <v>3.2</v>
      </c>
      <c r="AF90" s="7">
        <v>2563</v>
      </c>
      <c r="AG90" s="8" t="s">
        <v>1543</v>
      </c>
      <c r="AH90" s="7" t="s">
        <v>135</v>
      </c>
      <c r="AI90" s="7">
        <v>12550</v>
      </c>
      <c r="AJ90" s="8"/>
    </row>
    <row r="91" spans="1:36" ht="18.600000000000001" x14ac:dyDescent="0.55000000000000004">
      <c r="A91" s="7">
        <v>90</v>
      </c>
      <c r="B91" s="7" t="s">
        <v>1544</v>
      </c>
      <c r="C91" s="7" t="s">
        <v>1545</v>
      </c>
      <c r="D91" s="7" t="s">
        <v>121</v>
      </c>
      <c r="E91" s="7" t="s">
        <v>138</v>
      </c>
      <c r="F91" s="8" t="s">
        <v>1546</v>
      </c>
      <c r="G91" s="8" t="s">
        <v>1547</v>
      </c>
      <c r="H91" s="7" t="s">
        <v>865</v>
      </c>
      <c r="I91" s="8" t="s">
        <v>67</v>
      </c>
      <c r="J91" s="8" t="s">
        <v>66</v>
      </c>
      <c r="K91" s="8" t="s">
        <v>1548</v>
      </c>
      <c r="L91" s="8" t="s">
        <v>1548</v>
      </c>
      <c r="M91" s="7" t="s">
        <v>128</v>
      </c>
      <c r="N91" s="7" t="s">
        <v>1549</v>
      </c>
      <c r="O91" s="8">
        <v>1610200072750</v>
      </c>
      <c r="P91" s="8" t="s">
        <v>1550</v>
      </c>
      <c r="Q91" s="8"/>
      <c r="R91" s="8" t="s">
        <v>1551</v>
      </c>
      <c r="S91" s="7">
        <v>11967</v>
      </c>
      <c r="T91" s="9" t="s">
        <v>1552</v>
      </c>
      <c r="U91" s="7">
        <v>13893</v>
      </c>
      <c r="V91" s="9" t="s">
        <v>1553</v>
      </c>
      <c r="W91" s="12">
        <v>45607</v>
      </c>
      <c r="X91" s="7">
        <v>1.07</v>
      </c>
      <c r="Y91" s="7">
        <v>1</v>
      </c>
      <c r="Z91" s="7">
        <v>7</v>
      </c>
      <c r="AA91" s="12">
        <v>36265</v>
      </c>
      <c r="AB91" s="7">
        <v>27.02</v>
      </c>
      <c r="AC91" s="7">
        <v>27</v>
      </c>
      <c r="AD91" s="7">
        <v>2</v>
      </c>
      <c r="AE91" s="7">
        <v>3.33</v>
      </c>
      <c r="AF91" s="7">
        <v>2564</v>
      </c>
      <c r="AG91" s="8" t="s">
        <v>1554</v>
      </c>
      <c r="AH91" s="7" t="s">
        <v>135</v>
      </c>
      <c r="AI91" s="7">
        <v>12540</v>
      </c>
      <c r="AJ91" s="8"/>
    </row>
    <row r="92" spans="1:36" ht="18.600000000000001" x14ac:dyDescent="0.55000000000000004">
      <c r="A92" s="7">
        <v>91</v>
      </c>
      <c r="B92" s="7" t="s">
        <v>1555</v>
      </c>
      <c r="C92" s="7" t="s">
        <v>1556</v>
      </c>
      <c r="D92" s="7" t="s">
        <v>121</v>
      </c>
      <c r="E92" s="7" t="s">
        <v>138</v>
      </c>
      <c r="F92" s="8" t="s">
        <v>1557</v>
      </c>
      <c r="G92" s="8" t="s">
        <v>1558</v>
      </c>
      <c r="H92" s="7" t="s">
        <v>865</v>
      </c>
      <c r="I92" s="8" t="s">
        <v>67</v>
      </c>
      <c r="J92" s="8" t="s">
        <v>1559</v>
      </c>
      <c r="K92" s="8" t="s">
        <v>1560</v>
      </c>
      <c r="L92" s="8" t="s">
        <v>1560</v>
      </c>
      <c r="M92" s="7" t="s">
        <v>128</v>
      </c>
      <c r="N92" s="7" t="s">
        <v>619</v>
      </c>
      <c r="O92" s="8">
        <v>1441000091133</v>
      </c>
      <c r="P92" s="8" t="s">
        <v>1561</v>
      </c>
      <c r="Q92" s="8"/>
      <c r="R92" s="8" t="s">
        <v>1562</v>
      </c>
      <c r="S92" s="7">
        <v>13014</v>
      </c>
      <c r="T92" s="9" t="s">
        <v>1563</v>
      </c>
      <c r="U92" s="7">
        <v>11366</v>
      </c>
      <c r="V92" s="9" t="s">
        <v>1564</v>
      </c>
      <c r="W92" s="12">
        <v>45642</v>
      </c>
      <c r="X92" s="7">
        <v>1.06</v>
      </c>
      <c r="Y92" s="7">
        <v>1</v>
      </c>
      <c r="Z92" s="7">
        <v>6</v>
      </c>
      <c r="AA92" s="12">
        <v>36851</v>
      </c>
      <c r="AB92" s="7">
        <v>25.07</v>
      </c>
      <c r="AC92" s="7">
        <v>25</v>
      </c>
      <c r="AD92" s="7">
        <v>7</v>
      </c>
      <c r="AE92" s="7">
        <v>3.7</v>
      </c>
      <c r="AF92" s="7">
        <v>2564</v>
      </c>
      <c r="AG92" s="8" t="s">
        <v>1524</v>
      </c>
      <c r="AH92" s="7" t="s">
        <v>135</v>
      </c>
      <c r="AI92" s="7">
        <v>12470</v>
      </c>
      <c r="AJ92" s="8"/>
    </row>
    <row r="93" spans="1:36" ht="18.600000000000001" x14ac:dyDescent="0.55000000000000004">
      <c r="A93" s="7">
        <v>92</v>
      </c>
      <c r="B93" s="7" t="s">
        <v>983</v>
      </c>
      <c r="C93" s="7" t="s">
        <v>1565</v>
      </c>
      <c r="D93" s="7" t="s">
        <v>121</v>
      </c>
      <c r="E93" s="7" t="s">
        <v>138</v>
      </c>
      <c r="F93" s="8" t="s">
        <v>1566</v>
      </c>
      <c r="G93" s="8" t="s">
        <v>1567</v>
      </c>
      <c r="H93" s="7" t="s">
        <v>865</v>
      </c>
      <c r="I93" s="8" t="s">
        <v>866</v>
      </c>
      <c r="J93" s="8" t="s">
        <v>867</v>
      </c>
      <c r="K93" s="8" t="s">
        <v>1830</v>
      </c>
      <c r="L93" s="8" t="s">
        <v>1837</v>
      </c>
      <c r="M93" s="7" t="s">
        <v>128</v>
      </c>
      <c r="N93" s="7" t="s">
        <v>1568</v>
      </c>
      <c r="O93" s="8">
        <v>1489700011288</v>
      </c>
      <c r="P93" s="8" t="s">
        <v>1569</v>
      </c>
      <c r="Q93" s="8"/>
      <c r="R93" s="8" t="s">
        <v>1570</v>
      </c>
      <c r="S93" s="7">
        <v>11000</v>
      </c>
      <c r="T93" s="9" t="s">
        <v>991</v>
      </c>
      <c r="U93" s="7">
        <v>14627</v>
      </c>
      <c r="V93" s="9" t="s">
        <v>874</v>
      </c>
      <c r="W93" s="12">
        <v>45673</v>
      </c>
      <c r="X93" s="7">
        <v>1.05</v>
      </c>
      <c r="Y93" s="7">
        <v>1</v>
      </c>
      <c r="Z93" s="7">
        <v>5</v>
      </c>
      <c r="AA93" s="12">
        <v>37868</v>
      </c>
      <c r="AB93" s="7">
        <v>22.09</v>
      </c>
      <c r="AC93" s="7">
        <v>22</v>
      </c>
      <c r="AD93" s="7">
        <v>9</v>
      </c>
      <c r="AE93" s="7">
        <v>3.58</v>
      </c>
      <c r="AF93" s="7">
        <v>2565</v>
      </c>
      <c r="AG93" s="8" t="s">
        <v>1498</v>
      </c>
      <c r="AH93" s="7" t="s">
        <v>258</v>
      </c>
      <c r="AI93" s="7">
        <v>11510</v>
      </c>
      <c r="AJ93" s="8"/>
    </row>
    <row r="94" spans="1:36" ht="18.600000000000001" x14ac:dyDescent="0.55000000000000004">
      <c r="A94" s="7">
        <v>93</v>
      </c>
      <c r="B94" s="7" t="s">
        <v>1571</v>
      </c>
      <c r="C94" s="7" t="s">
        <v>1572</v>
      </c>
      <c r="D94" s="7" t="s">
        <v>121</v>
      </c>
      <c r="E94" s="7" t="s">
        <v>138</v>
      </c>
      <c r="F94" s="8" t="s">
        <v>1573</v>
      </c>
      <c r="G94" s="8" t="s">
        <v>1574</v>
      </c>
      <c r="H94" s="7" t="s">
        <v>865</v>
      </c>
      <c r="I94" s="8" t="s">
        <v>866</v>
      </c>
      <c r="J94" s="8" t="s">
        <v>902</v>
      </c>
      <c r="K94" s="8" t="s">
        <v>927</v>
      </c>
      <c r="L94" s="8" t="s">
        <v>1575</v>
      </c>
      <c r="M94" s="7" t="s">
        <v>128</v>
      </c>
      <c r="N94" s="7" t="s">
        <v>1576</v>
      </c>
      <c r="O94" s="8">
        <v>1101801264667</v>
      </c>
      <c r="P94" s="8" t="s">
        <v>1577</v>
      </c>
      <c r="Q94" s="8"/>
      <c r="R94" s="8" t="s">
        <v>1578</v>
      </c>
      <c r="S94" s="7">
        <v>10894</v>
      </c>
      <c r="T94" s="9" t="s">
        <v>932</v>
      </c>
      <c r="U94" s="7">
        <v>11285</v>
      </c>
      <c r="V94" s="9" t="s">
        <v>933</v>
      </c>
      <c r="W94" s="12">
        <v>45691</v>
      </c>
      <c r="X94" s="7">
        <v>1.04</v>
      </c>
      <c r="Y94" s="7">
        <v>1</v>
      </c>
      <c r="Z94" s="7">
        <v>4</v>
      </c>
      <c r="AA94" s="12">
        <v>37576</v>
      </c>
      <c r="AB94" s="7">
        <v>23.07</v>
      </c>
      <c r="AC94" s="7">
        <v>23</v>
      </c>
      <c r="AD94" s="7">
        <v>7</v>
      </c>
      <c r="AE94" s="7">
        <v>3</v>
      </c>
      <c r="AF94" s="7">
        <v>2564</v>
      </c>
      <c r="AG94" s="8" t="s">
        <v>1348</v>
      </c>
      <c r="AH94" s="7" t="s">
        <v>151</v>
      </c>
      <c r="AI94" s="7">
        <v>11480</v>
      </c>
      <c r="AJ94" s="8"/>
    </row>
    <row r="95" spans="1:36" ht="18.600000000000001" x14ac:dyDescent="0.55000000000000004">
      <c r="A95" s="7">
        <v>94</v>
      </c>
      <c r="B95" s="7" t="s">
        <v>1571</v>
      </c>
      <c r="C95" s="7" t="s">
        <v>1579</v>
      </c>
      <c r="D95" s="7" t="s">
        <v>121</v>
      </c>
      <c r="E95" s="7" t="s">
        <v>138</v>
      </c>
      <c r="F95" s="8" t="s">
        <v>1580</v>
      </c>
      <c r="G95" s="8" t="s">
        <v>1581</v>
      </c>
      <c r="H95" s="7" t="s">
        <v>865</v>
      </c>
      <c r="I95" s="8" t="s">
        <v>866</v>
      </c>
      <c r="J95" s="8" t="s">
        <v>902</v>
      </c>
      <c r="K95" s="8" t="s">
        <v>927</v>
      </c>
      <c r="L95" s="8" t="s">
        <v>1575</v>
      </c>
      <c r="M95" s="7" t="s">
        <v>128</v>
      </c>
      <c r="N95" s="7" t="s">
        <v>963</v>
      </c>
      <c r="O95" s="8">
        <v>1103703239686</v>
      </c>
      <c r="P95" s="8" t="s">
        <v>1582</v>
      </c>
      <c r="Q95" s="8"/>
      <c r="R95" s="8" t="s">
        <v>1583</v>
      </c>
      <c r="S95" s="7">
        <v>10894</v>
      </c>
      <c r="T95" s="9" t="s">
        <v>932</v>
      </c>
      <c r="U95" s="7">
        <v>11285</v>
      </c>
      <c r="V95" s="9" t="s">
        <v>933</v>
      </c>
      <c r="W95" s="12">
        <v>45691</v>
      </c>
      <c r="X95" s="7">
        <v>1.04</v>
      </c>
      <c r="Y95" s="7">
        <v>1</v>
      </c>
      <c r="Z95" s="7">
        <v>4</v>
      </c>
      <c r="AA95" s="12">
        <v>37029</v>
      </c>
      <c r="AB95" s="7">
        <v>25.01</v>
      </c>
      <c r="AC95" s="7">
        <v>25</v>
      </c>
      <c r="AD95" s="7">
        <v>1</v>
      </c>
      <c r="AE95" s="7">
        <v>3.32</v>
      </c>
      <c r="AF95" s="7">
        <v>2562</v>
      </c>
      <c r="AG95" s="8" t="s">
        <v>1491</v>
      </c>
      <c r="AH95" s="7" t="s">
        <v>151</v>
      </c>
      <c r="AI95" s="7">
        <v>11480</v>
      </c>
      <c r="AJ95" s="8"/>
    </row>
    <row r="96" spans="1:36" ht="18.600000000000001" x14ac:dyDescent="0.55000000000000004">
      <c r="A96" s="7">
        <v>95</v>
      </c>
      <c r="B96" s="7" t="s">
        <v>1279</v>
      </c>
      <c r="C96" s="7" t="s">
        <v>1584</v>
      </c>
      <c r="D96" s="7" t="s">
        <v>121</v>
      </c>
      <c r="E96" s="7" t="s">
        <v>138</v>
      </c>
      <c r="F96" s="8" t="s">
        <v>1585</v>
      </c>
      <c r="G96" s="8" t="s">
        <v>1586</v>
      </c>
      <c r="H96" s="7" t="s">
        <v>865</v>
      </c>
      <c r="I96" s="8" t="s">
        <v>880</v>
      </c>
      <c r="J96" s="8" t="s">
        <v>1015</v>
      </c>
      <c r="K96" s="8" t="s">
        <v>1283</v>
      </c>
      <c r="L96" s="8" t="s">
        <v>1283</v>
      </c>
      <c r="M96" s="7" t="s">
        <v>128</v>
      </c>
      <c r="N96" s="7" t="s">
        <v>1133</v>
      </c>
      <c r="O96" s="8">
        <v>1330400569693</v>
      </c>
      <c r="P96" s="8" t="s">
        <v>1587</v>
      </c>
      <c r="Q96" s="8"/>
      <c r="R96" s="8" t="s">
        <v>1588</v>
      </c>
      <c r="S96" s="7">
        <v>10860</v>
      </c>
      <c r="T96" s="9" t="s">
        <v>1286</v>
      </c>
      <c r="U96" s="7">
        <v>14978</v>
      </c>
      <c r="V96" s="9" t="s">
        <v>1287</v>
      </c>
      <c r="W96" s="12">
        <v>45705</v>
      </c>
      <c r="X96" s="7">
        <v>1.04</v>
      </c>
      <c r="Y96" s="7">
        <v>1</v>
      </c>
      <c r="Z96" s="7">
        <v>4</v>
      </c>
      <c r="AA96" s="12">
        <v>36262</v>
      </c>
      <c r="AB96" s="7">
        <v>27.02</v>
      </c>
      <c r="AC96" s="7">
        <v>27</v>
      </c>
      <c r="AD96" s="7">
        <v>2</v>
      </c>
      <c r="AE96" s="7">
        <v>3.56</v>
      </c>
      <c r="AF96" s="7">
        <v>2563</v>
      </c>
      <c r="AG96" s="8" t="s">
        <v>1589</v>
      </c>
      <c r="AH96" s="7" t="s">
        <v>135</v>
      </c>
      <c r="AI96" s="7">
        <v>12350</v>
      </c>
      <c r="AJ96" s="8"/>
    </row>
    <row r="97" spans="1:36" ht="18.600000000000001" x14ac:dyDescent="0.55000000000000004">
      <c r="A97" s="7">
        <v>96</v>
      </c>
      <c r="B97" s="7" t="s">
        <v>1121</v>
      </c>
      <c r="C97" s="7" t="s">
        <v>1590</v>
      </c>
      <c r="D97" s="7" t="s">
        <v>121</v>
      </c>
      <c r="E97" s="7" t="s">
        <v>138</v>
      </c>
      <c r="F97" s="8" t="s">
        <v>1591</v>
      </c>
      <c r="G97" s="8" t="s">
        <v>1592</v>
      </c>
      <c r="H97" s="7" t="s">
        <v>865</v>
      </c>
      <c r="I97" s="8" t="s">
        <v>866</v>
      </c>
      <c r="J97" s="8" t="s">
        <v>902</v>
      </c>
      <c r="K97" s="8" t="s">
        <v>927</v>
      </c>
      <c r="L97" s="8" t="s">
        <v>1125</v>
      </c>
      <c r="M97" s="7" t="s">
        <v>128</v>
      </c>
      <c r="N97" s="7" t="s">
        <v>234</v>
      </c>
      <c r="O97" s="8">
        <v>1100401071178</v>
      </c>
      <c r="P97" s="8" t="s">
        <v>1593</v>
      </c>
      <c r="Q97" s="8"/>
      <c r="R97" s="8" t="s">
        <v>1594</v>
      </c>
      <c r="S97" s="7">
        <v>10894</v>
      </c>
      <c r="T97" s="9" t="s">
        <v>932</v>
      </c>
      <c r="U97" s="7">
        <v>11285</v>
      </c>
      <c r="V97" s="9" t="s">
        <v>933</v>
      </c>
      <c r="W97" s="12">
        <v>45717</v>
      </c>
      <c r="X97" s="7">
        <v>1.04</v>
      </c>
      <c r="Y97" s="7">
        <v>1</v>
      </c>
      <c r="Z97" s="7">
        <v>4</v>
      </c>
      <c r="AA97" s="12">
        <v>36926</v>
      </c>
      <c r="AB97" s="7">
        <v>25.04</v>
      </c>
      <c r="AC97" s="7">
        <v>25</v>
      </c>
      <c r="AD97" s="7">
        <v>4</v>
      </c>
      <c r="AE97" s="7">
        <v>1.74</v>
      </c>
      <c r="AF97" s="7">
        <v>2563</v>
      </c>
      <c r="AG97" s="8" t="s">
        <v>1595</v>
      </c>
      <c r="AH97" s="7" t="s">
        <v>151</v>
      </c>
      <c r="AI97" s="7">
        <v>11480</v>
      </c>
      <c r="AJ97" s="8"/>
    </row>
    <row r="98" spans="1:36" ht="18.600000000000001" x14ac:dyDescent="0.55000000000000004">
      <c r="A98" s="7">
        <v>97</v>
      </c>
      <c r="B98" s="7" t="s">
        <v>1027</v>
      </c>
      <c r="C98" s="7" t="s">
        <v>1596</v>
      </c>
      <c r="D98" s="7" t="s">
        <v>121</v>
      </c>
      <c r="E98" s="7" t="s">
        <v>138</v>
      </c>
      <c r="F98" s="8" t="s">
        <v>1597</v>
      </c>
      <c r="G98" s="8" t="s">
        <v>1598</v>
      </c>
      <c r="H98" s="7" t="s">
        <v>865</v>
      </c>
      <c r="I98" s="8" t="s">
        <v>866</v>
      </c>
      <c r="J98" s="8" t="s">
        <v>867</v>
      </c>
      <c r="K98" s="8" t="s">
        <v>1031</v>
      </c>
      <c r="L98" s="8" t="s">
        <v>1032</v>
      </c>
      <c r="M98" s="7" t="s">
        <v>128</v>
      </c>
      <c r="N98" s="7" t="s">
        <v>883</v>
      </c>
      <c r="O98" s="8">
        <v>1338700010206</v>
      </c>
      <c r="P98" s="8" t="s">
        <v>1599</v>
      </c>
      <c r="Q98" s="8"/>
      <c r="R98" s="8" t="s">
        <v>1600</v>
      </c>
      <c r="S98" s="7">
        <v>11082</v>
      </c>
      <c r="T98" s="9" t="s">
        <v>1036</v>
      </c>
      <c r="U98" s="7">
        <v>12199</v>
      </c>
      <c r="V98" s="9" t="s">
        <v>1037</v>
      </c>
      <c r="W98" s="12">
        <v>45733</v>
      </c>
      <c r="X98" s="7">
        <v>1.03</v>
      </c>
      <c r="Y98" s="7">
        <v>1</v>
      </c>
      <c r="Z98" s="7">
        <v>3</v>
      </c>
      <c r="AA98" s="12">
        <v>37702</v>
      </c>
      <c r="AB98" s="7">
        <v>23.03</v>
      </c>
      <c r="AC98" s="7">
        <v>23</v>
      </c>
      <c r="AD98" s="7">
        <v>3</v>
      </c>
      <c r="AE98" s="7">
        <v>3.27</v>
      </c>
      <c r="AF98" s="7">
        <v>2566</v>
      </c>
      <c r="AG98" s="8" t="s">
        <v>1601</v>
      </c>
      <c r="AH98" s="7" t="s">
        <v>151</v>
      </c>
      <c r="AI98" s="7">
        <v>11450</v>
      </c>
      <c r="AJ98" s="8"/>
    </row>
    <row r="99" spans="1:36" ht="18.600000000000001" x14ac:dyDescent="0.55000000000000004">
      <c r="A99" s="7">
        <v>98</v>
      </c>
      <c r="B99" s="7" t="s">
        <v>1073</v>
      </c>
      <c r="C99" s="7" t="s">
        <v>1602</v>
      </c>
      <c r="D99" s="7" t="s">
        <v>121</v>
      </c>
      <c r="E99" s="7" t="s">
        <v>138</v>
      </c>
      <c r="F99" s="8" t="s">
        <v>1603</v>
      </c>
      <c r="G99" s="8" t="s">
        <v>1604</v>
      </c>
      <c r="H99" s="7" t="s">
        <v>865</v>
      </c>
      <c r="I99" s="8" t="s">
        <v>866</v>
      </c>
      <c r="J99" s="8" t="s">
        <v>902</v>
      </c>
      <c r="K99" s="8" t="s">
        <v>903</v>
      </c>
      <c r="L99" s="8" t="s">
        <v>1077</v>
      </c>
      <c r="M99" s="7" t="s">
        <v>128</v>
      </c>
      <c r="N99" s="7" t="s">
        <v>1605</v>
      </c>
      <c r="O99" s="8">
        <v>1481000125461</v>
      </c>
      <c r="P99" s="8" t="s">
        <v>1606</v>
      </c>
      <c r="Q99" s="8"/>
      <c r="R99" s="8" t="s">
        <v>1607</v>
      </c>
      <c r="S99" s="7">
        <v>12054</v>
      </c>
      <c r="T99" s="9" t="s">
        <v>908</v>
      </c>
      <c r="U99" s="7">
        <v>12306</v>
      </c>
      <c r="V99" s="9" t="s">
        <v>909</v>
      </c>
      <c r="W99" s="12">
        <v>45733</v>
      </c>
      <c r="X99" s="7">
        <v>1.03</v>
      </c>
      <c r="Y99" s="7">
        <v>1</v>
      </c>
      <c r="Z99" s="7">
        <v>3</v>
      </c>
      <c r="AA99" s="12">
        <v>37096</v>
      </c>
      <c r="AB99" s="7">
        <v>24.11</v>
      </c>
      <c r="AC99" s="7">
        <v>24</v>
      </c>
      <c r="AD99" s="7">
        <v>11</v>
      </c>
      <c r="AE99" s="7">
        <v>2.67</v>
      </c>
      <c r="AF99" s="7">
        <v>2563</v>
      </c>
      <c r="AG99" s="8" t="s">
        <v>1608</v>
      </c>
      <c r="AH99" s="7" t="s">
        <v>258</v>
      </c>
      <c r="AI99" s="7">
        <v>11470</v>
      </c>
      <c r="AJ99" s="8"/>
    </row>
    <row r="100" spans="1:36" ht="18.600000000000001" x14ac:dyDescent="0.55000000000000004">
      <c r="A100" s="7"/>
      <c r="B100" s="7"/>
      <c r="C100" s="7"/>
      <c r="D100" s="7"/>
      <c r="E100" s="7"/>
      <c r="F100" s="8"/>
      <c r="G100" s="8"/>
      <c r="H100" s="7"/>
      <c r="I100" s="8"/>
      <c r="J100" s="8"/>
      <c r="K100" s="8"/>
      <c r="L100" s="8"/>
      <c r="M100" s="7"/>
      <c r="N100" s="7"/>
      <c r="O100" s="8"/>
      <c r="P100" s="8"/>
      <c r="Q100" s="8"/>
      <c r="R100" s="8"/>
      <c r="S100" s="7"/>
      <c r="T100" s="9"/>
      <c r="U100" s="7"/>
      <c r="V100" s="9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/>
      <c r="AH100" s="7"/>
      <c r="AI100" s="7"/>
      <c r="AJ100" s="8"/>
    </row>
    <row r="101" spans="1:36" ht="18.600000000000001" x14ac:dyDescent="0.55000000000000004">
      <c r="A101" s="7"/>
      <c r="B101" s="7"/>
      <c r="C101" s="7"/>
      <c r="D101" s="7"/>
      <c r="E101" s="7"/>
      <c r="F101" s="8"/>
      <c r="G101" s="8"/>
      <c r="H101" s="7"/>
      <c r="I101" s="8"/>
      <c r="J101" s="8"/>
      <c r="K101" s="8"/>
      <c r="L101" s="8"/>
      <c r="M101" s="7"/>
      <c r="N101" s="7"/>
      <c r="O101" s="8"/>
      <c r="P101" s="8"/>
      <c r="Q101" s="8"/>
      <c r="R101" s="8"/>
      <c r="S101" s="7"/>
      <c r="T101" s="9"/>
      <c r="U101" s="7"/>
      <c r="V101" s="9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8"/>
    </row>
    <row r="102" spans="1:36" ht="18.600000000000001" x14ac:dyDescent="0.55000000000000004">
      <c r="A102" s="7"/>
      <c r="B102" s="7"/>
      <c r="C102" s="7"/>
      <c r="D102" s="7"/>
      <c r="E102" s="7"/>
      <c r="F102" s="8"/>
      <c r="G102" s="8"/>
      <c r="H102" s="7"/>
      <c r="I102" s="8"/>
      <c r="J102" s="8"/>
      <c r="K102" s="8"/>
      <c r="L102" s="8"/>
      <c r="M102" s="7"/>
      <c r="N102" s="7"/>
      <c r="O102" s="8"/>
      <c r="P102" s="8"/>
      <c r="Q102" s="8"/>
      <c r="R102" s="8"/>
      <c r="S102" s="7"/>
      <c r="T102" s="9"/>
      <c r="U102" s="7"/>
      <c r="V102" s="9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8"/>
      <c r="AH102" s="7"/>
      <c r="AI102" s="7"/>
      <c r="AJ102" s="8"/>
    </row>
    <row r="103" spans="1:36" ht="18.600000000000001" x14ac:dyDescent="0.55000000000000004">
      <c r="A103" s="7"/>
      <c r="B103" s="7"/>
      <c r="C103" s="7"/>
      <c r="D103" s="7"/>
      <c r="E103" s="7"/>
      <c r="F103" s="8"/>
      <c r="G103" s="8"/>
      <c r="H103" s="7"/>
      <c r="I103" s="8"/>
      <c r="J103" s="8"/>
      <c r="K103" s="8"/>
      <c r="L103" s="8"/>
      <c r="M103" s="7"/>
      <c r="N103" s="7"/>
      <c r="O103" s="8"/>
      <c r="P103" s="8"/>
      <c r="Q103" s="8"/>
      <c r="R103" s="8"/>
      <c r="S103" s="7"/>
      <c r="T103" s="9"/>
      <c r="U103" s="7"/>
      <c r="V103" s="9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7"/>
      <c r="AI103" s="7"/>
      <c r="AJ103" s="8"/>
    </row>
    <row r="104" spans="1:36" ht="18.600000000000001" x14ac:dyDescent="0.55000000000000004">
      <c r="A104" s="7"/>
      <c r="B104" s="7"/>
      <c r="C104" s="7"/>
      <c r="D104" s="7"/>
      <c r="E104" s="7"/>
      <c r="F104" s="8"/>
      <c r="G104" s="8"/>
      <c r="H104" s="7"/>
      <c r="I104" s="8"/>
      <c r="J104" s="8"/>
      <c r="K104" s="8"/>
      <c r="L104" s="8"/>
      <c r="M104" s="7"/>
      <c r="N104" s="7"/>
      <c r="O104" s="8"/>
      <c r="P104" s="8"/>
      <c r="Q104" s="8"/>
      <c r="R104" s="8"/>
      <c r="S104" s="7"/>
      <c r="T104" s="9"/>
      <c r="U104" s="7"/>
      <c r="V104" s="9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8"/>
    </row>
    <row r="105" spans="1:36" ht="18.600000000000001" x14ac:dyDescent="0.55000000000000004">
      <c r="A105" s="7"/>
      <c r="B105" s="7"/>
      <c r="C105" s="7"/>
      <c r="D105" s="7"/>
      <c r="E105" s="7"/>
      <c r="F105" s="8"/>
      <c r="G105" s="8"/>
      <c r="H105" s="7"/>
      <c r="I105" s="8"/>
      <c r="J105" s="8"/>
      <c r="K105" s="8"/>
      <c r="L105" s="8"/>
      <c r="M105" s="7"/>
      <c r="N105" s="7"/>
      <c r="O105" s="8"/>
      <c r="P105" s="8"/>
      <c r="Q105" s="8"/>
      <c r="R105" s="8"/>
      <c r="S105" s="7"/>
      <c r="T105" s="9"/>
      <c r="U105" s="7"/>
      <c r="V105" s="9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7"/>
      <c r="AI105" s="7"/>
      <c r="AJ105" s="8"/>
    </row>
    <row r="106" spans="1:36" ht="18.600000000000001" x14ac:dyDescent="0.55000000000000004">
      <c r="A106" s="7"/>
      <c r="B106" s="7"/>
      <c r="C106" s="7"/>
      <c r="D106" s="7"/>
      <c r="E106" s="7"/>
      <c r="F106" s="8"/>
      <c r="G106" s="8"/>
      <c r="H106" s="7"/>
      <c r="I106" s="8"/>
      <c r="J106" s="8"/>
      <c r="K106" s="8"/>
      <c r="L106" s="8"/>
      <c r="M106" s="7"/>
      <c r="N106" s="7"/>
      <c r="O106" s="8"/>
      <c r="P106" s="8"/>
      <c r="Q106" s="8"/>
      <c r="R106" s="8"/>
      <c r="S106" s="7"/>
      <c r="T106" s="9"/>
      <c r="U106" s="7"/>
      <c r="V106" s="9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8"/>
    </row>
    <row r="107" spans="1:36" ht="18.600000000000001" x14ac:dyDescent="0.55000000000000004">
      <c r="A107" s="7"/>
      <c r="B107" s="7"/>
      <c r="C107" s="7"/>
      <c r="D107" s="7"/>
      <c r="E107" s="7"/>
      <c r="F107" s="8"/>
      <c r="G107" s="8"/>
      <c r="H107" s="7"/>
      <c r="I107" s="8"/>
      <c r="J107" s="8"/>
      <c r="K107" s="8"/>
      <c r="L107" s="8"/>
      <c r="M107" s="7"/>
      <c r="N107" s="7"/>
      <c r="O107" s="8"/>
      <c r="P107" s="8"/>
      <c r="Q107" s="8"/>
      <c r="R107" s="8"/>
      <c r="S107" s="7"/>
      <c r="T107" s="9"/>
      <c r="U107" s="7"/>
      <c r="V107" s="9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8"/>
      <c r="AH107" s="7"/>
      <c r="AI107" s="7"/>
      <c r="AJ107" s="8"/>
    </row>
    <row r="108" spans="1:36" ht="18.600000000000001" x14ac:dyDescent="0.55000000000000004">
      <c r="A108" s="7"/>
      <c r="B108" s="7"/>
      <c r="C108" s="7"/>
      <c r="D108" s="7"/>
      <c r="E108" s="7"/>
      <c r="F108" s="8"/>
      <c r="G108" s="8"/>
      <c r="H108" s="7"/>
      <c r="I108" s="8"/>
      <c r="J108" s="8"/>
      <c r="K108" s="8"/>
      <c r="L108" s="8"/>
      <c r="M108" s="7"/>
      <c r="N108" s="7"/>
      <c r="O108" s="8"/>
      <c r="P108" s="8"/>
      <c r="Q108" s="8"/>
      <c r="R108" s="8"/>
      <c r="S108" s="7"/>
      <c r="T108" s="9"/>
      <c r="U108" s="7"/>
      <c r="V108" s="9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7"/>
      <c r="AI108" s="7"/>
      <c r="AJ108" s="8"/>
    </row>
    <row r="109" spans="1:36" ht="18.600000000000001" x14ac:dyDescent="0.55000000000000004">
      <c r="A109" s="7"/>
      <c r="B109" s="7"/>
      <c r="C109" s="7"/>
      <c r="D109" s="7"/>
      <c r="E109" s="7"/>
      <c r="F109" s="8"/>
      <c r="G109" s="8"/>
      <c r="H109" s="7"/>
      <c r="I109" s="8"/>
      <c r="J109" s="8"/>
      <c r="K109" s="8"/>
      <c r="L109" s="8"/>
      <c r="M109" s="7"/>
      <c r="N109" s="7"/>
      <c r="O109" s="8"/>
      <c r="P109" s="8"/>
      <c r="Q109" s="8"/>
      <c r="R109" s="8"/>
      <c r="S109" s="7"/>
      <c r="T109" s="9"/>
      <c r="U109" s="7"/>
      <c r="V109" s="9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7"/>
      <c r="AI109" s="7"/>
      <c r="AJ109" s="8"/>
    </row>
    <row r="110" spans="1:36" ht="18.600000000000001" x14ac:dyDescent="0.55000000000000004">
      <c r="A110" s="7"/>
      <c r="B110" s="7"/>
      <c r="C110" s="7"/>
      <c r="D110" s="7"/>
      <c r="E110" s="7"/>
      <c r="F110" s="8"/>
      <c r="G110" s="8"/>
      <c r="H110" s="7"/>
      <c r="I110" s="8"/>
      <c r="J110" s="8"/>
      <c r="K110" s="8"/>
      <c r="L110" s="8"/>
      <c r="M110" s="7"/>
      <c r="N110" s="7"/>
      <c r="O110" s="8"/>
      <c r="P110" s="8"/>
      <c r="Q110" s="8"/>
      <c r="R110" s="8"/>
      <c r="S110" s="7"/>
      <c r="T110" s="9"/>
      <c r="U110" s="7"/>
      <c r="V110" s="9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/>
      <c r="AH110" s="7"/>
      <c r="AI110" s="7"/>
      <c r="AJ110" s="8"/>
    </row>
    <row r="111" spans="1:36" ht="18.600000000000001" x14ac:dyDescent="0.55000000000000004">
      <c r="A111" s="7"/>
      <c r="B111" s="7"/>
      <c r="C111" s="7"/>
      <c r="D111" s="7"/>
      <c r="E111" s="7"/>
      <c r="F111" s="8"/>
      <c r="G111" s="8"/>
      <c r="H111" s="7"/>
      <c r="I111" s="8"/>
      <c r="J111" s="8"/>
      <c r="K111" s="8"/>
      <c r="L111" s="8"/>
      <c r="M111" s="7"/>
      <c r="N111" s="7"/>
      <c r="O111" s="8"/>
      <c r="P111" s="8"/>
      <c r="Q111" s="8"/>
      <c r="R111" s="8"/>
      <c r="S111" s="7"/>
      <c r="T111" s="9"/>
      <c r="U111" s="7"/>
      <c r="V111" s="9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/>
      <c r="AH111" s="7"/>
      <c r="AI111" s="7"/>
      <c r="AJ111" s="8"/>
    </row>
    <row r="112" spans="1:36" ht="18.600000000000001" x14ac:dyDescent="0.55000000000000004">
      <c r="A112" s="7"/>
      <c r="B112" s="7"/>
      <c r="C112" s="7"/>
      <c r="D112" s="7"/>
      <c r="E112" s="7"/>
      <c r="F112" s="8"/>
      <c r="G112" s="8"/>
      <c r="H112" s="7"/>
      <c r="I112" s="8"/>
      <c r="J112" s="8"/>
      <c r="K112" s="8"/>
      <c r="L112" s="8"/>
      <c r="M112" s="7"/>
      <c r="N112" s="7"/>
      <c r="O112" s="8"/>
      <c r="P112" s="8"/>
      <c r="Q112" s="8"/>
      <c r="R112" s="8"/>
      <c r="S112" s="7"/>
      <c r="T112" s="9"/>
      <c r="U112" s="7"/>
      <c r="V112" s="9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7"/>
      <c r="AI112" s="7"/>
      <c r="AJ112" s="8"/>
    </row>
    <row r="113" spans="1:36" ht="18.600000000000001" x14ac:dyDescent="0.55000000000000004">
      <c r="A113" s="7"/>
      <c r="B113" s="7"/>
      <c r="C113" s="7"/>
      <c r="D113" s="7"/>
      <c r="E113" s="7"/>
      <c r="F113" s="8"/>
      <c r="G113" s="8"/>
      <c r="H113" s="7"/>
      <c r="I113" s="8"/>
      <c r="J113" s="8"/>
      <c r="K113" s="8"/>
      <c r="L113" s="8"/>
      <c r="M113" s="7"/>
      <c r="N113" s="7"/>
      <c r="O113" s="8"/>
      <c r="P113" s="8"/>
      <c r="Q113" s="8"/>
      <c r="R113" s="8"/>
      <c r="S113" s="7"/>
      <c r="T113" s="9"/>
      <c r="U113" s="7"/>
      <c r="V113" s="9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7"/>
      <c r="AI113" s="7"/>
      <c r="AJ113" s="8"/>
    </row>
    <row r="114" spans="1:36" ht="18.600000000000001" x14ac:dyDescent="0.55000000000000004">
      <c r="A114" s="7"/>
      <c r="B114" s="7"/>
      <c r="C114" s="7"/>
      <c r="D114" s="7"/>
      <c r="E114" s="7"/>
      <c r="F114" s="8"/>
      <c r="G114" s="8"/>
      <c r="H114" s="7"/>
      <c r="I114" s="8"/>
      <c r="J114" s="8"/>
      <c r="K114" s="8"/>
      <c r="L114" s="8"/>
      <c r="M114" s="7"/>
      <c r="N114" s="7"/>
      <c r="O114" s="8"/>
      <c r="P114" s="8"/>
      <c r="Q114" s="8"/>
      <c r="R114" s="8"/>
      <c r="S114" s="7"/>
      <c r="T114" s="9"/>
      <c r="U114" s="7"/>
      <c r="V114" s="9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7"/>
      <c r="AI114" s="7"/>
      <c r="AJ114" s="8"/>
    </row>
    <row r="115" spans="1:36" ht="18.600000000000001" x14ac:dyDescent="0.55000000000000004">
      <c r="A115" s="7"/>
      <c r="B115" s="7"/>
      <c r="C115" s="7"/>
      <c r="D115" s="7"/>
      <c r="E115" s="7"/>
      <c r="F115" s="8"/>
      <c r="G115" s="8"/>
      <c r="H115" s="7"/>
      <c r="I115" s="8"/>
      <c r="J115" s="8"/>
      <c r="K115" s="8"/>
      <c r="L115" s="8"/>
      <c r="M115" s="7"/>
      <c r="N115" s="7"/>
      <c r="O115" s="8"/>
      <c r="P115" s="8"/>
      <c r="Q115" s="8"/>
      <c r="R115" s="8"/>
      <c r="S115" s="7"/>
      <c r="T115" s="9"/>
      <c r="U115" s="7"/>
      <c r="V115" s="9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7"/>
      <c r="AI115" s="7"/>
      <c r="AJ115" s="8"/>
    </row>
    <row r="116" spans="1:36" ht="18.600000000000001" x14ac:dyDescent="0.55000000000000004">
      <c r="A116" s="7"/>
      <c r="B116" s="7"/>
      <c r="C116" s="7"/>
      <c r="D116" s="7"/>
      <c r="E116" s="7"/>
      <c r="F116" s="8"/>
      <c r="G116" s="8"/>
      <c r="H116" s="7"/>
      <c r="I116" s="8"/>
      <c r="J116" s="8"/>
      <c r="K116" s="8"/>
      <c r="L116" s="8"/>
      <c r="M116" s="7"/>
      <c r="N116" s="7"/>
      <c r="O116" s="8"/>
      <c r="P116" s="8"/>
      <c r="Q116" s="8"/>
      <c r="R116" s="8"/>
      <c r="S116" s="7"/>
      <c r="T116" s="9"/>
      <c r="U116" s="7"/>
      <c r="V116" s="9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/>
      <c r="AH116" s="7"/>
      <c r="AI116" s="7"/>
      <c r="AJ116" s="8"/>
    </row>
    <row r="117" spans="1:36" ht="18.600000000000001" x14ac:dyDescent="0.55000000000000004">
      <c r="A117" s="7"/>
      <c r="B117" s="7"/>
      <c r="C117" s="7"/>
      <c r="D117" s="7"/>
      <c r="E117" s="7"/>
      <c r="F117" s="8"/>
      <c r="G117" s="8"/>
      <c r="H117" s="7"/>
      <c r="I117" s="8"/>
      <c r="J117" s="8"/>
      <c r="K117" s="8"/>
      <c r="L117" s="8"/>
      <c r="M117" s="7"/>
      <c r="N117" s="7"/>
      <c r="O117" s="8"/>
      <c r="P117" s="8"/>
      <c r="Q117" s="8"/>
      <c r="R117" s="8"/>
      <c r="S117" s="7"/>
      <c r="T117" s="9"/>
      <c r="U117" s="7"/>
      <c r="V117" s="9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8"/>
    </row>
    <row r="118" spans="1:36" ht="18.600000000000001" x14ac:dyDescent="0.55000000000000004">
      <c r="A118" s="7"/>
      <c r="B118" s="7"/>
      <c r="C118" s="7"/>
      <c r="D118" s="7"/>
      <c r="E118" s="7"/>
      <c r="F118" s="8"/>
      <c r="G118" s="8"/>
      <c r="H118" s="7"/>
      <c r="I118" s="8"/>
      <c r="J118" s="8"/>
      <c r="K118" s="8"/>
      <c r="L118" s="8"/>
      <c r="M118" s="7"/>
      <c r="N118" s="7"/>
      <c r="O118" s="8"/>
      <c r="P118" s="8"/>
      <c r="Q118" s="8"/>
      <c r="R118" s="8"/>
      <c r="S118" s="7"/>
      <c r="T118" s="9"/>
      <c r="U118" s="7"/>
      <c r="V118" s="9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7"/>
      <c r="AI118" s="7"/>
      <c r="AJ118" s="8"/>
    </row>
    <row r="119" spans="1:36" ht="18.600000000000001" x14ac:dyDescent="0.55000000000000004">
      <c r="A119" s="7"/>
      <c r="B119" s="7"/>
      <c r="C119" s="7"/>
      <c r="D119" s="7"/>
      <c r="E119" s="7"/>
      <c r="F119" s="8"/>
      <c r="G119" s="8"/>
      <c r="H119" s="7"/>
      <c r="I119" s="8"/>
      <c r="J119" s="8"/>
      <c r="K119" s="8"/>
      <c r="L119" s="8"/>
      <c r="M119" s="7"/>
      <c r="N119" s="7"/>
      <c r="O119" s="8"/>
      <c r="P119" s="8"/>
      <c r="Q119" s="8"/>
      <c r="R119" s="8"/>
      <c r="S119" s="7"/>
      <c r="T119" s="9"/>
      <c r="U119" s="7"/>
      <c r="V119" s="9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8"/>
    </row>
    <row r="120" spans="1:36" ht="18.600000000000001" x14ac:dyDescent="0.55000000000000004">
      <c r="A120" s="7"/>
      <c r="B120" s="7"/>
      <c r="C120" s="7"/>
      <c r="D120" s="7"/>
      <c r="E120" s="7"/>
      <c r="F120" s="8"/>
      <c r="G120" s="8"/>
      <c r="H120" s="7"/>
      <c r="I120" s="8"/>
      <c r="J120" s="8"/>
      <c r="K120" s="8"/>
      <c r="L120" s="8"/>
      <c r="M120" s="7"/>
      <c r="N120" s="7"/>
      <c r="O120" s="8"/>
      <c r="P120" s="8"/>
      <c r="Q120" s="8"/>
      <c r="R120" s="8"/>
      <c r="S120" s="7"/>
      <c r="T120" s="9"/>
      <c r="U120" s="7"/>
      <c r="V120" s="9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8"/>
    </row>
    <row r="121" spans="1:36" ht="18.600000000000001" x14ac:dyDescent="0.55000000000000004">
      <c r="A121" s="7"/>
      <c r="B121" s="7"/>
      <c r="C121" s="7"/>
      <c r="D121" s="7"/>
      <c r="E121" s="7"/>
      <c r="F121" s="8"/>
      <c r="G121" s="8"/>
      <c r="H121" s="7"/>
      <c r="I121" s="8"/>
      <c r="J121" s="8"/>
      <c r="K121" s="8"/>
      <c r="L121" s="8"/>
      <c r="M121" s="7"/>
      <c r="N121" s="7"/>
      <c r="O121" s="8"/>
      <c r="P121" s="8"/>
      <c r="Q121" s="8"/>
      <c r="R121" s="8"/>
      <c r="S121" s="7"/>
      <c r="T121" s="9"/>
      <c r="U121" s="7"/>
      <c r="V121" s="9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/>
      <c r="AH121" s="7"/>
      <c r="AI121" s="7"/>
      <c r="AJ121" s="8"/>
    </row>
    <row r="122" spans="1:36" ht="18.600000000000001" x14ac:dyDescent="0.55000000000000004">
      <c r="A122" s="7"/>
      <c r="B122" s="7"/>
      <c r="C122" s="7"/>
      <c r="D122" s="7"/>
      <c r="E122" s="7"/>
      <c r="F122" s="8"/>
      <c r="G122" s="8"/>
      <c r="H122" s="7"/>
      <c r="I122" s="8"/>
      <c r="J122" s="8"/>
      <c r="K122" s="8"/>
      <c r="L122" s="8"/>
      <c r="M122" s="7"/>
      <c r="N122" s="7"/>
      <c r="O122" s="8"/>
      <c r="P122" s="8"/>
      <c r="Q122" s="8"/>
      <c r="R122" s="8"/>
      <c r="S122" s="7"/>
      <c r="T122" s="9"/>
      <c r="U122" s="7"/>
      <c r="V122" s="9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8"/>
      <c r="AH122" s="7"/>
      <c r="AI122" s="7"/>
      <c r="AJ122" s="8"/>
    </row>
    <row r="123" spans="1:36" ht="18.600000000000001" x14ac:dyDescent="0.55000000000000004">
      <c r="A123" s="7"/>
      <c r="B123" s="7"/>
      <c r="C123" s="7"/>
      <c r="D123" s="7"/>
      <c r="E123" s="7"/>
      <c r="F123" s="8"/>
      <c r="G123" s="8"/>
      <c r="H123" s="7"/>
      <c r="I123" s="8"/>
      <c r="J123" s="8"/>
      <c r="K123" s="8"/>
      <c r="L123" s="8"/>
      <c r="M123" s="7"/>
      <c r="N123" s="7"/>
      <c r="O123" s="8"/>
      <c r="P123" s="8"/>
      <c r="Q123" s="8"/>
      <c r="R123" s="8"/>
      <c r="S123" s="7"/>
      <c r="T123" s="9"/>
      <c r="U123" s="7"/>
      <c r="V123" s="9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8"/>
      <c r="AH123" s="7"/>
      <c r="AI123" s="7"/>
      <c r="AJ123" s="8"/>
    </row>
    <row r="124" spans="1:36" ht="18.600000000000001" x14ac:dyDescent="0.55000000000000004">
      <c r="A124" s="7"/>
      <c r="B124" s="7"/>
      <c r="C124" s="7"/>
      <c r="D124" s="7"/>
      <c r="E124" s="7"/>
      <c r="F124" s="8"/>
      <c r="G124" s="8"/>
      <c r="H124" s="7"/>
      <c r="I124" s="8"/>
      <c r="J124" s="8"/>
      <c r="K124" s="8"/>
      <c r="L124" s="8"/>
      <c r="M124" s="7"/>
      <c r="N124" s="7"/>
      <c r="O124" s="8"/>
      <c r="P124" s="8"/>
      <c r="Q124" s="8"/>
      <c r="R124" s="8"/>
      <c r="S124" s="7"/>
      <c r="T124" s="9"/>
      <c r="U124" s="7"/>
      <c r="V124" s="9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8"/>
      <c r="AH124" s="7"/>
      <c r="AI124" s="7"/>
      <c r="AJ124" s="8"/>
    </row>
    <row r="125" spans="1:36" ht="18.600000000000001" x14ac:dyDescent="0.55000000000000004">
      <c r="A125" s="7"/>
      <c r="B125" s="7"/>
      <c r="C125" s="7"/>
      <c r="D125" s="7"/>
      <c r="E125" s="7"/>
      <c r="F125" s="8"/>
      <c r="G125" s="8"/>
      <c r="H125" s="7"/>
      <c r="I125" s="8"/>
      <c r="J125" s="8"/>
      <c r="K125" s="8"/>
      <c r="L125" s="8"/>
      <c r="M125" s="7"/>
      <c r="N125" s="7"/>
      <c r="O125" s="8"/>
      <c r="P125" s="8"/>
      <c r="Q125" s="8"/>
      <c r="R125" s="8"/>
      <c r="S125" s="8"/>
      <c r="T125" s="8"/>
      <c r="U125" s="8"/>
      <c r="V125" s="8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/>
      <c r="AH125" s="7"/>
      <c r="AI125" s="7"/>
      <c r="AJ125" s="8"/>
    </row>
    <row r="126" spans="1:36" ht="18.600000000000001" x14ac:dyDescent="0.55000000000000004">
      <c r="A126" s="7"/>
      <c r="B126" s="7"/>
      <c r="C126" s="7"/>
      <c r="D126" s="7"/>
      <c r="E126" s="7"/>
      <c r="F126" s="8"/>
      <c r="G126" s="8"/>
      <c r="H126" s="7"/>
      <c r="I126" s="8"/>
      <c r="J126" s="8"/>
      <c r="K126" s="8"/>
      <c r="L126" s="8"/>
      <c r="M126" s="7"/>
      <c r="N126" s="7"/>
      <c r="O126" s="8"/>
      <c r="P126" s="8"/>
      <c r="Q126" s="8"/>
      <c r="R126" s="8"/>
      <c r="S126" s="8"/>
      <c r="T126" s="8"/>
      <c r="U126" s="8"/>
      <c r="V126" s="8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8"/>
      <c r="AH126" s="7"/>
      <c r="AI126" s="7"/>
      <c r="AJ126" s="8"/>
    </row>
    <row r="127" spans="1:36" ht="18.600000000000001" x14ac:dyDescent="0.55000000000000004">
      <c r="A127" s="7"/>
      <c r="B127" s="7"/>
      <c r="C127" s="7"/>
      <c r="D127" s="7"/>
      <c r="E127" s="7"/>
      <c r="F127" s="8"/>
      <c r="G127" s="8"/>
      <c r="H127" s="7"/>
      <c r="I127" s="8"/>
      <c r="J127" s="8"/>
      <c r="K127" s="8"/>
      <c r="L127" s="8"/>
      <c r="M127" s="7"/>
      <c r="N127" s="7"/>
      <c r="O127" s="8"/>
      <c r="P127" s="8"/>
      <c r="Q127" s="8"/>
      <c r="R127" s="8"/>
      <c r="S127" s="8"/>
      <c r="T127" s="8"/>
      <c r="U127" s="8"/>
      <c r="V127" s="8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8"/>
      <c r="AH127" s="7"/>
      <c r="AI127" s="7"/>
      <c r="AJ127" s="8"/>
    </row>
    <row r="128" spans="1:36" ht="18.600000000000001" x14ac:dyDescent="0.55000000000000004">
      <c r="A128" s="7"/>
      <c r="B128" s="7"/>
      <c r="C128" s="7"/>
      <c r="D128" s="7"/>
      <c r="E128" s="7"/>
      <c r="F128" s="8"/>
      <c r="G128" s="8"/>
      <c r="H128" s="7"/>
      <c r="I128" s="8"/>
      <c r="J128" s="8"/>
      <c r="K128" s="8"/>
      <c r="L128" s="8"/>
      <c r="M128" s="7"/>
      <c r="N128" s="7"/>
      <c r="O128" s="8"/>
      <c r="P128" s="8"/>
      <c r="Q128" s="8"/>
      <c r="R128" s="8"/>
      <c r="S128" s="8"/>
      <c r="T128" s="8"/>
      <c r="U128" s="8"/>
      <c r="V128" s="8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8"/>
      <c r="AH128" s="7"/>
      <c r="AI128" s="7"/>
      <c r="AJ128" s="8"/>
    </row>
    <row r="129" spans="1:36" ht="18.600000000000001" x14ac:dyDescent="0.55000000000000004">
      <c r="A129" s="7"/>
      <c r="B129" s="7"/>
      <c r="C129" s="7"/>
      <c r="D129" s="7"/>
      <c r="E129" s="7"/>
      <c r="F129" s="8"/>
      <c r="G129" s="8"/>
      <c r="H129" s="7"/>
      <c r="I129" s="8"/>
      <c r="J129" s="8"/>
      <c r="K129" s="8"/>
      <c r="L129" s="8"/>
      <c r="M129" s="7"/>
      <c r="N129" s="7"/>
      <c r="O129" s="8"/>
      <c r="P129" s="8"/>
      <c r="Q129" s="8"/>
      <c r="R129" s="8"/>
      <c r="S129" s="8"/>
      <c r="T129" s="8"/>
      <c r="U129" s="8"/>
      <c r="V129" s="8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8"/>
      <c r="AH129" s="7"/>
      <c r="AI129" s="7"/>
      <c r="AJ129" s="8"/>
    </row>
  </sheetData>
  <hyperlinks>
    <hyperlink ref="P72" r:id="rId1" display="mailto:Siriplongpun@gmail.com" xr:uid="{030D24E7-80CC-4891-BB9F-52D00F203A97}"/>
    <hyperlink ref="P85" r:id="rId2" display="mailto:daunpen21boonjak@gmail.com" xr:uid="{85A8C401-ED95-42FD-AFCE-1D6DB2616A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E244-D7B4-45FC-8210-0AE1BCB7BD75}">
  <dimension ref="A1:B5"/>
  <sheetViews>
    <sheetView workbookViewId="0">
      <selection activeCell="C13" sqref="C13"/>
    </sheetView>
  </sheetViews>
  <sheetFormatPr defaultRowHeight="13.8" x14ac:dyDescent="0.25"/>
  <cols>
    <col min="1" max="1" width="11" customWidth="1"/>
  </cols>
  <sheetData>
    <row r="1" spans="1:2" x14ac:dyDescent="0.25">
      <c r="A1" t="s">
        <v>57</v>
      </c>
      <c r="B1" t="s">
        <v>59</v>
      </c>
    </row>
    <row r="2" spans="1:2" x14ac:dyDescent="0.25">
      <c r="A2" t="s">
        <v>58</v>
      </c>
      <c r="B2" t="s">
        <v>60</v>
      </c>
    </row>
    <row r="3" spans="1:2" x14ac:dyDescent="0.25">
      <c r="A3" t="s">
        <v>8</v>
      </c>
      <c r="B3" t="s">
        <v>61</v>
      </c>
    </row>
    <row r="4" spans="1:2" x14ac:dyDescent="0.25">
      <c r="B4" t="s">
        <v>62</v>
      </c>
    </row>
    <row r="5" spans="1:2" x14ac:dyDescent="0.25">
      <c r="B5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Recruitment</vt:lpstr>
      <vt:lpstr>Turnover</vt:lpstr>
      <vt:lpstr>Turnover_Graph</vt:lpstr>
      <vt:lpstr>รายชื่อพนักงาน Manpower</vt:lpstr>
      <vt:lpstr>รายชื่อพนักงาน HRD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Lapat Jitwongwai (Jitwongwai Lapat)</dc:creator>
  <cp:lastModifiedBy>Lapat Jitwongwai (Jitwongwai Lapat)</cp:lastModifiedBy>
  <dcterms:created xsi:type="dcterms:W3CDTF">2026-06-26T09:31:31Z</dcterms:created>
  <dcterms:modified xsi:type="dcterms:W3CDTF">2026-07-13T05:56:00Z</dcterms:modified>
</cp:coreProperties>
</file>