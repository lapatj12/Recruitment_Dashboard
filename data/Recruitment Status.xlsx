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botagroup-my.sharepoint.com/personal/lapat_j_kubota_com/Documents/Documents/Recruitment Tools/Dashboard Data Report/"/>
    </mc:Choice>
  </mc:AlternateContent>
  <xr:revisionPtr revIDLastSave="533" documentId="8_{C781524C-CDB5-4A99-995A-BF19D715A11B}" xr6:coauthVersionLast="47" xr6:coauthVersionMax="47" xr10:uidLastSave="{46DD040D-3736-4672-9540-308FEA2B220E}"/>
  <bookViews>
    <workbookView xWindow="-108" yWindow="-108" windowWidth="23256" windowHeight="12456" activeTab="3" xr2:uid="{04F7FCEE-2113-4F06-8755-0EFC8D52D834}"/>
  </bookViews>
  <sheets>
    <sheet name="Job Summary" sheetId="4" r:id="rId1"/>
    <sheet name="Channels" sheetId="6" r:id="rId2"/>
    <sheet name="Sheet4" sheetId="7" r:id="rId3"/>
    <sheet name="2025" sheetId="1" r:id="rId4"/>
    <sheet name="Graph" sheetId="5" r:id="rId5"/>
    <sheet name="2026" sheetId="3" r:id="rId6"/>
    <sheet name="List" sheetId="2" r:id="rId7"/>
  </sheets>
  <definedNames>
    <definedName name="_xlnm._FilterDatabase" localSheetId="3" hidden="1">'2025'!$A$1:$AA$102</definedName>
    <definedName name="_xlnm._FilterDatabase" localSheetId="4" hidden="1">Graph!$D$31:$E$33</definedName>
    <definedName name="_xlchart.v1.10" hidden="1">Graph!$B$16:$B$30</definedName>
    <definedName name="_xlchart.v1.4" hidden="1">Graph!$E$56:$E$59</definedName>
    <definedName name="_xlchart.v1.5" hidden="1">Graph!$F$56:$F$59</definedName>
    <definedName name="_xlchart.v1.6" hidden="1">Graph!$E$56:$E$59</definedName>
    <definedName name="_xlchart.v1.7" hidden="1">Graph!$F$56:$F$59</definedName>
    <definedName name="_xlchart.v1.8" hidden="1">Graph!$A$16:$A$30</definedName>
    <definedName name="_xlchart.v1.9" hidden="1">Graph!$B$15</definedName>
    <definedName name="_xlchart.v2.0" hidden="1">Graph!$A$16:$A$21</definedName>
    <definedName name="_xlchart.v2.1" hidden="1">Graph!$B$16:$B$21</definedName>
    <definedName name="_xlchart.v2.11" hidden="1">Graph!$D$31:$D$33</definedName>
    <definedName name="_xlchart.v2.12" hidden="1">Graph!$E$31:$E$33</definedName>
    <definedName name="_xlchart.v2.2" hidden="1">Graph!$D$38:$D$40</definedName>
    <definedName name="_xlchart.v2.3" hidden="1">Graph!$E$38:$E$40</definedName>
  </definedNames>
  <calcPr calcId="191029"/>
  <pivotCaches>
    <pivotCache cacheId="9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1" l="1"/>
  <c r="D10" i="5"/>
  <c r="D11" i="5"/>
  <c r="D9" i="5"/>
  <c r="D4" i="5"/>
  <c r="D5" i="5"/>
  <c r="D3" i="5"/>
  <c r="S57" i="1"/>
  <c r="S54" i="1"/>
  <c r="S55" i="1"/>
  <c r="S56" i="1"/>
  <c r="S102" i="1" l="1"/>
  <c r="S1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2" i="1"/>
</calcChain>
</file>

<file path=xl/sharedStrings.xml><?xml version="1.0" encoding="utf-8"?>
<sst xmlns="http://schemas.openxmlformats.org/spreadsheetml/2006/main" count="2799" uniqueCount="953">
  <si>
    <t>Holidays</t>
  </si>
  <si>
    <t>Jan 01, 2026</t>
  </si>
  <si>
    <t>Jan 02, 2026</t>
  </si>
  <si>
    <t>Jan 03, 2026</t>
  </si>
  <si>
    <t>Jan 04, 2026</t>
  </si>
  <si>
    <t>Jan 10, 2026</t>
  </si>
  <si>
    <t>Jan 11, 2026</t>
  </si>
  <si>
    <t>Jan 17, 2026</t>
  </si>
  <si>
    <t>Jan 18, 2026</t>
  </si>
  <si>
    <t>Jan 25, 2026</t>
  </si>
  <si>
    <t>Jan 31, 2026</t>
  </si>
  <si>
    <t>Feb 01, 2026</t>
  </si>
  <si>
    <t>Feb 08, 2026</t>
  </si>
  <si>
    <t>Feb 14, 2026</t>
  </si>
  <si>
    <t>Feb 15, 2026</t>
  </si>
  <si>
    <t>Feb 22, 2026</t>
  </si>
  <si>
    <t>Feb 28, 2026</t>
  </si>
  <si>
    <t>Mar 01, 2026</t>
  </si>
  <si>
    <t>Mar 03, 2026</t>
  </si>
  <si>
    <t>Mar 08, 2026</t>
  </si>
  <si>
    <t>Mar 14, 2026</t>
  </si>
  <si>
    <t>Mar 15, 2026</t>
  </si>
  <si>
    <t>Mar 22, 2026</t>
  </si>
  <si>
    <t>Mar 28, 2026</t>
  </si>
  <si>
    <t>Mar 29, 2026</t>
  </si>
  <si>
    <t>Apr 04, 2026</t>
  </si>
  <si>
    <t>Apr 05, 2026</t>
  </si>
  <si>
    <t>Apr 06, 2026</t>
  </si>
  <si>
    <t>Apr 11, 2026</t>
  </si>
  <si>
    <t>Apr 12, 2026</t>
  </si>
  <si>
    <t>Apr 13, 2026</t>
  </si>
  <si>
    <t>Apr 14, 2026</t>
  </si>
  <si>
    <t>Apr 15, 2026</t>
  </si>
  <si>
    <t>Apr 18, 2026</t>
  </si>
  <si>
    <t>Apr 19, 2026</t>
  </si>
  <si>
    <t>Apr 26, 2026</t>
  </si>
  <si>
    <t>May 01, 2026</t>
  </si>
  <si>
    <t>May 02, 2026</t>
  </si>
  <si>
    <t>May 03, 2026</t>
  </si>
  <si>
    <t>May 04, 2026</t>
  </si>
  <si>
    <t>May 10, 2026</t>
  </si>
  <si>
    <t>May 11, 2026</t>
  </si>
  <si>
    <t>May 16, 2026</t>
  </si>
  <si>
    <t>May 17, 2026</t>
  </si>
  <si>
    <t>May 24, 2026</t>
  </si>
  <si>
    <t>May 30, 2026</t>
  </si>
  <si>
    <t>May 31, 2026</t>
  </si>
  <si>
    <t>Jun 01, 2026</t>
  </si>
  <si>
    <t>Jun 03, 2026</t>
  </si>
  <si>
    <t>Jun 07, 2026</t>
  </si>
  <si>
    <t>Jun 13, 2026</t>
  </si>
  <si>
    <t>Jun 14, 2026</t>
  </si>
  <si>
    <t>Jun 21, 2026</t>
  </si>
  <si>
    <t>Jun 27, 2026</t>
  </si>
  <si>
    <t>Jun 28, 2026</t>
  </si>
  <si>
    <t>Jul 04, 2026</t>
  </si>
  <si>
    <t>Jul 05, 2026</t>
  </si>
  <si>
    <t>Jul 11, 2026</t>
  </si>
  <si>
    <t>Jul 12, 2026</t>
  </si>
  <si>
    <t>Jul 18, 2026</t>
  </si>
  <si>
    <t>Jul 19, 2026</t>
  </si>
  <si>
    <t>Jul 25, 2026</t>
  </si>
  <si>
    <t>Jul 26, 2026</t>
  </si>
  <si>
    <t>Jul 28, 2026</t>
  </si>
  <si>
    <t>Jul 29, 2026</t>
  </si>
  <si>
    <t>Jul 30, 2026</t>
  </si>
  <si>
    <t>Aug 01, 2026</t>
  </si>
  <si>
    <t>Aug 02, 2026</t>
  </si>
  <si>
    <t>Aug 08, 2026</t>
  </si>
  <si>
    <t>Aug 09, 2026</t>
  </si>
  <si>
    <t>Aug 12, 2026</t>
  </si>
  <si>
    <t>Aug 15, 2026</t>
  </si>
  <si>
    <t>Aug 16, 2026</t>
  </si>
  <si>
    <t>Aug 22, 2026</t>
  </si>
  <si>
    <t>Aug 23, 2026</t>
  </si>
  <si>
    <t>Aug 29, 2026</t>
  </si>
  <si>
    <t>Aug 30, 2026</t>
  </si>
  <si>
    <t>Sep 05, 2026</t>
  </si>
  <si>
    <t>Sep 06, 2026</t>
  </si>
  <si>
    <t>Sep 12, 2026</t>
  </si>
  <si>
    <t>Sep 13, 2026</t>
  </si>
  <si>
    <t>Sep 19, 2026</t>
  </si>
  <si>
    <t>Sep 20, 2026</t>
  </si>
  <si>
    <t>Sep 26, 2026</t>
  </si>
  <si>
    <t>Sep 27, 2026</t>
  </si>
  <si>
    <t>Oct 03, 2026</t>
  </si>
  <si>
    <t>Oct 04, 2026</t>
  </si>
  <si>
    <t>Oct 10, 2026</t>
  </si>
  <si>
    <t>Oct 11, 2026</t>
  </si>
  <si>
    <t>Oct 13, 2026</t>
  </si>
  <si>
    <t>Oct 17, 2026</t>
  </si>
  <si>
    <t>Oct 18, 2026</t>
  </si>
  <si>
    <t>Oct 23, 2026</t>
  </si>
  <si>
    <t>Oct 24, 2026</t>
  </si>
  <si>
    <t>Oct 25, 2026</t>
  </si>
  <si>
    <t>Oct 31, 2026</t>
  </si>
  <si>
    <t>Nov 01, 2026</t>
  </si>
  <si>
    <t>Nov 07, 2026</t>
  </si>
  <si>
    <t>Nov 08, 2026</t>
  </si>
  <si>
    <t>Nov 14, 2026</t>
  </si>
  <si>
    <t>Nov 15, 2026</t>
  </si>
  <si>
    <t>Nov 21, 2026</t>
  </si>
  <si>
    <t>Nov 22, 2026</t>
  </si>
  <si>
    <t>Nov 28, 2026</t>
  </si>
  <si>
    <t>Nov 29, 2026</t>
  </si>
  <si>
    <t>Dec 05, 2026</t>
  </si>
  <si>
    <t>Dec 06, 2026</t>
  </si>
  <si>
    <t>Dec 07, 2026</t>
  </si>
  <si>
    <t>Dec 10, 2026</t>
  </si>
  <si>
    <t>Dec 12, 2026</t>
  </si>
  <si>
    <t>Dec 13, 2026</t>
  </si>
  <si>
    <t>Dec 19, 2026</t>
  </si>
  <si>
    <t>Dec 20, 2026</t>
  </si>
  <si>
    <t>Dec 26, 2026</t>
  </si>
  <si>
    <t>Dec 27, 2026</t>
  </si>
  <si>
    <t>Dec 31, 2026</t>
  </si>
  <si>
    <t xml:space="preserve">Source </t>
  </si>
  <si>
    <t>Internal</t>
  </si>
  <si>
    <t>Job DB</t>
  </si>
  <si>
    <t>Job Top Gun</t>
  </si>
  <si>
    <t>Job Fairs</t>
  </si>
  <si>
    <t>Road Show</t>
  </si>
  <si>
    <t>Friends Get Friends</t>
  </si>
  <si>
    <t xml:space="preserve">Facebook </t>
  </si>
  <si>
    <t>Internship</t>
  </si>
  <si>
    <t>Status</t>
  </si>
  <si>
    <t xml:space="preserve">Sourcing </t>
  </si>
  <si>
    <t>First Interview</t>
  </si>
  <si>
    <t>Final Interview</t>
  </si>
  <si>
    <t>Wait to Join</t>
  </si>
  <si>
    <t>Effective</t>
  </si>
  <si>
    <t>Division</t>
  </si>
  <si>
    <t>Department</t>
  </si>
  <si>
    <t>Work Unit</t>
  </si>
  <si>
    <t>Human Resources &amp; Administration Division</t>
  </si>
  <si>
    <t>Amata City Administration Department</t>
  </si>
  <si>
    <t>Production Line - Assembling</t>
  </si>
  <si>
    <t>Manufacturing Engineering Division</t>
  </si>
  <si>
    <t>Safety and Occupational Health Department</t>
  </si>
  <si>
    <t>Production Line</t>
  </si>
  <si>
    <t>Production Planning &amp; Logistics Division</t>
  </si>
  <si>
    <t>Advance Product Quality Planning Department</t>
  </si>
  <si>
    <t>Product Inspection</t>
  </si>
  <si>
    <t>Safety, Occupational Health and Environment Division</t>
  </si>
  <si>
    <t>Tractor &amp; Implement Inspection Department</t>
  </si>
  <si>
    <t>Production Development - Welding and Painting</t>
  </si>
  <si>
    <t>Harvester &amp; Rotary Manufacturing Division</t>
  </si>
  <si>
    <t>Purchasing 2 Department</t>
  </si>
  <si>
    <t>Assembly Line - Final A</t>
  </si>
  <si>
    <t>Tractor Manufacturing Division</t>
  </si>
  <si>
    <t>B Tractor &amp; Part Production Department</t>
  </si>
  <si>
    <t>Production Line - Welding and Painting</t>
  </si>
  <si>
    <t>Purchasing Division</t>
  </si>
  <si>
    <t>Part Logistics Department</t>
  </si>
  <si>
    <t>Part Logistics - Tractor Plant</t>
  </si>
  <si>
    <t>Inspection Division</t>
  </si>
  <si>
    <t>Combine Harvester Production Department</t>
  </si>
  <si>
    <t>Parts Production Line</t>
  </si>
  <si>
    <t>Production Technology Development Division</t>
  </si>
  <si>
    <t>L Tractor Production Department</t>
  </si>
  <si>
    <t>Supplier Quality Kaizen 1</t>
  </si>
  <si>
    <t>Digital Technology Division</t>
  </si>
  <si>
    <t>Amata City Production Planning &amp; Control Department</t>
  </si>
  <si>
    <t>Assembly Line</t>
  </si>
  <si>
    <t>Planning &amp; Control Division</t>
  </si>
  <si>
    <t>Environment Department</t>
  </si>
  <si>
    <t>Warehouse Operation</t>
  </si>
  <si>
    <t>-</t>
  </si>
  <si>
    <t>Purchasing 1 Department</t>
  </si>
  <si>
    <t>Part Logistics - Combine Harvester Plant</t>
  </si>
  <si>
    <t>Parts Division</t>
  </si>
  <si>
    <t>Cyber Security and Infrastructure Department</t>
  </si>
  <si>
    <t>Production Line - FGL</t>
  </si>
  <si>
    <t>Distribution Network Development Division</t>
  </si>
  <si>
    <t>Project Management Engineering Department</t>
  </si>
  <si>
    <t>Amata City - Process Development</t>
  </si>
  <si>
    <t>KIN</t>
  </si>
  <si>
    <t>Purchasing Engineering Department</t>
  </si>
  <si>
    <t>Production Development - Rotary</t>
  </si>
  <si>
    <t>Corporate Strategy Division</t>
  </si>
  <si>
    <t>Product Purchasing and Administration Department</t>
  </si>
  <si>
    <t>Maintenance</t>
  </si>
  <si>
    <t>Customer Service Division</t>
  </si>
  <si>
    <t>Harvester Inspection Department</t>
  </si>
  <si>
    <t>Tool Engineering</t>
  </si>
  <si>
    <t>Navanakorn Manufacturing Division</t>
  </si>
  <si>
    <t>Export/Import Shipping Administration Department</t>
  </si>
  <si>
    <t>Indirect Material Purchasing</t>
  </si>
  <si>
    <t>Strategic Marketing Division</t>
  </si>
  <si>
    <t>Amata City Human Resources Department</t>
  </si>
  <si>
    <t>Transportation</t>
  </si>
  <si>
    <t>Sustainability Development Division</t>
  </si>
  <si>
    <t>Sugarcane Harvester &amp; Rotary Production Department</t>
  </si>
  <si>
    <t>Part Planning &amp; Control - FGL</t>
  </si>
  <si>
    <t>GRC &amp; Internal Audit Division</t>
  </si>
  <si>
    <t>Finished Goods Logistics Department</t>
  </si>
  <si>
    <t>Assembly Line - Mission B</t>
  </si>
  <si>
    <t>Tractor &amp; Farm Machinery Sales Division</t>
  </si>
  <si>
    <t>Amata City Production Engineering Department</t>
  </si>
  <si>
    <t>Import Administration</t>
  </si>
  <si>
    <t>Construction &amp; Engine Division</t>
  </si>
  <si>
    <t>Amata City Accounting Department</t>
  </si>
  <si>
    <t>Free Zone</t>
  </si>
  <si>
    <t>Quality Assurance Division</t>
  </si>
  <si>
    <t>KPS Promotion Department</t>
  </si>
  <si>
    <t>Purchasing - 2B</t>
  </si>
  <si>
    <t>Digital Communication Division</t>
  </si>
  <si>
    <t>Automation Technology Department</t>
  </si>
  <si>
    <t>Purchasing Administration</t>
  </si>
  <si>
    <t>Digital Enterprise System Department</t>
  </si>
  <si>
    <t>Part Planning - Tractor</t>
  </si>
  <si>
    <t>Utility</t>
  </si>
  <si>
    <t>Overseas Parts Sales &amp; Marketing Department</t>
  </si>
  <si>
    <t>Production Development 2</t>
  </si>
  <si>
    <t>Sales Operation Excellence Department</t>
  </si>
  <si>
    <t>Assembly Line - Mission A</t>
  </si>
  <si>
    <t>Solution Business Office</t>
  </si>
  <si>
    <t>Production Development- Sugarcane Harvester</t>
  </si>
  <si>
    <t>Commerce Business Office</t>
  </si>
  <si>
    <t>General Accounting</t>
  </si>
  <si>
    <t>Business Development Department</t>
  </si>
  <si>
    <t>Manufacturing Cost Analysis 3</t>
  </si>
  <si>
    <t>Domestic After - Sales Service Department</t>
  </si>
  <si>
    <t>Part Logistics Engineering</t>
  </si>
  <si>
    <t>Engine &amp; Hay baler Production Department</t>
  </si>
  <si>
    <t>Part Inspection</t>
  </si>
  <si>
    <t>Parts Distribution Department</t>
  </si>
  <si>
    <t>Assembly Line - Final B</t>
  </si>
  <si>
    <t>Product Development Department</t>
  </si>
  <si>
    <t>Advanced Product Quality Planning - 1</t>
  </si>
  <si>
    <t>Customer Success System Department</t>
  </si>
  <si>
    <t>Part Control</t>
  </si>
  <si>
    <t>KUBOTA Solutions Department</t>
  </si>
  <si>
    <t>Production Development 1</t>
  </si>
  <si>
    <t>Siam Kubota Academy</t>
  </si>
  <si>
    <t>Amata City Safety and Occupational Health</t>
  </si>
  <si>
    <t>Parts Planning &amp; Development Department</t>
  </si>
  <si>
    <t>Advanced Product Quality Planning - 2</t>
  </si>
  <si>
    <t>Carbon Neutrality Department</t>
  </si>
  <si>
    <t>Government Affairs &amp; Office Services</t>
  </si>
  <si>
    <t>Finance &amp; Credit Department</t>
  </si>
  <si>
    <t>Accounting System &amp; Process Development</t>
  </si>
  <si>
    <t>Business Support Department</t>
  </si>
  <si>
    <t>Amata City Environment</t>
  </si>
  <si>
    <t>Corporate Branding Management Department</t>
  </si>
  <si>
    <t>Support Part Inspection</t>
  </si>
  <si>
    <t>KUBOTA FARM Department</t>
  </si>
  <si>
    <t>Supplier Quality Kaizen 2</t>
  </si>
  <si>
    <t>Strategic Partnership Management Department</t>
  </si>
  <si>
    <t>Smart Maintenance</t>
  </si>
  <si>
    <t>GRC Department</t>
  </si>
  <si>
    <t>Employee Relations</t>
  </si>
  <si>
    <t>Internal Audit Department</t>
  </si>
  <si>
    <t>Factory Services</t>
  </si>
  <si>
    <t>Navanakorn Human Resources Department</t>
  </si>
  <si>
    <t>KPS Fundamental</t>
  </si>
  <si>
    <t>Corporate Human Resources &amp; Administration Department</t>
  </si>
  <si>
    <t>Production Development - Assembling</t>
  </si>
  <si>
    <t>Navanakorn Administration Department</t>
  </si>
  <si>
    <t>Supplier KPS Promotion</t>
  </si>
  <si>
    <t>Indirect Material Purchasing and Indirect Material Purchasing Engineering</t>
  </si>
  <si>
    <t>Production Planning</t>
  </si>
  <si>
    <t>Engine-Power Tiller Inspection Department</t>
  </si>
  <si>
    <t>Privilege &amp; Process Development</t>
  </si>
  <si>
    <t>Production Support - New business</t>
  </si>
  <si>
    <t>Part Planning - Harvester &amp; Implement</t>
  </si>
  <si>
    <t>Power Tiller Production Department</t>
  </si>
  <si>
    <t>Sustainable Environment Development</t>
  </si>
  <si>
    <t>Navanakorn Production Planning &amp; Control Department</t>
  </si>
  <si>
    <t>Amata City - Engineering Project 2</t>
  </si>
  <si>
    <t>Navanakorn Production Engineering Department</t>
  </si>
  <si>
    <t>Export Administration</t>
  </si>
  <si>
    <t>Service Value Creation Department</t>
  </si>
  <si>
    <t>Technology Development - Logistics</t>
  </si>
  <si>
    <t>Overseas &amp; Service Business Department</t>
  </si>
  <si>
    <t>Indirect Material Purchasing Engineering</t>
  </si>
  <si>
    <t>Technical Service Solutions Department</t>
  </si>
  <si>
    <t>KBT's Export Logistics</t>
  </si>
  <si>
    <t>Domestic Parts Sales &amp; Marketing Department</t>
  </si>
  <si>
    <t>KPS Administration</t>
  </si>
  <si>
    <t>Marketing Management Department</t>
  </si>
  <si>
    <t>Technology Development - Manufacturing</t>
  </si>
  <si>
    <t>Marketing Communication Department</t>
  </si>
  <si>
    <t>Production Development - FGL</t>
  </si>
  <si>
    <t>Overseas Sales Office</t>
  </si>
  <si>
    <t>Purchasing - 1A</t>
  </si>
  <si>
    <t>Central &amp; Southern Region Sales Office</t>
  </si>
  <si>
    <t>Amata city IT Service</t>
  </si>
  <si>
    <t>Northeastern Region Sales Office</t>
  </si>
  <si>
    <t>Manufacturing Execution System</t>
  </si>
  <si>
    <t>Northern Region Sales Office</t>
  </si>
  <si>
    <t>Manufacturing System Planning</t>
  </si>
  <si>
    <t>Construction Business</t>
  </si>
  <si>
    <t>Product Purchasing</t>
  </si>
  <si>
    <t>Engine &amp; Power Tiller Business</t>
  </si>
  <si>
    <t>Amata City Infrastructure</t>
  </si>
  <si>
    <t>Customer Relationship Management Department</t>
  </si>
  <si>
    <t>PU1 New Model Costing</t>
  </si>
  <si>
    <t>Distribution Channel Development Department</t>
  </si>
  <si>
    <t>Purchasing - 2A</t>
  </si>
  <si>
    <t>CSP Farm Machinery Department</t>
  </si>
  <si>
    <t>New Project Control</t>
  </si>
  <si>
    <t>CSP Construction &amp; Implement Department</t>
  </si>
  <si>
    <t>PU2 New Model Costing</t>
  </si>
  <si>
    <t>CSP Tractor Department</t>
  </si>
  <si>
    <t>Human Resources Management &amp; Recruitment</t>
  </si>
  <si>
    <t>KLC</t>
  </si>
  <si>
    <t>Manufacturing Cost Analysis 2</t>
  </si>
  <si>
    <t>Accounting Department</t>
  </si>
  <si>
    <t>Manufacturing Cost Analysis 1</t>
  </si>
  <si>
    <t>Cost Accounting and Budgeting Department</t>
  </si>
  <si>
    <t>Support Product Inspection</t>
  </si>
  <si>
    <t>Accounting Solutions and Process Development Department</t>
  </si>
  <si>
    <t>Purchasing - 1B</t>
  </si>
  <si>
    <t>Data Driven Business</t>
  </si>
  <si>
    <t>Human Resources Development</t>
  </si>
  <si>
    <t>Kubota Solutions Department</t>
  </si>
  <si>
    <t>Production Development - Assembly</t>
  </si>
  <si>
    <t>Overseas service operation</t>
  </si>
  <si>
    <t>Purchasing - 2C</t>
  </si>
  <si>
    <t>Amata City - Engineering Project 1</t>
  </si>
  <si>
    <t>Production Development - Parts Production</t>
  </si>
  <si>
    <t>Digital Communication Department</t>
  </si>
  <si>
    <t>Finance &amp; Credit Development</t>
  </si>
  <si>
    <t>Marketing Management</t>
  </si>
  <si>
    <t>Sales Operation System Development</t>
  </si>
  <si>
    <t>Accounting Solutions and Process 
Development</t>
  </si>
  <si>
    <t>Farming Service</t>
  </si>
  <si>
    <t>Marketing Communication</t>
  </si>
  <si>
    <t>Carbon Neutrality Business</t>
  </si>
  <si>
    <t>Business Planning</t>
  </si>
  <si>
    <t>Southern Area After - Sales Service</t>
  </si>
  <si>
    <t>Risk Management Department</t>
  </si>
  <si>
    <t>Warehouse System &amp; Automation Development</t>
  </si>
  <si>
    <t>Tractor &amp; Implement</t>
  </si>
  <si>
    <t>Data Engineering</t>
  </si>
  <si>
    <t>Climate Change Solutions Development</t>
  </si>
  <si>
    <t>Service Publication</t>
  </si>
  <si>
    <t>Carbon Neutrality Technology &amp; Solutions</t>
  </si>
  <si>
    <t>Credit Management</t>
  </si>
  <si>
    <t>New Product Inspection</t>
  </si>
  <si>
    <t>Marketing Research</t>
  </si>
  <si>
    <t>Marketing</t>
  </si>
  <si>
    <t>Data Analyst</t>
  </si>
  <si>
    <t>Design and muitimedia</t>
  </si>
  <si>
    <t>Customer Management</t>
  </si>
  <si>
    <t>Farm experince developer</t>
  </si>
  <si>
    <t>Education Partnership development</t>
  </si>
  <si>
    <t>Customer Experience system</t>
  </si>
  <si>
    <t>Operator</t>
  </si>
  <si>
    <t>Domestic Dealer Service Development</t>
  </si>
  <si>
    <t>Sustainable solutions promotion</t>
  </si>
  <si>
    <t>Navanakorn - Engineering Project</t>
  </si>
  <si>
    <t>Grand Design &amp; Technology Innovation</t>
  </si>
  <si>
    <t>Tractor Technical Service</t>
  </si>
  <si>
    <t>Service Operation excellence</t>
  </si>
  <si>
    <t>Digital Accounting &amp; Process Design</t>
  </si>
  <si>
    <t>Business Intelligence</t>
  </si>
  <si>
    <t>Overseas service Creativity</t>
  </si>
  <si>
    <t>Overseas Network Management</t>
  </si>
  <si>
    <t>Inventory Control</t>
  </si>
  <si>
    <t>Production Support</t>
  </si>
  <si>
    <t>Navanakorn Distribution Center</t>
  </si>
  <si>
    <t>Hay Baler Assembling</t>
  </si>
  <si>
    <t>Machining for Navanakorn</t>
  </si>
  <si>
    <t>Parts Logistics</t>
  </si>
  <si>
    <t>Finance Planning and Analysis</t>
  </si>
  <si>
    <t>Central and Southern Region After Sales</t>
  </si>
  <si>
    <t>Data Analytic</t>
  </si>
  <si>
    <t>New Model Managament</t>
  </si>
  <si>
    <t>Overseas Service</t>
  </si>
  <si>
    <t>Event Management</t>
  </si>
  <si>
    <t>Service Creativity</t>
  </si>
  <si>
    <t>Part Supply &amp;Planning Management</t>
  </si>
  <si>
    <t>Digital Communication</t>
  </si>
  <si>
    <t>Cost Analysis 2</t>
  </si>
  <si>
    <t>Subsidiary Support</t>
  </si>
  <si>
    <t>Manufacturing Software Development</t>
  </si>
  <si>
    <t>Overseas Smart Contact Center &amp; Privilege</t>
  </si>
  <si>
    <t>Service Sales Solutions</t>
  </si>
  <si>
    <t>General Purchasing</t>
  </si>
  <si>
    <t>Cambodia - Parts Sales</t>
  </si>
  <si>
    <t>Carbon Neutrality</t>
  </si>
  <si>
    <t>Trading</t>
  </si>
  <si>
    <t>New Business support</t>
  </si>
  <si>
    <t>Tractor 1</t>
  </si>
  <si>
    <t>Office Services</t>
  </si>
  <si>
    <t>Information System &amp; Operation</t>
  </si>
  <si>
    <t>Month_Approved</t>
  </si>
  <si>
    <t>Location</t>
  </si>
  <si>
    <t>Position_Request</t>
  </si>
  <si>
    <t>Position_Announce</t>
  </si>
  <si>
    <t>Dept</t>
  </si>
  <si>
    <t>Propose As</t>
  </si>
  <si>
    <t>Name of employee being replaced</t>
  </si>
  <si>
    <t>Level &amp; Type</t>
  </si>
  <si>
    <t>Document Status</t>
  </si>
  <si>
    <t>Recruitment Status</t>
  </si>
  <si>
    <t>Approved_Date</t>
  </si>
  <si>
    <t>Target_Date</t>
  </si>
  <si>
    <t>Completed_Date</t>
  </si>
  <si>
    <t>Diff of working days between Approval date and Complete Date</t>
  </si>
  <si>
    <t>Group Status</t>
  </si>
  <si>
    <t>New Employee</t>
  </si>
  <si>
    <t>Recruitment Channel</t>
  </si>
  <si>
    <t>5. Effective</t>
  </si>
  <si>
    <t>Start Date</t>
  </si>
  <si>
    <t>JD</t>
  </si>
  <si>
    <t>Inter/Exter</t>
  </si>
  <si>
    <t>Sourcing Status</t>
  </si>
  <si>
    <t>Sep</t>
  </si>
  <si>
    <t>SKC N</t>
  </si>
  <si>
    <t>Mechanic</t>
  </si>
  <si>
    <t>ช่าง</t>
  </si>
  <si>
    <t>Resignation</t>
  </si>
  <si>
    <t>O-General</t>
  </si>
  <si>
    <t>Hold</t>
  </si>
  <si>
    <t>Not Completed</t>
  </si>
  <si>
    <t>Sep17,2024</t>
  </si>
  <si>
    <t>Oct 31, 2024</t>
  </si>
  <si>
    <t>Nov20,2024</t>
  </si>
  <si>
    <t>45 Days Up</t>
  </si>
  <si>
    <t>Feb</t>
  </si>
  <si>
    <t>วิศวกรไฟฟ้า</t>
  </si>
  <si>
    <t>Electrical Engineering</t>
  </si>
  <si>
    <t>New Model</t>
  </si>
  <si>
    <t>S-Specific</t>
  </si>
  <si>
    <t>Feb 24, 2025</t>
  </si>
  <si>
    <t>May 9, 2025</t>
  </si>
  <si>
    <t>https://drive.google.com/file/d/1iFmXi4jKmW0AsOf7T-Qfi5mvX52dwbpX/view?usp=drive_link</t>
  </si>
  <si>
    <t>External Only</t>
  </si>
  <si>
    <t>พนักงานธุรการขาย</t>
  </si>
  <si>
    <t>Patcharaporn Hengbanpaew</t>
  </si>
  <si>
    <t>Apr 8, 2025</t>
  </si>
  <si>
    <t>Mar 7, 2025</t>
  </si>
  <si>
    <t>Pending</t>
  </si>
  <si>
    <t>https://drive.google.com/file/d/1V3OLvfaJcIiG920KYVyfGmM1KaN1lPJm/view?usp=drive_link</t>
  </si>
  <si>
    <t>Both</t>
  </si>
  <si>
    <t>SKC A</t>
  </si>
  <si>
    <t>Engineering Assistant</t>
  </si>
  <si>
    <t>Request KOSEN O-level</t>
  </si>
  <si>
    <t>Finished</t>
  </si>
  <si>
    <t>Feb 25, 2025</t>
  </si>
  <si>
    <t>Apr 9, 2025</t>
  </si>
  <si>
    <t>Mar</t>
  </si>
  <si>
    <t>Retirement</t>
  </si>
  <si>
    <t>Request KOSEN O-level : 
11019 Mr.Panet Komol</t>
  </si>
  <si>
    <t>Mar 18, 2025</t>
  </si>
  <si>
    <t>May 13, 2025</t>
  </si>
  <si>
    <t>Request KOSEN O-level : 
10969 Mr.Somchit Khampha</t>
  </si>
  <si>
    <t>Mar 19, 2025</t>
  </si>
  <si>
    <t>May 14, 2025</t>
  </si>
  <si>
    <t>May</t>
  </si>
  <si>
    <t>Accountant</t>
  </si>
  <si>
    <t>15432 Ms.Nujarin Inta</t>
  </si>
  <si>
    <t>May 15, 2025</t>
  </si>
  <si>
    <t>Jul 21, 2025</t>
  </si>
  <si>
    <t>Event Management Executive</t>
  </si>
  <si>
    <t>21038 นายชัชวาลย์ รอดวิหก</t>
  </si>
  <si>
    <t>Completed</t>
  </si>
  <si>
    <t>Nov 12, 2025</t>
  </si>
  <si>
    <t>Kantima Parithammang</t>
  </si>
  <si>
    <t>Jobtopgun</t>
  </si>
  <si>
    <t>https://drive.google.com/file/d/1aHsSyZJW4T8HVArlzAfdCDJcdV9LYzDr/view?usp=drive_link</t>
  </si>
  <si>
    <t>Nov</t>
  </si>
  <si>
    <t>Credit Analyst</t>
  </si>
  <si>
    <t>Rotation</t>
  </si>
  <si>
    <t>15166 Ms.Khwanjira Chuaytanee</t>
  </si>
  <si>
    <t>Jan 9, 2026</t>
  </si>
  <si>
    <t>21-45 Days</t>
  </si>
  <si>
    <t>https://drive.google.com/file/d/1isYra9fcCWkEs_QHUdADkRoglQNdCi3W/view?usp=drive_link</t>
  </si>
  <si>
    <t>Jul</t>
  </si>
  <si>
    <t>Senior Overseas Part Sales - Cambodia</t>
  </si>
  <si>
    <t xml:space="preserve">
12109 นายนพดล สร้อยพุก</t>
  </si>
  <si>
    <t>Jul 22, 2025</t>
  </si>
  <si>
    <t>Oct 1, 2025</t>
  </si>
  <si>
    <t>Sep 3, 2025</t>
  </si>
  <si>
    <t>Jan1,2026</t>
  </si>
  <si>
    <t>https://docs.google.com/document/d/1b7nT_OpDBmKRvrXw733g5EBBbarYBgvh/edit?usp=drive_link&amp;ouid=113372659808018680616&amp;rtpof=true&amp;sd=true</t>
  </si>
  <si>
    <t>Internal Only</t>
  </si>
  <si>
    <t>Purchasing Officer</t>
  </si>
  <si>
    <t>16535 นายภานุพงศ์ นวสุวิศว</t>
  </si>
  <si>
    <t>S-General</t>
  </si>
  <si>
    <t>Sep 10, 2025</t>
  </si>
  <si>
    <t>System Developer</t>
  </si>
  <si>
    <t>Sep 15, 2025</t>
  </si>
  <si>
    <t>Nov 19, 2025</t>
  </si>
  <si>
    <t>Thunnavat Chudum</t>
  </si>
  <si>
    <t>Jobsdb</t>
  </si>
  <si>
    <t>https://docs.google.com/document/d/1_3F0FfODK0sEYsUt35QWr17G1c9pnsBc/edit?usp=drive_link&amp;ouid=113372659808018680616&amp;rtpof=true&amp;sd=true</t>
  </si>
  <si>
    <t>Aug</t>
  </si>
  <si>
    <t>Replace:Other</t>
  </si>
  <si>
    <t>16677 นางสาวภัทราภรณ์ หงษ์ร่อน (Probation)</t>
  </si>
  <si>
    <t>Aug 15, 2025</t>
  </si>
  <si>
    <t>Sep 26, 2025</t>
  </si>
  <si>
    <t>Oct 14, 2025</t>
  </si>
  <si>
    <t>Peerawat Sritichai</t>
  </si>
  <si>
    <t>https://drive.google.com/file/d/1rHRkIwAFgJXS0ceZm5ffJUau3wtBRWYN/view?usp=drive_link</t>
  </si>
  <si>
    <t>Overseas Smart Contact Center and Privilege Executive</t>
  </si>
  <si>
    <t>16374 นางสาวปัญชนก ศุภทีปมงคล</t>
  </si>
  <si>
    <t>Aug 1, 2025</t>
  </si>
  <si>
    <t>Sep 19, 2025</t>
  </si>
  <si>
    <t xml:space="preserve">Internal Recruitment 
Ms.Suchawalan Kesvarawech (14205) 
</t>
  </si>
  <si>
    <t>https://docs.google.com/document/d/1F_Pj62cX04Gyn-rq7K1n_rcCit3gaMLD/edit?usp=drive_link&amp;ouid=113372659808018680616&amp;rtpof=true&amp;sd=true</t>
  </si>
  <si>
    <t>Product Development Engineer</t>
  </si>
  <si>
    <t>16186 Patcharaporn Hengbanpaew</t>
  </si>
  <si>
    <t>Jul 9, 2025</t>
  </si>
  <si>
    <t>Aug 29, 2025</t>
  </si>
  <si>
    <t>Nov 5, 2025</t>
  </si>
  <si>
    <t>Worrapoth Chenvigyakit</t>
  </si>
  <si>
    <t>https://drive.google.com/file/d/1N1fTDAB8bfifJR2kbSbvGnJsD2GyeoZG/view?usp=drive_link</t>
  </si>
  <si>
    <t>Oct</t>
  </si>
  <si>
    <t>Risk Management Officer</t>
  </si>
  <si>
    <t>Risk Management</t>
  </si>
  <si>
    <t>Ms.Sumavadee Pholset (15929)</t>
  </si>
  <si>
    <t>Oct 20, 2025</t>
  </si>
  <si>
    <t>Dec 2, 2025</t>
  </si>
  <si>
    <t>Pittayaporn</t>
  </si>
  <si>
    <t>https://drive.google.com/file/d/1q3AJLodIJDbY6e3kZz7CJDK-VzJ3IpGN/view?usp=drive_link</t>
  </si>
  <si>
    <t>พนักงานธุุรการ</t>
  </si>
  <si>
    <t>พนักงานธุรการ</t>
  </si>
  <si>
    <t>Ms.Amorn Savangvong (12064)</t>
  </si>
  <si>
    <t>Nov 26, 2025</t>
  </si>
  <si>
    <t>Pharichat Onhom</t>
  </si>
  <si>
    <t>https://drive.google.com/file/d/1beVYV-HG-0_WY3QyOPihLv9H1X8dzgWK/view?usp=drive_link</t>
  </si>
  <si>
    <t>ERP Developer</t>
  </si>
  <si>
    <t>Internal Recruitment 
Ms.Supinya Aiamkanchana (15730) &gt; QA</t>
  </si>
  <si>
    <t>Sep 25, 2025</t>
  </si>
  <si>
    <t>Dec 1, 2025</t>
  </si>
  <si>
    <t>Nov 28, 2025</t>
  </si>
  <si>
    <t>Internship Teerakarn Jankhuang</t>
  </si>
  <si>
    <t>https://superrecruit.jobtopgun.com/SERC?view=jobpostPreview&amp;idPosition=649</t>
  </si>
  <si>
    <t>CSP Engineer</t>
  </si>
  <si>
    <t>QA Engineer</t>
  </si>
  <si>
    <t>Mr.Nopphadon Wongoat (10752)</t>
  </si>
  <si>
    <t>Oct 27, 2025</t>
  </si>
  <si>
    <t>1-10 Days</t>
  </si>
  <si>
    <t>Internal Recruitment 
Ms.Supinya Aiamkanchana (15730)</t>
  </si>
  <si>
    <t>https://drive.google.com/file/d/14htK_tKuDRu_SqoIIT0jeD-tRWaKQOgl/view?usp=drive_link</t>
  </si>
  <si>
    <t>ผู้จัดการสหกรณ์</t>
  </si>
  <si>
    <t>Dec 24, 2025</t>
  </si>
  <si>
    <t>https://drive.google.com/file/d/1b1dP2-a_PNMkPQ3NKa2af5ihVY0iOesy/view?usp=drive_link</t>
  </si>
  <si>
    <t>Engineer</t>
  </si>
  <si>
    <t>Engineer(Part Supply Planning)</t>
  </si>
  <si>
    <t>Ms.Suchawalan Kesvarawech (14205)</t>
  </si>
  <si>
    <t>Dec 16, 2025</t>
  </si>
  <si>
    <t>Ponpimon</t>
  </si>
  <si>
    <t>https://drive.google.com/file/d/1dK1HkDKkkPDy-0mz8K7jzSwGhuXvdSjN/view?usp=drive_link</t>
  </si>
  <si>
    <t>Apr</t>
  </si>
  <si>
    <t>IT Infrastructure Engineer</t>
  </si>
  <si>
    <t>Mr. Uthen Promchadi</t>
  </si>
  <si>
    <t>Apr 23, 2024</t>
  </si>
  <si>
    <t>Jul 1, 2024</t>
  </si>
  <si>
    <t>Jun 6, 2025</t>
  </si>
  <si>
    <t>Ms. Orawan Sukpia</t>
  </si>
  <si>
    <t>Jul 1, 2025</t>
  </si>
  <si>
    <t>Jan</t>
  </si>
  <si>
    <t>Puchasing Engineer</t>
  </si>
  <si>
    <t>Mr.Mayoon Chittangsomboon</t>
  </si>
  <si>
    <t>Jan 14, 2025</t>
  </si>
  <si>
    <t>Feb 26, 2025</t>
  </si>
  <si>
    <t>Rotation : 13260 Kampanart Intawichai (PL)</t>
  </si>
  <si>
    <t>Feb16,2025</t>
  </si>
  <si>
    <t>Environmental Engineer</t>
  </si>
  <si>
    <t>Ms.Virata Fangsa-ard</t>
  </si>
  <si>
    <t>Feb 3, 2025</t>
  </si>
  <si>
    <t>Mar 20, 2025</t>
  </si>
  <si>
    <t>Setthapong</t>
  </si>
  <si>
    <t>Social Media</t>
  </si>
  <si>
    <t>Parts Marketing Management Executive</t>
  </si>
  <si>
    <t>Marketing Executive (Parts)</t>
  </si>
  <si>
    <t>Ms.Nannalin Chairatarnadej</t>
  </si>
  <si>
    <t>Aug1,2024</t>
  </si>
  <si>
    <t>Sep 19, 2024</t>
  </si>
  <si>
    <t>Oct10,2024</t>
  </si>
  <si>
    <t>รัฐศาสตร์ กิจเกียรติ</t>
  </si>
  <si>
    <t>Jan16,2025</t>
  </si>
  <si>
    <t>Sales Operation System Development Executive</t>
  </si>
  <si>
    <t>System Development</t>
  </si>
  <si>
    <t>Ms.Mutita Tipboonrach</t>
  </si>
  <si>
    <t>Aug26,2024</t>
  </si>
  <si>
    <t>Oct 7, 2024</t>
  </si>
  <si>
    <t>Dec23,2024</t>
  </si>
  <si>
    <t>ชาญนรงค์</t>
  </si>
  <si>
    <t>Agriculture Academic Executive</t>
  </si>
  <si>
    <t>Agriculture Academic Executive (นักวิชาการเกษตร)</t>
  </si>
  <si>
    <t>Mr.Songsak Ngiwlay</t>
  </si>
  <si>
    <t>Oct 30, 2024</t>
  </si>
  <si>
    <t>Jan27,2025</t>
  </si>
  <si>
    <t>ประสิทธิ์</t>
  </si>
  <si>
    <t>Mr.Pongporn Sirirattanaphonkun</t>
  </si>
  <si>
    <t>Mar26,2025</t>
  </si>
  <si>
    <t>Rotation : 15041 Ms.Anuttara Charoenchit</t>
  </si>
  <si>
    <t>Business Planning Executive</t>
  </si>
  <si>
    <t>Mr.Thanawich Sae-lim</t>
  </si>
  <si>
    <t>Sep16,2024</t>
  </si>
  <si>
    <t>Feb24,2025</t>
  </si>
  <si>
    <t xml:space="preserve">
Sireethon Makasirakul</t>
  </si>
  <si>
    <t>suggestion</t>
  </si>
  <si>
    <t>Jun16,2025</t>
  </si>
  <si>
    <t>https://drive.google.com/file/d/1LDqRqHn0Gn4VzI2hJJbDO9UVzuNyz0vI/view?usp=drive_link</t>
  </si>
  <si>
    <t>Service Mechanic</t>
  </si>
  <si>
    <t>ช่างบริการ</t>
  </si>
  <si>
    <t>Mr.Anurak Yamnadda</t>
  </si>
  <si>
    <t>Nov19,2024</t>
  </si>
  <si>
    <t>ชินวัฒน์ สิธิราม</t>
  </si>
  <si>
    <t>Jan1,2025</t>
  </si>
  <si>
    <t>Warehouse Engineer</t>
  </si>
  <si>
    <t>Mr.Puchis Jaipong</t>
  </si>
  <si>
    <t>Oct22,2024</t>
  </si>
  <si>
    <t>Dec 4, 2024</t>
  </si>
  <si>
    <t>Feb12,2025</t>
  </si>
  <si>
    <t>Ms.Leenaleeya Ruangjutiphophan , Mr.Wathanyu Ponsing</t>
  </si>
  <si>
    <t>Mar1,2025</t>
  </si>
  <si>
    <t>Engineer (Product Development)</t>
  </si>
  <si>
    <t>ณัฐพล เอียดแก้ว</t>
  </si>
  <si>
    <t>Mr.Natakorn Phaitong</t>
  </si>
  <si>
    <t>Oct1,2024</t>
  </si>
  <si>
    <t>Nov 14, 2024</t>
  </si>
  <si>
    <t>Nov26,2024</t>
  </si>
  <si>
    <t>พัชรนันท์ โตอ่อน</t>
  </si>
  <si>
    <t>Data Engineer</t>
  </si>
  <si>
    <t>Mr.Korn Thawonphon</t>
  </si>
  <si>
    <t>Jan 30, 2025</t>
  </si>
  <si>
    <t>May16,2025</t>
  </si>
  <si>
    <t>Phattarada Mikota</t>
  </si>
  <si>
    <t>Jul1,2025</t>
  </si>
  <si>
    <t>Climate Change Solutions Development Researcher</t>
  </si>
  <si>
    <t>Agri Researcher</t>
  </si>
  <si>
    <t>Mr.Sarawut Kunthong</t>
  </si>
  <si>
    <t>Feb19,2025</t>
  </si>
  <si>
    <t>Apr 2, 2025</t>
  </si>
  <si>
    <t>Feb28,2025</t>
  </si>
  <si>
    <t>Toeic Stage with K.Pattawee</t>
  </si>
  <si>
    <t>Jan 9, 2025</t>
  </si>
  <si>
    <t>Nov1,2024</t>
  </si>
  <si>
    <t>สุทธินัน กัญญพิลา</t>
  </si>
  <si>
    <t>Engineer (Service Publication)</t>
  </si>
  <si>
    <t>กนิษฐ์ชนุตร์ จันทร์แย้ม</t>
  </si>
  <si>
    <t>Feb25,2025</t>
  </si>
  <si>
    <t>Aug 13, 2025</t>
  </si>
  <si>
    <t>ปุณยวีร์ ธีรโชติเรืองวุฒิ</t>
  </si>
  <si>
    <t>Oct1,2025</t>
  </si>
  <si>
    <t>https://docs.google.com/document/d/1rUAM0C16yfV6ldkfXpne7d9JZ4_AOVyA/edit?usp=drive_link&amp;ouid=113372659808018680616&amp;rtpof=true&amp;sd=true</t>
  </si>
  <si>
    <t>Dec</t>
  </si>
  <si>
    <t>Dealers Sales Development Executive</t>
  </si>
  <si>
    <t>Dec24,2024</t>
  </si>
  <si>
    <t>Feb 11, 2025</t>
  </si>
  <si>
    <t>ณัฐวัฒน์ ศิริพานิชย์</t>
  </si>
  <si>
    <t>Carbon Neutrality Engineer, Environment Engineer</t>
  </si>
  <si>
    <t>11-20 Days</t>
  </si>
  <si>
    <t>Engineer (Domestics After-Sales Service)</t>
  </si>
  <si>
    <t>Ms.Thuyamon Nithimethakul</t>
  </si>
  <si>
    <t>Dec25,2024</t>
  </si>
  <si>
    <t>Feb 13, 2025</t>
  </si>
  <si>
    <t>Jun6,2025</t>
  </si>
  <si>
    <t>ขวัญนภา จิตระเบียบ</t>
  </si>
  <si>
    <t>Jul16,2025</t>
  </si>
  <si>
    <t>https://drive.google.com/file/d/1VoBzIPhIdGQvIMFNc-zeQEQ3kz8chHkS/view?usp=drive_link</t>
  </si>
  <si>
    <t>Engineer (Domestic Dealer Service Development)</t>
  </si>
  <si>
    <t>Mr.Sawan Boonhouse</t>
  </si>
  <si>
    <t>Dec26,2024</t>
  </si>
  <si>
    <t>Feb 14, 2025</t>
  </si>
  <si>
    <t>Internal Recruitment : 16156
Mr.Sirawitch Jantarasub</t>
  </si>
  <si>
    <t>https://drive.google.com/file/d/1BgFDH9il_ICORQG68F9jz-X2MGFsLHba/view?usp=drive_link</t>
  </si>
  <si>
    <t>financial analyst</t>
  </si>
  <si>
    <t>Financial Analyst</t>
  </si>
  <si>
    <t>Mr.Khanapot Klinsong</t>
  </si>
  <si>
    <t>Mar 4, 2025</t>
  </si>
  <si>
    <t xml:space="preserve">
Ms.Kunyaphon Kongthong</t>
  </si>
  <si>
    <t>https://docs.google.com/spreadsheets/d/1lTQyPO5rNcol68Nc6du8IuIQMcK1KvaO/edit?usp=drive_link&amp;ouid=113372659808018680616&amp;rtpof=true&amp;sd=true</t>
  </si>
  <si>
    <t>Inspection (Engineer)</t>
  </si>
  <si>
    <t>Sasikarnt P.</t>
  </si>
  <si>
    <t>Jan19,2025</t>
  </si>
  <si>
    <t>Mar 3, 2025</t>
  </si>
  <si>
    <t>Feb14,2025</t>
  </si>
  <si>
    <t>Todsawat</t>
  </si>
  <si>
    <t>May1,2025</t>
  </si>
  <si>
    <t>https://drive.google.com/file/d/1ZDtxATij04Yl4FQKN0RE4VVlvCahm2Xt/view?usp=sharing</t>
  </si>
  <si>
    <t>Wissarut S.</t>
  </si>
  <si>
    <t>Sawatsakorn Pathhepnamphaphon</t>
  </si>
  <si>
    <t>Production Development</t>
  </si>
  <si>
    <t>13882 Mr.Teetuch Leelapornpisid &gt; APE</t>
  </si>
  <si>
    <t>Jan20,2025</t>
  </si>
  <si>
    <t>Jan 20, 2025</t>
  </si>
  <si>
    <t>Internal Recruitment : 
16582 Chaiphop Ruksrithong (PU1)</t>
  </si>
  <si>
    <t>15872 Mr.Narupong Jarasbunpaisarn &gt; PTD 
eff 1/4/2025</t>
  </si>
  <si>
    <t>Feb5,2025</t>
  </si>
  <si>
    <t>Feb 27, 2025</t>
  </si>
  <si>
    <t>Mr. Panupong Muangmoon</t>
  </si>
  <si>
    <t>Apr1,2025</t>
  </si>
  <si>
    <t>12450 Ms.Juthaporn Kornklang</t>
  </si>
  <si>
    <t>Jan 23, 2025</t>
  </si>
  <si>
    <t>Feb 6, 2025</t>
  </si>
  <si>
    <t>Mr. Chaiyatorn Chotarunrungrot</t>
  </si>
  <si>
    <t>Purchasing Engineering Staff</t>
  </si>
  <si>
    <t>14778 Mr.Narin Promrat</t>
  </si>
  <si>
    <t>Jan23,2025</t>
  </si>
  <si>
    <t>Mr. Tanapol Sintachai</t>
  </si>
  <si>
    <t>Marketing Executive</t>
  </si>
  <si>
    <t>Mr.Thitipharuek</t>
  </si>
  <si>
    <t>15364 ธนสกล สัตย์ชาพงษ์</t>
  </si>
  <si>
    <t>Aug1,2025</t>
  </si>
  <si>
    <t>https://drive.google.com/file/d/1aCp71pseuzLYp8ELk27Jtsj_TX32IDnB/view</t>
  </si>
  <si>
    <t>Marketing researcher</t>
  </si>
  <si>
    <t>Marketing Researcher</t>
  </si>
  <si>
    <t>Ms.Onpreeya</t>
  </si>
  <si>
    <t>Feb 17, 2025</t>
  </si>
  <si>
    <t>Ms.Waritsara Kangkorn</t>
  </si>
  <si>
    <t>https://drive.google.com/file/d/1qAizKbcJIQ4JmSvWaAIQN3FhC-e1YwzS/view</t>
  </si>
  <si>
    <t>Ms.Rujra</t>
  </si>
  <si>
    <t>Feb 19, 2025</t>
  </si>
  <si>
    <t>Internal Recruitment : 
15505 Mr.Nutthaphol Kongngernngam</t>
  </si>
  <si>
    <t>Jun1,2025</t>
  </si>
  <si>
    <t>Media Production officer</t>
  </si>
  <si>
    <t>Media Production Officer (Producer)</t>
  </si>
  <si>
    <t>10737 นายวินัย เจริญนา</t>
  </si>
  <si>
    <t>Mar 24, 2025</t>
  </si>
  <si>
    <t>Jun 2, 2025</t>
  </si>
  <si>
    <t>Toeic with K.Pornsiri</t>
  </si>
  <si>
    <t>https://drive.google.com/file/d/1puX3Y6Zl5fjWQ5nIFFjGyLCdRCcTNz0f/view?usp=drive_link</t>
  </si>
  <si>
    <t>Admin Service Technician</t>
  </si>
  <si>
    <t>ช่างเทคนิคบริการ</t>
  </si>
  <si>
    <t>Feb20,2025</t>
  </si>
  <si>
    <t>Aekkachai Thongpuban</t>
  </si>
  <si>
    <t>https://drive.google.com/file/d/1-phkn6bkn88BqyJB-s1DcDzVJ4gWJEqJ/view?usp=drive_link</t>
  </si>
  <si>
    <t>Farm Experince Developer</t>
  </si>
  <si>
    <t>Internal Recruitment : SKN054
Mr.Jakkrit Manmao</t>
  </si>
  <si>
    <t>https://drive.google.com/file/d/1lDtadkqVX8FUEqWY3KWvY5HKStIK908m/view?usp=drive_link</t>
  </si>
  <si>
    <t>Administration staff</t>
  </si>
  <si>
    <t>Administrative Staff</t>
  </si>
  <si>
    <t>Internal Recruitmant : subcontract 16660
Ms.Papassarin Thananaetichaisak</t>
  </si>
  <si>
    <t>https://drive.google.com/file/d/1hhABLQG5JmPf0RdC5tBM1crxprg76nF3/view?usp=drive_link</t>
  </si>
  <si>
    <t>System Analyst</t>
  </si>
  <si>
    <t>Mr.Pichit Polpinit</t>
  </si>
  <si>
    <t>Internship Nichamon Katekaew</t>
  </si>
  <si>
    <t>1. Final Int. Result - Announce</t>
  </si>
  <si>
    <t>https://docs.google.com/document/d/1WKIAFvFjdZ4DMQthlYJhlJv_P9Yc6ItX/edit?usp=drive_link&amp;ouid=113372659808018680616&amp;rtpof=true&amp;sd=true</t>
  </si>
  <si>
    <t>Ms.Phuttamat</t>
  </si>
  <si>
    <t>Feb 18, 2025</t>
  </si>
  <si>
    <t>Internal Recruitment : 90036 
Ms.Sudarat Pratumchai</t>
  </si>
  <si>
    <t>https://drive.google.com/file/d/1yReEbsP7RPsjODSNFaBdFqnJmZ_IUItG/view?usp=drive_link</t>
  </si>
  <si>
    <t>Purchasing Engineer</t>
  </si>
  <si>
    <t>16582 Chaiphop Ruksrithong &gt; CH</t>
  </si>
  <si>
    <t>Ms. Naruemon Chawalitbumrung</t>
  </si>
  <si>
    <t>https://superrecruit.jobtopgun.com/SERC?view=jobpostPreview&amp;idPosition=801</t>
  </si>
  <si>
    <t>Sustainable Solutions Promotion Executive</t>
  </si>
  <si>
    <t>Napat Jindayu</t>
  </si>
  <si>
    <t>https://docs.google.com/document/d/1S5luK_t2_I0_ban1-74I6ZpS7vuH0WC3/edit</t>
  </si>
  <si>
    <t>Project Engineer</t>
  </si>
  <si>
    <t>16578 Mr.Pongsakorn Sriyanyong</t>
  </si>
  <si>
    <t>Mar 11, 2025</t>
  </si>
  <si>
    <t>Ms.Nuttida Juntree</t>
  </si>
  <si>
    <t>16551 Ms.Araya Amsuayek</t>
  </si>
  <si>
    <t>Apr 30, 2025</t>
  </si>
  <si>
    <t>Ms. Pangthib Buanpom</t>
  </si>
  <si>
    <t>Jun 1, 2025</t>
  </si>
  <si>
    <t>Factory Services Staff</t>
  </si>
  <si>
    <t>16170 Mr.Taiphop Autaoei</t>
  </si>
  <si>
    <t>Mar 27, 2025</t>
  </si>
  <si>
    <t>Mr. Sakda Iamraksa</t>
  </si>
  <si>
    <t>14532 Mr.Tanpong Wiwitumpon &gt; BD 
eff 1/4/2025</t>
  </si>
  <si>
    <t>Internal Recruit from EPID &gt; PME SKCN
16671 Mr.Todsawat Thavorn</t>
  </si>
  <si>
    <t>https://drive.google.com/file/d/1DfKvKiB3mQ0JAb3-EiCgQCXmnN1eGbOK/view?usp=sharing</t>
  </si>
  <si>
    <t>Technology Innovation Executive, Senior Technology Innovation Executive</t>
  </si>
  <si>
    <t>Product Development (Farm &amp; machinery management system)</t>
  </si>
  <si>
    <t>Mr.Krawit Koopitakkajorn</t>
  </si>
  <si>
    <t>May 29, 2025</t>
  </si>
  <si>
    <t>Mr.Ridhrin</t>
  </si>
  <si>
    <t>https://drive.google.com/file/d/1n8QBd6RsahHYNiCX6WhKw4PN64-ErrX1/view?usp=drive_link</t>
  </si>
  <si>
    <t>Engineer (Tractor product support)</t>
  </si>
  <si>
    <t>Mr.Passakrit Kerdprakob</t>
  </si>
  <si>
    <t>Apr 16, 2025</t>
  </si>
  <si>
    <t>Phokin Dechpong</t>
  </si>
  <si>
    <t>https://drive.google.com/file/d/1hlqpVM_UAUI8Da8-hp3QCfgP7Upcrquo/view?usp=drive_link</t>
  </si>
  <si>
    <t>Data Anlyst</t>
  </si>
  <si>
    <t>15707 Mr.Pooriwat Chotmanee</t>
  </si>
  <si>
    <t>Patharaporn Hongron</t>
  </si>
  <si>
    <t>https://docs.google.com/document/d/1NSXSJbiack5ISc45uAprPNXXJ-SqfNux/edit</t>
  </si>
  <si>
    <t>Digital Accounting Specialist</t>
  </si>
  <si>
    <t>16525 Ms.Sukanya Wutipappinyo</t>
  </si>
  <si>
    <t>Internal Recruitmant : subcontract 16660
16675 Mr.pongsatorn wongprasertkul</t>
  </si>
  <si>
    <t>https://drive.google.com/file/d/1TGHM9E9z5TjH-395KmCtFK8i92AZZfsd/view?usp=drive_link</t>
  </si>
  <si>
    <t>Overseas Service Engineer</t>
  </si>
  <si>
    <t xml:space="preserve">
16122 Ms.Amphawa Thamudomporn</t>
  </si>
  <si>
    <t>Apr 24, 2025</t>
  </si>
  <si>
    <t>Jun 11, 2025</t>
  </si>
  <si>
    <t>กฤษกร กุฎีศรี</t>
  </si>
  <si>
    <t>https://docs.google.com/spreadsheets/d/1chBaBm3AYxAEAsZgHrMx7f2o78JGORqe/edit?usp=drive_link&amp;ouid=113372659808018680616&amp;rtpof=true&amp;sd=true</t>
  </si>
  <si>
    <t>พนักงานวิเคราะห์ และควบคุมความเคลื่อนไหวของชิ้นส่วนอะไหล่ และสินค้าคงคลัง</t>
  </si>
  <si>
    <t>พนักงานคลังสินค้า</t>
  </si>
  <si>
    <t>11306 Mr.Kraimit Kodpromma</t>
  </si>
  <si>
    <t>Internal Recruitment : SKN032
Miss.Chutimaporn Buachumsuk</t>
  </si>
  <si>
    <t>https://drive.google.com/file/d/1NlEf6VSOh-Qu1rz8C0Z11t80_eFn6DWS/view?usp=drive_link</t>
  </si>
  <si>
    <t>Apr 10, 2025</t>
  </si>
  <si>
    <t>Nichaphat Ninrahat</t>
  </si>
  <si>
    <t>3. Medical Health Check Up</t>
  </si>
  <si>
    <t>14246 Mr.Phuwin Vasuvat &gt; LTR ( New Model ) eff 1/4/2025</t>
  </si>
  <si>
    <t>Mar 17, 2025</t>
  </si>
  <si>
    <t>Apr 22, 2025</t>
  </si>
  <si>
    <t>Mr.Pongpop Damthong</t>
  </si>
  <si>
    <t>12855 Mr.Teerapat Tanchai &gt; N-PPC
replace 10924 Ms.Hathaichanok Pattanavittayakul</t>
  </si>
  <si>
    <t>Mr.Phuwanet Malithong</t>
  </si>
  <si>
    <t>15849 Kornchanok Sawangwong</t>
  </si>
  <si>
    <t>Oct 30, 2025</t>
  </si>
  <si>
    <t>Ms.Kittiya Mahavorasirikul</t>
  </si>
  <si>
    <t>Nov16,2025</t>
  </si>
  <si>
    <t>https://docs.google.com/spreadsheets/d/1aHLhAlWuDGG2WI3jpvjj65Jl7Y_THUXm/edit?gid=1550615610#gid=1550615610</t>
  </si>
  <si>
    <t>ช่างเทคนิคบริการ(กระบี่)</t>
  </si>
  <si>
    <t>15525 Tanawit Mingkhamloed</t>
  </si>
  <si>
    <t>มุกต์นริน อนันตทวีกุล</t>
  </si>
  <si>
    <t>Jul 16, 2025</t>
  </si>
  <si>
    <t>https://drive.google.com/file/d/11ibyxAEeHgwosfmgXXVmP2FFTW_ap_z9/view?usp=drive_link</t>
  </si>
  <si>
    <t>Parts Supply Chain Solution</t>
  </si>
  <si>
    <t>15555 : นัฐพล กองเงินงาม</t>
  </si>
  <si>
    <t>May 19, 2025</t>
  </si>
  <si>
    <t>May 1, 2025</t>
  </si>
  <si>
    <t>Kittapad Meesonk</t>
  </si>
  <si>
    <t>https://drive.google.com/file/d/1uCQUCsYSbjQgXgAgS0K7rp8kWJ5_9bSW/view?usp=drive_link</t>
  </si>
  <si>
    <t>Safety Officer</t>
  </si>
  <si>
    <t>13856 Mr.Phichet Meesommut eff 1/1/2026</t>
  </si>
  <si>
    <t>May 21, 2025</t>
  </si>
  <si>
    <t>Gewarin</t>
  </si>
  <si>
    <t>16173 Mr.Pongsakon Yanakho eff 1/4/2025</t>
  </si>
  <si>
    <t>Internal Recruitment 
16179 Mr.Chareef Jeaputea (APQP)</t>
  </si>
  <si>
    <t>Advance Product Quality Planning Engineer</t>
  </si>
  <si>
    <t>16179 Mr.Chareef Jeaputea &gt; CH</t>
  </si>
  <si>
    <t>Jul 2, 2025</t>
  </si>
  <si>
    <t>Mr.Siwat Liampipat</t>
  </si>
  <si>
    <t>Sales Executive</t>
  </si>
  <si>
    <t>Sales Executive (Domestic Parts Sales &amp; Marketing Parts)</t>
  </si>
  <si>
    <t>15099 นายบวรเกียรติ นงค์นวล</t>
  </si>
  <si>
    <t>Sep 5, 2025</t>
  </si>
  <si>
    <t>Siwat Promput</t>
  </si>
  <si>
    <t>https://drive.google.com/file/d/1l9Gqd1SeZEsgEi0MltI3355B2Z0cq6Ff/view?usp=sharing</t>
  </si>
  <si>
    <t>Part Logistics Staff</t>
  </si>
  <si>
    <t>พนักงานโลจิสติกส์อะไหล่</t>
  </si>
  <si>
    <t>15429 นางสาวขนิษฐา นาสมวงค์</t>
  </si>
  <si>
    <t>Jun 13, 2025</t>
  </si>
  <si>
    <t>MAN014 วุฒิชัย นาโส</t>
  </si>
  <si>
    <t>https://drive.google.com/file/d/1CrvSiPrTONug5P6cpZ3nXjW74BO-ghcI/view?usp=drive_link</t>
  </si>
  <si>
    <t>16156 นายสิรวิชญ์ จันทรทรัพย์ (Internal Recruit)</t>
  </si>
  <si>
    <t>Jul 18, 2025</t>
  </si>
  <si>
    <t>Thanapat Butsai</t>
  </si>
  <si>
    <t>https://drive.google.com/file/d/1aozV65jytHHxTbUEhz7zv_pqjmuTe5pn/view?usp=sharing</t>
  </si>
  <si>
    <t>พนักงานประสานงานบริการ</t>
  </si>
  <si>
    <t>พนักงานประสานงานบริการ(สุราษฎร์ธานี)</t>
  </si>
  <si>
    <t xml:space="preserve">
12217 นางสาวพัชรากร จันทเวช</t>
  </si>
  <si>
    <t>Jul 4, 2025</t>
  </si>
  <si>
    <t>MAN078 พิทยารัตน์ ใจน้อย</t>
  </si>
  <si>
    <t>https://docs.google.com/document/d/1bOS3IhGhwcdruiVXLdxSANPhrghIkO9O/edit</t>
  </si>
  <si>
    <t>16007 Ms.Suttida Boonyamarn</t>
  </si>
  <si>
    <t>May 20, 2025</t>
  </si>
  <si>
    <t>Mr. Sorawit Jaenraluek</t>
  </si>
  <si>
    <t>Jun</t>
  </si>
  <si>
    <t>แทน พนักงานรับทุนและโอนย้ายมาสังกัด HR Mr.Supanat</t>
  </si>
  <si>
    <t>Jun 9, 2025</t>
  </si>
  <si>
    <t>Rachata Watcharopas</t>
  </si>
  <si>
    <t>Service Creativity Executive</t>
  </si>
  <si>
    <t>16254 นางสาวขวัญกมล จันทร</t>
  </si>
  <si>
    <t>Jun 27, 2025</t>
  </si>
  <si>
    <t>16023 กุลธิดา เสมอภาค</t>
  </si>
  <si>
    <t>Aug16,2025</t>
  </si>
  <si>
    <t>https://drive.google.com/file/d/1OBMtN3qXJpRd52UgT26UQteo2P-LE1ox/view?usp=drive_link</t>
  </si>
  <si>
    <t>Engineer (Part Supply &amp; Planning )</t>
  </si>
  <si>
    <t>16587 นายพีรวิชช์ ศิริอุดมรัตน์</t>
  </si>
  <si>
    <t>Aug 8, 2025</t>
  </si>
  <si>
    <t>Yonlada Pratum</t>
  </si>
  <si>
    <t>Oct16,2025</t>
  </si>
  <si>
    <t>Digital Communication (Martech Skill)</t>
  </si>
  <si>
    <t>อนุตตรา เจริญจิตร &gt; KIN</t>
  </si>
  <si>
    <t>Oct 22, 2025</t>
  </si>
  <si>
    <t>Anunya Karnjanakan</t>
  </si>
  <si>
    <t>https://docs.google.com/document/d/1RtLdxAdqu32_p7h_LIHGOk9zV0IAlru-/edit?usp=drive_link&amp;ouid=113372659808018680616&amp;rtpof=true&amp;sd=true</t>
  </si>
  <si>
    <t>Rotation &gt;Supannee</t>
  </si>
  <si>
    <t>Weerawong</t>
  </si>
  <si>
    <t>Nov1,2025</t>
  </si>
  <si>
    <t>https://drive.google.com/file/d/1tJMJmi3PRatjaWSP2hYxDM0SQQf9d4Ef/view?usp=drive_link</t>
  </si>
  <si>
    <t>Software Developer</t>
  </si>
  <si>
    <t>16382 Ms.Namthip Saikampha</t>
  </si>
  <si>
    <t>Jun 17, 2025</t>
  </si>
  <si>
    <t>Aug 28, 2025</t>
  </si>
  <si>
    <t>Jun 26, 2025</t>
  </si>
  <si>
    <t>Kawin K.</t>
  </si>
  <si>
    <t>Maintenance Engineer</t>
  </si>
  <si>
    <t>16579 Mr.Kritsakorn Kudeesri &gt; Overseas Service eff 1/7/2025</t>
  </si>
  <si>
    <t>Pichet Palrat</t>
  </si>
  <si>
    <t>Aug 16, 2025</t>
  </si>
  <si>
    <t>15441 Piyaphat Namatra</t>
  </si>
  <si>
    <t>Aug 20, 2025</t>
  </si>
  <si>
    <t>Mr.Peerapat Pakdeepong</t>
  </si>
  <si>
    <t>Inventory Strategy &amp; Data Analyst</t>
  </si>
  <si>
    <t>กุลธิดา เสมอภาค (Internal Recruit)</t>
  </si>
  <si>
    <t>Sep 9, 2025</t>
  </si>
  <si>
    <t>Aug 22, 2025</t>
  </si>
  <si>
    <t>Paphitchaya Arammuang</t>
  </si>
  <si>
    <t>https://drive.google.com/file/d/1_2Oks0YcbDwHO-OhZbPfQI4PeKB9IicX/view?usp=sharing</t>
  </si>
  <si>
    <t>15364 นางสาวธนสกล สัตย์ชาพงษ์ (Internal Recruit)</t>
  </si>
  <si>
    <t>Aug 6, 2025</t>
  </si>
  <si>
    <t>Oct 16, 2025</t>
  </si>
  <si>
    <t>Sep 18, 2025</t>
  </si>
  <si>
    <t>Chidapa</t>
  </si>
  <si>
    <t>16616 นางสาวผกามาส มีแจ้ง</t>
  </si>
  <si>
    <t>Jul 19, 2025</t>
  </si>
  <si>
    <t>Wimonnat Sukchuay</t>
  </si>
  <si>
    <t>Sep1,2025</t>
  </si>
  <si>
    <t>https://drive.google.com/file/d/1OrsskgKrYrn5Wzq3BWjUO2LFuGxvguhp/view?usp=drive_link</t>
  </si>
  <si>
    <t>16657 นายณัฐพล เอียดแก้ว</t>
  </si>
  <si>
    <t>Sippavish Thongnoy</t>
  </si>
  <si>
    <t>Sep16,2025</t>
  </si>
  <si>
    <t>16465 นายภควัต สุดตาสอน</t>
  </si>
  <si>
    <t>Sep 2, 2025</t>
  </si>
  <si>
    <t>Ms. Issariya Pongsapaktrakul</t>
  </si>
  <si>
    <t>Carbon Neutrality Business Executive</t>
  </si>
  <si>
    <t>16559 นายธนวิชญ์ แซ่ลิ่ม</t>
  </si>
  <si>
    <t>Sep 1, 2025</t>
  </si>
  <si>
    <t>Nawachai Klabbankoh</t>
  </si>
  <si>
    <t>https://drive.google.com/file/d/1AaJOHPyBBUbpDA3h43_H8r1L7-dBERfY/view?usp=drive_link</t>
  </si>
  <si>
    <t>Inspection Engineer</t>
  </si>
  <si>
    <t>Dec 9, 2025</t>
  </si>
  <si>
    <t>Nov 20, 2025</t>
  </si>
  <si>
    <t>Mr. Phurin Kaewdee (แต่ไม่ได้มาเริ่มงาน เนื่องจากมีการให้ยกเลิกการรับคน)</t>
  </si>
  <si>
    <t>Year</t>
  </si>
  <si>
    <t xml:space="preserve">KPI </t>
  </si>
  <si>
    <t>Inter/External</t>
  </si>
  <si>
    <t>External</t>
  </si>
  <si>
    <t xml:space="preserve">Both </t>
  </si>
  <si>
    <t>Recruiter</t>
  </si>
  <si>
    <t xml:space="preserve">May </t>
  </si>
  <si>
    <t xml:space="preserve">Fang </t>
  </si>
  <si>
    <t xml:space="preserve">Chat </t>
  </si>
  <si>
    <t>Reporting &amp; Taxation</t>
  </si>
  <si>
    <t>Jan 12, 2026</t>
  </si>
  <si>
    <t>Navanakorn Process Development</t>
  </si>
  <si>
    <t>Sourcing</t>
  </si>
  <si>
    <t>Row Labels</t>
  </si>
  <si>
    <t>(blank)</t>
  </si>
  <si>
    <t>Grand Total</t>
  </si>
  <si>
    <t>Count of Position_Request</t>
  </si>
  <si>
    <t>Special</t>
  </si>
  <si>
    <t>In KPI</t>
  </si>
  <si>
    <t>Over KPI</t>
  </si>
  <si>
    <t>Total</t>
  </si>
  <si>
    <t>Wait to join</t>
  </si>
  <si>
    <t>Remaining</t>
  </si>
  <si>
    <t>(Multiple Items)</t>
  </si>
  <si>
    <t>General</t>
  </si>
  <si>
    <t xml:space="preserve">Parts </t>
  </si>
  <si>
    <t xml:space="preserve">Customer Service </t>
  </si>
  <si>
    <t xml:space="preserve">Sustainability Development </t>
  </si>
  <si>
    <t xml:space="preserve">Distribution Network Development </t>
  </si>
  <si>
    <t xml:space="preserve">Planning &amp; Control </t>
  </si>
  <si>
    <t xml:space="preserve">Digital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</si>
</sst>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Tahoma"/>
      <family val="2"/>
      <charset val="222"/>
      <scheme val="minor"/>
    </font>
    <font>
      <sz val="12"/>
      <color theme="1"/>
      <name val="Kittithada Bold 75"/>
      <family val="3"/>
    </font>
    <font>
      <b/>
      <sz val="12"/>
      <color theme="1"/>
      <name val="Kittithada Bold 75"/>
      <family val="3"/>
    </font>
    <font>
      <sz val="12"/>
      <color rgb="FF212529"/>
      <name val="Kittithada Bold 75"/>
      <family val="3"/>
    </font>
    <font>
      <u/>
      <sz val="11"/>
      <color theme="10"/>
      <name val="Tahoma"/>
      <family val="2"/>
      <charset val="222"/>
      <scheme val="minor"/>
    </font>
    <font>
      <sz val="11"/>
      <color theme="1"/>
      <name val="Kittithada Medium 65 Rd Pro"/>
      <family val="3"/>
    </font>
    <font>
      <u/>
      <sz val="11"/>
      <color theme="10"/>
      <name val="Kittithada Medium 65 Rd Pro"/>
      <family val="3"/>
    </font>
    <font>
      <sz val="11"/>
      <color rgb="FF0A53A8"/>
      <name val="Kittithada Medium 65 Rd Pro"/>
      <family val="3"/>
    </font>
    <font>
      <sz val="11"/>
      <color rgb="FFB10202"/>
      <name val="Kittithada Medium 65 Rd Pro"/>
      <family val="3"/>
    </font>
    <font>
      <sz val="11"/>
      <color rgb="FF753800"/>
      <name val="Kittithada Medium 65 Rd Pro"/>
      <family val="3"/>
    </font>
    <font>
      <sz val="11"/>
      <color rgb="FFD4EDBC"/>
      <name val="Kittithada Medium 65 Rd Pro"/>
      <family val="3"/>
    </font>
    <font>
      <sz val="11"/>
      <color rgb="FF473821"/>
      <name val="Kittithada Medium 65 Rd Pro"/>
      <family val="3"/>
    </font>
    <font>
      <sz val="11"/>
      <color rgb="FF11734B"/>
      <name val="Kittithada Medium 65 Rd Pro"/>
      <family val="3"/>
    </font>
    <font>
      <sz val="11"/>
      <color rgb="FF5A3286"/>
      <name val="Kittithada Medium 65 Rd Pro"/>
      <family val="3"/>
    </font>
    <font>
      <sz val="11"/>
      <color rgb="FFFF0000"/>
      <name val="Kittithada Medium 65 Rd Pro"/>
      <family val="3"/>
    </font>
    <font>
      <sz val="11"/>
      <color rgb="FF215A6C"/>
      <name val="Kittithada Medium 65 Rd Pro"/>
      <family val="3"/>
    </font>
    <font>
      <sz val="11"/>
      <color rgb="FFFFCFC9"/>
      <name val="Kittithada Medium 65 Rd Pro"/>
      <family val="3"/>
    </font>
    <font>
      <sz val="11"/>
      <color rgb="FF3D3D3D"/>
      <name val="Kittithada Medium 65 Rd Pro"/>
      <family val="3"/>
    </font>
    <font>
      <sz val="11"/>
      <color theme="1"/>
      <name val="Century Gothic"/>
      <family val="2"/>
    </font>
    <font>
      <sz val="11"/>
      <color rgb="FF215A6C"/>
      <name val="Century Gothic"/>
      <family val="2"/>
    </font>
    <font>
      <sz val="11"/>
      <color rgb="FFB10202"/>
      <name val="Century Gothic"/>
      <family val="2"/>
    </font>
    <font>
      <sz val="11"/>
      <color rgb="FF473821"/>
      <name val="Century Gothic"/>
      <family val="2"/>
    </font>
    <font>
      <sz val="11"/>
      <color rgb="FFD4EDBC"/>
      <name val="Century Gothic"/>
      <family val="2"/>
    </font>
    <font>
      <sz val="11"/>
      <color rgb="FF753800"/>
      <name val="Century Gothic"/>
      <family val="2"/>
    </font>
    <font>
      <sz val="11"/>
      <color rgb="FF5A3286"/>
      <name val="Century Gothic"/>
      <family val="2"/>
    </font>
    <font>
      <sz val="11"/>
      <color rgb="FF0A53A8"/>
      <name val="Century Gothic"/>
      <family val="2"/>
    </font>
    <font>
      <u/>
      <sz val="11"/>
      <color theme="10"/>
      <name val="Century Gothic"/>
      <family val="2"/>
    </font>
    <font>
      <sz val="11"/>
      <color rgb="FF0000FF"/>
      <name val="Century Gothic"/>
      <family val="2"/>
    </font>
    <font>
      <sz val="11"/>
      <color rgb="FFFF0000"/>
      <name val="Century Gothic"/>
      <family val="2"/>
    </font>
    <font>
      <sz val="11"/>
      <color rgb="FFFF9900"/>
      <name val="Century Gothic"/>
      <family val="2"/>
    </font>
    <font>
      <sz val="11"/>
      <color rgb="FF11734B"/>
      <name val="Century Gothic"/>
      <family val="2"/>
    </font>
    <font>
      <sz val="11"/>
      <color rgb="FFBFE0F6"/>
      <name val="Century Gothic"/>
      <family val="2"/>
    </font>
    <font>
      <sz val="11"/>
      <color rgb="FF3D3D3D"/>
      <name val="Century Gothic"/>
      <family val="2"/>
    </font>
    <font>
      <sz val="11"/>
      <color rgb="FFFFCFC9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CFF2"/>
        <bgColor indexed="64"/>
      </patternFill>
    </fill>
    <fill>
      <patternFill patternType="solid">
        <fgColor rgb="FFFFCFC9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FFC8AA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3" borderId="0" xfId="0" applyFont="1" applyFill="1"/>
    <xf numFmtId="0" fontId="5" fillId="0" borderId="0" xfId="0" applyFont="1"/>
    <xf numFmtId="0" fontId="6" fillId="0" borderId="1" xfId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10" fillId="1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15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9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8" fillId="18" borderId="0" xfId="0" applyFont="1" applyFill="1"/>
    <xf numFmtId="0" fontId="18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vertical="center" wrapText="1"/>
    </xf>
    <xf numFmtId="0" fontId="18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20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vertical="center" wrapText="1"/>
    </xf>
    <xf numFmtId="0" fontId="18" fillId="13" borderId="1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vertical="center" wrapText="1"/>
    </xf>
    <xf numFmtId="0" fontId="25" fillId="12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6" fillId="0" borderId="1" xfId="1" applyFont="1" applyBorder="1" applyAlignment="1">
      <alignment vertical="center" wrapText="1"/>
    </xf>
    <xf numFmtId="0" fontId="23" fillId="11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righ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0" fillId="17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6" fillId="4" borderId="1" xfId="1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18" fillId="15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8" fillId="20" borderId="0" xfId="0" applyFont="1" applyFill="1"/>
    <xf numFmtId="0" fontId="22" fillId="2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21" borderId="0" xfId="0" applyFont="1" applyFill="1"/>
    <xf numFmtId="0" fontId="18" fillId="21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vertical="center" wrapText="1"/>
    </xf>
    <xf numFmtId="0" fontId="18" fillId="21" borderId="1" xfId="0" applyFont="1" applyFill="1" applyBorder="1" applyAlignment="1">
      <alignment vertical="center" wrapText="1"/>
    </xf>
    <xf numFmtId="0" fontId="20" fillId="21" borderId="1" xfId="0" applyFont="1" applyFill="1" applyBorder="1" applyAlignment="1">
      <alignment vertical="center" wrapText="1"/>
    </xf>
    <xf numFmtId="0" fontId="21" fillId="21" borderId="1" xfId="0" applyFont="1" applyFill="1" applyBorder="1" applyAlignment="1">
      <alignment vertical="center" wrapText="1"/>
    </xf>
    <xf numFmtId="0" fontId="22" fillId="21" borderId="1" xfId="0" applyFont="1" applyFill="1" applyBorder="1" applyAlignment="1">
      <alignment vertical="center" wrapText="1"/>
    </xf>
    <xf numFmtId="0" fontId="18" fillId="21" borderId="1" xfId="0" applyFont="1" applyFill="1" applyBorder="1" applyAlignment="1">
      <alignment horizontal="right" vertical="center" wrapText="1"/>
    </xf>
    <xf numFmtId="0" fontId="25" fillId="21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In KPI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Graph!$A$3:$A$4</c:f>
              <c:strCache>
                <c:ptCount val="2"/>
                <c:pt idx="0">
                  <c:v>Completed</c:v>
                </c:pt>
                <c:pt idx="1">
                  <c:v>Wait to join</c:v>
                </c:pt>
              </c:strCache>
            </c:strRef>
          </c:cat>
          <c:val>
            <c:numRef>
              <c:f>Graph!$B$3:$B$4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1-459C-8B17-C03F3AFC921C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Over KPI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Graph!$A$3:$A$4</c:f>
              <c:strCache>
                <c:ptCount val="2"/>
                <c:pt idx="0">
                  <c:v>Completed</c:v>
                </c:pt>
                <c:pt idx="1">
                  <c:v>Wait to join</c:v>
                </c:pt>
              </c:strCache>
            </c:strRef>
          </c:cat>
          <c:val>
            <c:numRef>
              <c:f>Graph!$C$3:$C$4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1-459C-8B17-C03F3AFC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655088"/>
        <c:axId val="969655448"/>
      </c:barChart>
      <c:catAx>
        <c:axId val="9696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th-TH"/>
          </a:p>
        </c:txPr>
        <c:crossAx val="969655448"/>
        <c:crosses val="autoZero"/>
        <c:auto val="1"/>
        <c:lblAlgn val="ctr"/>
        <c:lblOffset val="100"/>
        <c:noMultiLvlLbl val="0"/>
      </c:catAx>
      <c:valAx>
        <c:axId val="969655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965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Graph!$B$8</c:f>
              <c:strCache>
                <c:ptCount val="1"/>
                <c:pt idx="0">
                  <c:v>In KPI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Graph!$A$9:$A$11</c:f>
              <c:strCache>
                <c:ptCount val="3"/>
                <c:pt idx="0">
                  <c:v>Completed</c:v>
                </c:pt>
                <c:pt idx="1">
                  <c:v>Wait to join</c:v>
                </c:pt>
                <c:pt idx="2">
                  <c:v>Remaining</c:v>
                </c:pt>
              </c:strCache>
            </c:strRef>
          </c:cat>
          <c:val>
            <c:numRef>
              <c:f>Graph!$B$9:$B$11</c:f>
              <c:numCache>
                <c:formatCode>General</c:formatCode>
                <c:ptCount val="3"/>
                <c:pt idx="0">
                  <c:v>21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1-46F7-9978-265C7EE7B805}"/>
            </c:ext>
          </c:extLst>
        </c:ser>
        <c:ser>
          <c:idx val="1"/>
          <c:order val="1"/>
          <c:tx>
            <c:strRef>
              <c:f>Graph!$C$8</c:f>
              <c:strCache>
                <c:ptCount val="1"/>
                <c:pt idx="0">
                  <c:v>Over KPI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Graph!$A$9:$A$11</c:f>
              <c:strCache>
                <c:ptCount val="3"/>
                <c:pt idx="0">
                  <c:v>Completed</c:v>
                </c:pt>
                <c:pt idx="1">
                  <c:v>Wait to join</c:v>
                </c:pt>
                <c:pt idx="2">
                  <c:v>Remaining</c:v>
                </c:pt>
              </c:strCache>
            </c:strRef>
          </c:cat>
          <c:val>
            <c:numRef>
              <c:f>Graph!$C$9:$C$11</c:f>
              <c:numCache>
                <c:formatCode>General</c:formatCode>
                <c:ptCount val="3"/>
                <c:pt idx="0">
                  <c:v>17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1-46F7-9978-265C7EE7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053168"/>
        <c:axId val="673052088"/>
      </c:barChart>
      <c:catAx>
        <c:axId val="6730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3052088"/>
        <c:crosses val="autoZero"/>
        <c:auto val="1"/>
        <c:lblAlgn val="ctr"/>
        <c:lblOffset val="100"/>
        <c:noMultiLvlLbl val="0"/>
      </c:catAx>
      <c:valAx>
        <c:axId val="673052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305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_xlchart.v2.11</cx:f>
      </cx:strDim>
      <cx:numDim type="val">
        <cx:f>_xlchart.v2.12</cx:f>
      </cx:numDim>
    </cx:data>
  </cx:chartData>
  <cx:chart>
    <cx:title pos="t" align="ctr" overlay="0"/>
    <cx:plotArea>
      <cx:plotAreaRegion>
        <cx:series layoutId="funnel" uniqueId="{80DC1469-31A1-473E-8298-28F70A52522E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/>
    <cx:plotArea>
      <cx:plotAreaRegion>
        <cx:series layoutId="funnel" uniqueId="{19E51294-26FD-4C19-B326-9B1B597A942C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plotArea>
      <cx:plotAreaRegion>
        <cx:series layoutId="treemap" uniqueId="{56778BE2-4A7B-4C92-9C3B-972EBE83CE6B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598170</xdr:colOff>
      <xdr:row>0</xdr:row>
      <xdr:rowOff>76200</xdr:rowOff>
    </xdr:from>
    <xdr:to>
      <xdr:col>15</xdr:col>
      <xdr:colOff>251460</xdr:colOff>
      <xdr:row>17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587491-5F8D-E36D-BC84-8EBEC254B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567690</xdr:colOff>
      <xdr:row>0</xdr:row>
      <xdr:rowOff>137160</xdr:rowOff>
    </xdr:from>
    <xdr:to>
      <xdr:col>22</xdr:col>
      <xdr:colOff>445770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B4C8AD-A9E5-3F35-76C3-86E0F435B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316230</xdr:colOff>
      <xdr:row>22</xdr:row>
      <xdr:rowOff>144780</xdr:rowOff>
    </xdr:from>
    <xdr:to>
      <xdr:col>12</xdr:col>
      <xdr:colOff>194310</xdr:colOff>
      <xdr:row>38</xdr:row>
      <xdr:rowOff>83820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25CBBC0-2DCA-3D74-EACB-71D5B27E6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23070" y="400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49530</xdr:colOff>
      <xdr:row>25</xdr:row>
      <xdr:rowOff>76200</xdr:rowOff>
    </xdr:from>
    <xdr:to>
      <xdr:col>5</xdr:col>
      <xdr:colOff>354330</xdr:colOff>
      <xdr:row>41</xdr:row>
      <xdr:rowOff>15240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E58D6C8-F84A-0DFC-0F84-76450968D3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9170" y="4457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49530</xdr:colOff>
      <xdr:row>46</xdr:row>
      <xdr:rowOff>129540</xdr:rowOff>
    </xdr:from>
    <xdr:to>
      <xdr:col>5</xdr:col>
      <xdr:colOff>354330</xdr:colOff>
      <xdr:row>65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76B8400-2C6D-9B76-2DAA-A1BBC0A806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9170" y="8191500"/>
              <a:ext cx="4572000" cy="3215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at Jitwongwai" refreshedDate="46037.722138194447" createdVersion="8" refreshedVersion="8" minRefreshableVersion="3" recordCount="102" xr:uid="{90F6004D-511C-47C7-A26E-660F64A57167}">
  <cacheSource type="worksheet">
    <worksheetSource ref="A1:AA1048576" sheet="2025"/>
  </cacheSource>
  <cacheFields count="27">
    <cacheField name="Recruiter" numFmtId="0">
      <sharedItems containsBlank="1"/>
    </cacheField>
    <cacheField name="Year" numFmtId="0">
      <sharedItems containsString="0" containsBlank="1" containsNumber="1" containsInteger="1" minValue="2024" maxValue="2025"/>
    </cacheField>
    <cacheField name="Month_Approved" numFmtId="0">
      <sharedItems containsBlank="1"/>
    </cacheField>
    <cacheField name="Location" numFmtId="0">
      <sharedItems containsBlank="1" count="4">
        <s v="SKC A"/>
        <s v="SKC N"/>
        <s v="KIN"/>
        <m/>
      </sharedItems>
    </cacheField>
    <cacheField name="Position_Request" numFmtId="0">
      <sharedItems containsBlank="1" count="55">
        <s v="Engineer"/>
        <s v="Parts Marketing Management Executive"/>
        <s v="Sales Operation System Development Executive"/>
        <s v="Agriculture Academic Executive"/>
        <s v="Marketing"/>
        <s v="Business Planning Executive"/>
        <s v="Service Mechanic"/>
        <s v="Mechanic"/>
        <s v="Data Engineer"/>
        <s v="Climate Change Solutions Development Researcher"/>
        <s v="Dealers Sales Development Executive"/>
        <s v="financial analyst"/>
        <s v="Purchasing Engineering Staff"/>
        <s v="Marketing Executive"/>
        <s v="Marketing researcher"/>
        <s v="Data Analyst"/>
        <s v="Media Production officer"/>
        <s v="Admin Service Technician"/>
        <s v="Farm Experince Developer"/>
        <s v="Administration staff"/>
        <s v="System Analyst"/>
        <s v="Operator"/>
        <s v="Sustainable Solutions Promotion Executive"/>
        <s v="Accountant"/>
        <s v="Factory Services Staff"/>
        <s v="Technology Innovation Executive, Senior Technology Innovation Executive"/>
        <s v="วิศวกรไฟฟ้า"/>
        <s v="Digital Accounting Specialist"/>
        <s v="พนักงานธุรการขาย"/>
        <s v="พนักงานวิเคราะห์ และควบคุมความเคลื่อนไหวของชิ้นส่วนอะไหล่ และสินค้าคงคลัง"/>
        <s v="Engineering Assistant"/>
        <s v="ช่างเทคนิคบริการ"/>
        <s v="Parts Supply Chain Solution"/>
        <s v="Safety Officer"/>
        <s v="Sales Executive"/>
        <s v="Part Logistics Staff"/>
        <s v="พนักงานประสานงานบริการ"/>
        <s v="Event Management Executive"/>
        <s v="Service Creativity Executive"/>
        <s v="Digital Communication"/>
        <s v="Credit Analyst"/>
        <s v="Software Developer"/>
        <s v="System Developer"/>
        <s v="Inventory Strategy &amp; Data Analyst"/>
        <s v="Overseas Smart Contact Center and Privilege Executive"/>
        <s v="Product Development Engineer"/>
        <s v="Senior Overseas Part Sales - Cambodia"/>
        <s v="Purchasing Officer"/>
        <s v="Carbon Neutrality Business Executive"/>
        <s v="Risk Management Officer"/>
        <s v="พนักงานธุุรการ"/>
        <s v="ERP Developer"/>
        <s v="CSP Engineer"/>
        <s v="ผู้จัดการสหกรณ์"/>
        <m/>
      </sharedItems>
    </cacheField>
    <cacheField name="Position_Announce" numFmtId="0">
      <sharedItems containsBlank="1"/>
    </cacheField>
    <cacheField name="Division" numFmtId="0">
      <sharedItems containsBlank="1" count="23">
        <s v="Digital Technology Division"/>
        <s v="Purchasing Division"/>
        <s v="Safety, Occupational Health and Environment Division"/>
        <s v="Parts Division"/>
        <s v="Distribution Network Development Division"/>
        <s v="KIN"/>
        <s v="Corporate Strategy Division"/>
        <s v="Customer Service Division"/>
        <s v="Navanakorn Manufacturing Division"/>
        <s v="Strategic Marketing Division"/>
        <s v="Sustainability Development Division"/>
        <s v="Planning &amp; Control Division"/>
        <s v="Inspection Division"/>
        <s v="Harvester &amp; Rotary Manufacturing Division"/>
        <s v="Tractor Manufacturing Division"/>
        <s v="Production Planning &amp; Logistics Division"/>
        <s v="Construction &amp; Engine Division"/>
        <s v="Manufacturing Engineering Division"/>
        <s v="Human Resources &amp; Administration Division"/>
        <s v="Tractor &amp; Farm Machinery Sales Division"/>
        <s v="GRC &amp; Internal Audit Division"/>
        <s v="Quality Assurance Division"/>
        <m/>
      </sharedItems>
    </cacheField>
    <cacheField name="Dept" numFmtId="0">
      <sharedItems containsBlank="1"/>
    </cacheField>
    <cacheField name="Work Unit" numFmtId="0">
      <sharedItems containsBlank="1"/>
    </cacheField>
    <cacheField name="Propose As" numFmtId="0">
      <sharedItems containsBlank="1"/>
    </cacheField>
    <cacheField name="Name of employee being replaced" numFmtId="0">
      <sharedItems containsBlank="1" containsMixedTypes="1" containsNumber="1" containsInteger="1" minValue="16697" maxValue="16697"/>
    </cacheField>
    <cacheField name="Level &amp; Type" numFmtId="0">
      <sharedItems containsBlank="1" count="4">
        <s v="S-Specific"/>
        <s v="S-General"/>
        <s v="O-General"/>
        <m/>
      </sharedItems>
    </cacheField>
    <cacheField name="Document Status" numFmtId="0">
      <sharedItems containsBlank="1" count="3">
        <s v="Finished"/>
        <s v="Hold"/>
        <m/>
      </sharedItems>
    </cacheField>
    <cacheField name="Recruitment Status" numFmtId="0">
      <sharedItems containsBlank="1"/>
    </cacheField>
    <cacheField name="Approved_Date" numFmtId="0">
      <sharedItems containsBlank="1"/>
    </cacheField>
    <cacheField name="Target_Date" numFmtId="0">
      <sharedItems containsBlank="1"/>
    </cacheField>
    <cacheField name="Completed_Date" numFmtId="0">
      <sharedItems containsBlank="1" count="71">
        <s v="Jun 6, 2025"/>
        <s v="Jan 14, 2025"/>
        <s v="Mar 20, 2025"/>
        <s v="Oct10,2024"/>
        <s v="Dec23,2024"/>
        <s v="Jan27,2025"/>
        <s v="Mar26,2025"/>
        <s v="Feb24,2025"/>
        <s v="Nov19,2024"/>
        <s v="Nov20,2024"/>
        <s v="Feb12,2025"/>
        <s v="Nov26,2024"/>
        <s v="May16,2025"/>
        <s v="Feb28,2025"/>
        <s v="Nov1,2024"/>
        <s v="Aug 13, 2025"/>
        <s v="Dec24,2024"/>
        <s v="Jun6,2025"/>
        <s v="Feb25,2025"/>
        <s v="Feb14,2025"/>
        <s v="Jan 20, 2025"/>
        <s v="Feb 27, 2025"/>
        <s v="Feb 6, 2025"/>
        <s v="Feb 24, 2025"/>
        <s v="Feb 17, 2025"/>
        <s v="Feb 19, 2025"/>
        <s v="Jun 2, 2025"/>
        <s v="Feb20,2025"/>
        <s v="Nov 28, 2025"/>
        <s v="Feb 18, 2025"/>
        <s v="Mar 11, 2025"/>
        <s v="Apr 30, 2025"/>
        <s v="Mar 27, 2025"/>
        <s v="Jul 9, 2025"/>
        <s v="May 29, 2025"/>
        <s v="Apr 16, 2025"/>
        <m/>
        <s v="Feb 25, 2025"/>
        <s v="Apr 9, 2025"/>
        <s v="Mar 7, 2025"/>
        <s v="Feb 26, 2025"/>
        <s v="Apr 8, 2025"/>
        <s v="Apr 22, 2025"/>
        <s v="Oct 30, 2025"/>
        <s v="May 1, 2025"/>
        <s v="May 21, 2025"/>
        <s v="Apr 24, 2025"/>
        <s v="Jul 2, 2025"/>
        <s v="Sep 5, 2025"/>
        <s v="Jun 13, 2025"/>
        <s v="Jul 18, 2025"/>
        <s v="Jul 4, 2025"/>
        <s v="May 20, 2025"/>
        <s v="Oct 14, 2025"/>
        <s v="Nov 12, 2025"/>
        <s v="Aug 8, 2025"/>
        <s v="Oct 22, 2025"/>
        <s v="Jun 26, 2025"/>
        <s v="Jul 22, 2025"/>
        <s v="Aug 22, 2025"/>
        <s v="Sep 18, 2025"/>
        <s v="Jul 19, 2025"/>
        <s v="Sep 19, 2025"/>
        <s v="Sep 3, 2025"/>
        <s v="Sep 2, 2025"/>
        <s v="Sep 1, 2025"/>
        <s v="Nov 20, 2025"/>
        <s v="Nov 5, 2025"/>
        <s v="Nov 26, 2025"/>
        <s v="Oct 27, 2025"/>
        <s v="Dec 16, 2025"/>
      </sharedItems>
    </cacheField>
    <cacheField name="Diff of working days between Approval date and Complete Date" numFmtId="0">
      <sharedItems containsString="0" containsBlank="1" containsNumber="1" containsInteger="1" minValue="-32775" maxValue="298"/>
    </cacheField>
    <cacheField name="KPI " numFmtId="0">
      <sharedItems containsBlank="1" count="3">
        <s v="Over KPI"/>
        <s v="In KPI"/>
        <m/>
      </sharedItems>
    </cacheField>
    <cacheField name="Group Status" numFmtId="0">
      <sharedItems containsBlank="1"/>
    </cacheField>
    <cacheField name="New Employee" numFmtId="0">
      <sharedItems containsBlank="1"/>
    </cacheField>
    <cacheField name="Recruitment Channel" numFmtId="0">
      <sharedItems containsBlank="1" count="7">
        <s v="Jobtopgun"/>
        <s v="Internal"/>
        <s v="Social Media"/>
        <s v="suggestion"/>
        <m/>
        <s v="Internship"/>
        <s v="Jobsdb"/>
      </sharedItems>
    </cacheField>
    <cacheField name="5. Effective" numFmtId="0">
      <sharedItems containsBlank="1"/>
    </cacheField>
    <cacheField name="Start Date" numFmtId="0">
      <sharedItems containsBlank="1"/>
    </cacheField>
    <cacheField name="JD" numFmtId="0">
      <sharedItems containsBlank="1"/>
    </cacheField>
    <cacheField name="Inter/Exter" numFmtId="0">
      <sharedItems containsBlank="1"/>
    </cacheField>
    <cacheField name="Sourcing Status" numFmtId="0">
      <sharedItems containsBlank="1" count="7">
        <s v="Effective"/>
        <s v="Hold"/>
        <s v="Wait to Join"/>
        <s v="Final Interview"/>
        <s v="First Interview"/>
        <s v="Sourc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m/>
    <n v="2024"/>
    <s v="Apr"/>
    <x v="0"/>
    <x v="0"/>
    <s v="IT Infrastructure Engineer"/>
    <x v="0"/>
    <s v="Cyber Security and Infrastructure Department"/>
    <s v="Amata City Infrastructure"/>
    <s v="Resignation"/>
    <s v="Mr. Uthen Promchadi"/>
    <x v="0"/>
    <x v="0"/>
    <s v="Completed"/>
    <s v="Apr 23, 2024"/>
    <s v="Jul 1, 2024"/>
    <x v="0"/>
    <n v="262"/>
    <x v="0"/>
    <s v="45 Days Up"/>
    <s v="Ms. Orawan Sukpia"/>
    <x v="0"/>
    <s v="5. Effective"/>
    <s v="Jul 1, 2025"/>
    <m/>
    <s v="Both"/>
    <x v="0"/>
  </r>
  <r>
    <m/>
    <n v="2025"/>
    <s v="Jan"/>
    <x v="0"/>
    <x v="0"/>
    <s v="Puchasing Engineer"/>
    <x v="1"/>
    <s v="Purchasing 1 Department"/>
    <s v="-"/>
    <s v="Rotation"/>
    <s v="Mr.Mayoon Chittangsomboon"/>
    <x v="1"/>
    <x v="0"/>
    <s v="Completed"/>
    <s v="Jan 14, 2025"/>
    <s v="Feb 26, 2025"/>
    <x v="1"/>
    <n v="0"/>
    <x v="1"/>
    <s v="45 Days Up"/>
    <s v="Rotation : 13260 Kampanart Intawichai (PL)"/>
    <x v="1"/>
    <s v="5. Effective"/>
    <s v="Feb16,2025"/>
    <m/>
    <s v="Both"/>
    <x v="0"/>
  </r>
  <r>
    <m/>
    <n v="2025"/>
    <s v="Feb"/>
    <x v="0"/>
    <x v="0"/>
    <s v="Environmental Engineer"/>
    <x v="2"/>
    <s v="Environment Department"/>
    <s v="-"/>
    <s v="Rotation"/>
    <s v="Ms.Virata Fangsa-ard"/>
    <x v="1"/>
    <x v="0"/>
    <s v="Completed"/>
    <s v="Feb 3, 2025"/>
    <s v="Mar 18, 2025"/>
    <x v="2"/>
    <n v="32"/>
    <x v="0"/>
    <s v="21-45 Days"/>
    <s v="Setthapong"/>
    <x v="2"/>
    <s v="5. Effective"/>
    <m/>
    <m/>
    <s v="Both"/>
    <x v="0"/>
  </r>
  <r>
    <s v="May "/>
    <n v="2024"/>
    <s v="Aug"/>
    <x v="1"/>
    <x v="1"/>
    <s v="Marketing Executive (Parts)"/>
    <x v="3"/>
    <s v="Overseas Parts Sales &amp; Marketing Department"/>
    <s v="Marketing Management"/>
    <s v="Rotation"/>
    <s v="Ms.Nannalin Chairatarnadej"/>
    <x v="1"/>
    <x v="0"/>
    <s v="Completed"/>
    <s v="Aug1,2024"/>
    <s v="Sep 19, 2024"/>
    <x v="3"/>
    <n v="45"/>
    <x v="0"/>
    <s v="21-45 Days"/>
    <s v="รัฐศาสตร์ กิจเกียรติ"/>
    <x v="0"/>
    <s v="5. Effective"/>
    <s v="Jan16,2025"/>
    <m/>
    <m/>
    <x v="0"/>
  </r>
  <r>
    <s v="May "/>
    <n v="2024"/>
    <s v="Aug"/>
    <x v="1"/>
    <x v="2"/>
    <s v="System Development"/>
    <x v="4"/>
    <s v="Sales Operation Excellence Department"/>
    <s v="Sales Operation System Development"/>
    <s v="Resignation"/>
    <s v="Ms.Mutita Tipboonrach"/>
    <x v="1"/>
    <x v="0"/>
    <s v="Completed"/>
    <s v="Aug26,2024"/>
    <s v="Oct 7, 2024"/>
    <x v="4"/>
    <n v="82"/>
    <x v="0"/>
    <s v="45 Days Up"/>
    <s v="ชาญนรงค์"/>
    <x v="0"/>
    <s v="5. Effective"/>
    <m/>
    <m/>
    <m/>
    <x v="0"/>
  </r>
  <r>
    <s v="May "/>
    <n v="2024"/>
    <s v="Aug"/>
    <x v="2"/>
    <x v="3"/>
    <s v="Agriculture Academic Executive (นักวิชาการเกษตร)"/>
    <x v="5"/>
    <s v="Solution Business Office"/>
    <s v="Farming Service"/>
    <s v="Resignation"/>
    <s v="Mr.Songsak Ngiwlay"/>
    <x v="0"/>
    <x v="0"/>
    <s v="Completed"/>
    <s v="Aug26,2024"/>
    <s v="Oct 30, 2024"/>
    <x v="5"/>
    <n v="102"/>
    <x v="0"/>
    <s v="45 Days Up"/>
    <s v="ประสิทธิ์"/>
    <x v="0"/>
    <s v="5. Effective"/>
    <m/>
    <m/>
    <m/>
    <x v="0"/>
  </r>
  <r>
    <s v="Fang "/>
    <n v="2024"/>
    <s v="Sep"/>
    <x v="2"/>
    <x v="4"/>
    <s v="Marketing"/>
    <x v="5"/>
    <s v="Commerce Business Office"/>
    <s v="Marketing Communication"/>
    <s v="Resignation"/>
    <s v="Mr.Pongporn Sirirattanaphonkun"/>
    <x v="1"/>
    <x v="0"/>
    <s v="Completed"/>
    <s v="Sep17,2024"/>
    <s v="Oct 31, 2024"/>
    <x v="6"/>
    <n v="127"/>
    <x v="0"/>
    <s v="45 Days Up"/>
    <s v="Rotation : 15041 Ms.Anuttara Charoenchit"/>
    <x v="1"/>
    <s v="5. Effective"/>
    <m/>
    <m/>
    <m/>
    <x v="0"/>
  </r>
  <r>
    <s v="Fang "/>
    <n v="2024"/>
    <s v="Sep"/>
    <x v="1"/>
    <x v="5"/>
    <s v="Business Planning"/>
    <x v="6"/>
    <s v="Business Development Department"/>
    <s v="Business Planning"/>
    <s v="Rotation"/>
    <s v="Mr.Thanawich Sae-lim"/>
    <x v="1"/>
    <x v="0"/>
    <s v="Completed"/>
    <s v="Sep16,2024"/>
    <s v="Oct 30, 2024"/>
    <x v="7"/>
    <n v="106"/>
    <x v="0"/>
    <s v="45 Days Up"/>
    <s v="_x000a_Sireethon Makasirakul"/>
    <x v="3"/>
    <s v="5. Effective"/>
    <s v="Jun16,2025"/>
    <s v="https://drive.google.com/file/d/1LDqRqHn0Gn4VzI2hJJbDO9UVzuNyz0vI/view?usp=drive_link"/>
    <s v="Both"/>
    <x v="0"/>
  </r>
  <r>
    <s v="May "/>
    <n v="2024"/>
    <s v="Sep"/>
    <x v="1"/>
    <x v="6"/>
    <s v="ช่างบริการ"/>
    <x v="7"/>
    <m/>
    <s v="Southern Area After - Sales Service"/>
    <s v="Resignation"/>
    <s v="Mr.Anurak Yamnadda"/>
    <x v="2"/>
    <x v="0"/>
    <s v="Completed"/>
    <s v="Sep17,2024"/>
    <s v="Oct 31, 2024"/>
    <x v="8"/>
    <n v="43"/>
    <x v="0"/>
    <s v="21-45 Days"/>
    <s v="ชินวัฒน์ สิธิราม"/>
    <x v="3"/>
    <s v="5. Effective"/>
    <s v="Jan1,2025"/>
    <m/>
    <m/>
    <x v="0"/>
  </r>
  <r>
    <s v="May "/>
    <n v="2024"/>
    <s v="Sep"/>
    <x v="1"/>
    <x v="7"/>
    <s v="ช่าง"/>
    <x v="8"/>
    <s v="Engine &amp; Hay baler Production Department"/>
    <s v="-"/>
    <s v="Resignation"/>
    <m/>
    <x v="2"/>
    <x v="1"/>
    <s v="Not Completed"/>
    <s v="Sep17,2024"/>
    <s v="Oct 31, 2024"/>
    <x v="9"/>
    <n v="298"/>
    <x v="0"/>
    <s v="45 Days Up"/>
    <m/>
    <x v="4"/>
    <s v="5. Effective"/>
    <m/>
    <m/>
    <m/>
    <x v="1"/>
  </r>
  <r>
    <s v="Fang "/>
    <n v="2024"/>
    <s v="Oct"/>
    <x v="1"/>
    <x v="0"/>
    <s v="Warehouse Engineer"/>
    <x v="3"/>
    <s v="Parts Distribution Department"/>
    <s v="Warehouse System &amp; Automation Development"/>
    <s v="Resignation"/>
    <s v="Mr.Puchis Jaipong"/>
    <x v="1"/>
    <x v="0"/>
    <s v="Completed"/>
    <s v="Oct22,2024"/>
    <s v="Dec 4, 2024"/>
    <x v="10"/>
    <n v="73"/>
    <x v="0"/>
    <s v="45 Days Up"/>
    <s v="Ms.Leenaleeya Ruangjutiphophan , Mr.Wathanyu Ponsing"/>
    <x v="0"/>
    <s v="5. Effective"/>
    <s v="Mar1,2025"/>
    <m/>
    <m/>
    <x v="0"/>
  </r>
  <r>
    <s v="May "/>
    <n v="2024"/>
    <s v="Oct"/>
    <x v="1"/>
    <x v="0"/>
    <s v="Engineer (Product Development)"/>
    <x v="9"/>
    <s v="Product Development Department"/>
    <s v="Tractor &amp; Implement"/>
    <s v="New Model"/>
    <m/>
    <x v="1"/>
    <x v="0"/>
    <s v="Completed"/>
    <s v="Oct22,2024"/>
    <s v="Dec 4, 2024"/>
    <x v="4"/>
    <n v="42"/>
    <x v="0"/>
    <s v="21-45 Days"/>
    <s v="ณัฐพล เอียดแก้ว"/>
    <x v="0"/>
    <s v="5. Effective"/>
    <s v="Feb16,2025"/>
    <m/>
    <m/>
    <x v="0"/>
  </r>
  <r>
    <s v="May "/>
    <n v="2024"/>
    <s v="Oct"/>
    <x v="1"/>
    <x v="1"/>
    <s v="Parts Marketing Management Executive"/>
    <x v="3"/>
    <s v="Overseas Parts Sales &amp; Marketing Department"/>
    <s v="Marketing Management"/>
    <s v="Rotation"/>
    <s v="Mr.Natakorn Phaitong"/>
    <x v="1"/>
    <x v="0"/>
    <s v="Completed"/>
    <s v="Oct1,2024"/>
    <s v="Nov 14, 2024"/>
    <x v="11"/>
    <n v="38"/>
    <x v="0"/>
    <s v="21-45 Days"/>
    <s v="พัชรนันท์ โตอ่อน"/>
    <x v="0"/>
    <s v="5. Effective"/>
    <m/>
    <m/>
    <m/>
    <x v="0"/>
  </r>
  <r>
    <s v="Fang "/>
    <n v="2024"/>
    <s v="Nov"/>
    <x v="1"/>
    <x v="8"/>
    <s v="Data Engineer"/>
    <x v="0"/>
    <s v="Customer Success System Department"/>
    <s v="Data Engineering"/>
    <s v="Resignation"/>
    <s v="Mr.Korn Thawonphon"/>
    <x v="0"/>
    <x v="0"/>
    <s v="Completed"/>
    <s v="Nov20,2024"/>
    <s v="Jan 30, 2025"/>
    <x v="12"/>
    <n v="110"/>
    <x v="0"/>
    <s v="45 Days Up"/>
    <s v="Phattarada Mikota"/>
    <x v="0"/>
    <s v="5. Effective"/>
    <s v="Jul1,2025"/>
    <m/>
    <m/>
    <x v="0"/>
  </r>
  <r>
    <s v="Fang "/>
    <n v="2024"/>
    <s v="Feb"/>
    <x v="1"/>
    <x v="9"/>
    <s v="Agri Researcher"/>
    <x v="10"/>
    <s v="KUBOTA Solutions Department"/>
    <s v="Climate Change Solutions Development"/>
    <s v="Resignation"/>
    <s v="Mr.Sarawut Kunthong"/>
    <x v="1"/>
    <x v="0"/>
    <s v="Completed"/>
    <s v="Feb19,2025"/>
    <s v="Apr 2, 2025"/>
    <x v="13"/>
    <n v="7"/>
    <x v="1"/>
    <s v="1-10 Days"/>
    <s v="Toeic Stage with K.Pattawee"/>
    <x v="3"/>
    <s v="5. Effective"/>
    <s v="Jul1,2025"/>
    <m/>
    <m/>
    <x v="0"/>
  </r>
  <r>
    <s v="May "/>
    <n v="2024"/>
    <s v="Nov"/>
    <x v="1"/>
    <x v="6"/>
    <s v="ช่างบริการ"/>
    <x v="7"/>
    <s v="Domestic After - Sales Service Department"/>
    <m/>
    <s v="Retirement"/>
    <m/>
    <x v="1"/>
    <x v="0"/>
    <s v="Completed"/>
    <s v="Nov20,2024"/>
    <s v="Jan 9, 2025"/>
    <x v="14"/>
    <n v="-15"/>
    <x v="1"/>
    <s v="45 Days Up"/>
    <s v="สุทธินัน กัญญพิลา"/>
    <x v="0"/>
    <s v="5. Effective"/>
    <s v="Jan1,2025"/>
    <m/>
    <m/>
    <x v="0"/>
  </r>
  <r>
    <s v="Chat "/>
    <n v="2025"/>
    <s v="Feb"/>
    <x v="1"/>
    <x v="0"/>
    <s v="Engineer (Service Publication)"/>
    <x v="7"/>
    <s v="Siam Kubota Academy"/>
    <s v="Service Publication"/>
    <s v="Resignation"/>
    <s v="กนิษฐ์ชนุตร์ จันทร์แย้ม"/>
    <x v="1"/>
    <x v="0"/>
    <s v="Completed"/>
    <s v="Feb25,2025"/>
    <s v="Apr 9, 2025"/>
    <x v="15"/>
    <n v="105"/>
    <x v="0"/>
    <s v="45 Days Up"/>
    <s v="ปุณยวีร์ ธีรโชติเรืองวุฒิ"/>
    <x v="0"/>
    <s v="5. Effective"/>
    <s v="Oct1,2025"/>
    <s v="https://docs.google.com/document/d/1rUAM0C16yfV6ldkfXpne7d9JZ4_AOVyA/edit?usp=drive_link&amp;ouid=113372659808018680616&amp;rtpof=true&amp;sd=true"/>
    <s v="External Only"/>
    <x v="0"/>
  </r>
  <r>
    <s v="May "/>
    <n v="2024"/>
    <s v="Dec"/>
    <x v="1"/>
    <x v="10"/>
    <s v="Dealers Sales Development Executive"/>
    <x v="3"/>
    <s v="Parts Planning &amp; Development Department"/>
    <m/>
    <s v="Resignation"/>
    <m/>
    <x v="1"/>
    <x v="0"/>
    <s v="Completed"/>
    <s v="Dec24,2024"/>
    <s v="Feb 11, 2025"/>
    <x v="16"/>
    <n v="0"/>
    <x v="1"/>
    <s v="45 Days Up"/>
    <s v="ณัฐวัฒน์ ศิริพานิชย์"/>
    <x v="0"/>
    <s v="5. Effective"/>
    <s v="Jan16,2025"/>
    <m/>
    <m/>
    <x v="0"/>
  </r>
  <r>
    <s v="Chat "/>
    <n v="2024"/>
    <s v="Dec"/>
    <x v="1"/>
    <x v="0"/>
    <s v="Carbon Neutrality Engineer, Environment Engineer"/>
    <x v="10"/>
    <s v="Carbon Neutrality Department"/>
    <s v="Carbon Neutrality Technology &amp; Solutions"/>
    <s v="Resignation"/>
    <m/>
    <x v="1"/>
    <x v="0"/>
    <s v="Completed"/>
    <s v="Dec24,2024"/>
    <s v="Feb 11, 2025"/>
    <x v="5"/>
    <n v="19"/>
    <x v="1"/>
    <s v="11-20 Days"/>
    <m/>
    <x v="0"/>
    <s v="5. Effective"/>
    <m/>
    <m/>
    <m/>
    <x v="0"/>
  </r>
  <r>
    <s v="Fang "/>
    <n v="2024"/>
    <s v="Dec"/>
    <x v="1"/>
    <x v="0"/>
    <s v="Engineer (Domestics After-Sales Service)"/>
    <x v="7"/>
    <s v="Domestic After - Sales Service Department"/>
    <m/>
    <s v="Resignation"/>
    <s v="Ms.Thuyamon Nithimethakul"/>
    <x v="1"/>
    <x v="0"/>
    <s v="Completed"/>
    <s v="Dec25,2024"/>
    <s v="Feb 13, 2025"/>
    <x v="17"/>
    <n v="100"/>
    <x v="0"/>
    <s v="45 Days Up"/>
    <s v="ขวัญนภา จิตระเบียบ"/>
    <x v="0"/>
    <s v="5. Effective"/>
    <s v="Jul16,2025"/>
    <s v="https://drive.google.com/file/d/1VoBzIPhIdGQvIMFNc-zeQEQ3kz8chHkS/view?usp=drive_link"/>
    <s v="Both"/>
    <x v="0"/>
  </r>
  <r>
    <s v="Fang "/>
    <n v="2024"/>
    <s v="Dec"/>
    <x v="1"/>
    <x v="0"/>
    <s v="Engineer (Domestic Dealer Service Development)"/>
    <x v="7"/>
    <s v="Service Value Creation Department"/>
    <s v="Domestic Dealer Service Development"/>
    <s v="Retirement"/>
    <s v="Mr.Sawan Boonhouse"/>
    <x v="1"/>
    <x v="0"/>
    <s v="Completed"/>
    <s v="Dec26,2024"/>
    <s v="Feb 14, 2025"/>
    <x v="18"/>
    <n v="37"/>
    <x v="0"/>
    <s v="21-45 Days"/>
    <s v="Internal Recruitment : 16156_x000a__x000a_Mr.Sirawitch Jantarasub"/>
    <x v="1"/>
    <s v="5. Effective"/>
    <m/>
    <s v="https://drive.google.com/file/d/1BgFDH9il_ICORQG68F9jz-X2MGFsLHba/view?usp=drive_link"/>
    <s v="Both"/>
    <x v="0"/>
  </r>
  <r>
    <s v="Fang "/>
    <n v="2024"/>
    <s v="Dec"/>
    <x v="1"/>
    <x v="11"/>
    <s v="Financial Analyst"/>
    <x v="11"/>
    <s v="Finance &amp; Credit Department"/>
    <s v="Credit Management"/>
    <s v="Rotation"/>
    <s v="Mr.Khanapot Klinsong"/>
    <x v="0"/>
    <x v="0"/>
    <s v="Completed"/>
    <s v="Dec23,2024"/>
    <s v="Mar 4, 2025"/>
    <x v="7"/>
    <n v="39"/>
    <x v="1"/>
    <s v="21-45 Days"/>
    <s v="_x000a_Ms.Kunyaphon Kongthong"/>
    <x v="3"/>
    <s v="5. Effective"/>
    <m/>
    <s v="https://docs.google.com/spreadsheets/d/1lTQyPO5rNcol68Nc6du8IuIQMcK1KvaO/edit?usp=drive_link&amp;ouid=113372659808018680616&amp;rtpof=true&amp;sd=true"/>
    <s v="External Only"/>
    <x v="0"/>
  </r>
  <r>
    <s v="Fang "/>
    <n v="2025"/>
    <s v="Jan"/>
    <x v="1"/>
    <x v="0"/>
    <s v="Inspection (Engineer)"/>
    <x v="12"/>
    <s v="Engine-Power Tiller Inspection Department"/>
    <s v="New Product Inspection"/>
    <s v="Resignation"/>
    <s v="Sasikarnt P."/>
    <x v="1"/>
    <x v="0"/>
    <s v="Completed"/>
    <s v="Jan19,2025"/>
    <s v="Mar 3, 2025"/>
    <x v="19"/>
    <n v="18"/>
    <x v="1"/>
    <s v="11-20 Days"/>
    <s v="Todsawat"/>
    <x v="0"/>
    <s v="5. Effective"/>
    <s v="May1,2025"/>
    <s v="https://drive.google.com/file/d/1ZDtxATij04Yl4FQKN0RE4VVlvCahm2Xt/view?usp=sharing"/>
    <s v="Both"/>
    <x v="0"/>
  </r>
  <r>
    <s v="Fang "/>
    <n v="2025"/>
    <s v="Jan"/>
    <x v="1"/>
    <x v="0"/>
    <s v="Inspection (Engineer)"/>
    <x v="12"/>
    <s v="Engine-Power Tiller Inspection Department"/>
    <s v="New Product Inspection"/>
    <s v="Resignation"/>
    <s v="Wissarut S."/>
    <x v="1"/>
    <x v="0"/>
    <s v="Completed"/>
    <s v="Jan19,2025"/>
    <s v="Mar 3, 2025"/>
    <x v="19"/>
    <n v="18"/>
    <x v="1"/>
    <s v="11-20 Days"/>
    <s v="Sawatsakorn Pathhepnamphaphon"/>
    <x v="0"/>
    <s v="5. Effective"/>
    <s v="Jan1,2025"/>
    <s v="https://drive.google.com/file/d/1ZDtxATij04Yl4FQKN0RE4VVlvCahm2Xt/view?usp=sharing"/>
    <s v="Both"/>
    <x v="0"/>
  </r>
  <r>
    <m/>
    <n v="2025"/>
    <s v="Jan"/>
    <x v="0"/>
    <x v="0"/>
    <s v="Production Development"/>
    <x v="13"/>
    <s v="Combine Harvester Production Department"/>
    <s v="Production Development 2"/>
    <s v="Rotation"/>
    <s v="13882 Mr.Teetuch Leelapornpisid &gt; APE"/>
    <x v="1"/>
    <x v="0"/>
    <s v="Completed"/>
    <s v="Jan20,2025"/>
    <s v="Mar 4, 2025"/>
    <x v="20"/>
    <n v="0"/>
    <x v="1"/>
    <s v="45 Days Up"/>
    <s v="Internal Recruitment : _x000a_16582 Chaiphop Ruksrithong (PU1)"/>
    <x v="1"/>
    <s v="5. Effective"/>
    <s v="Mar1,2025"/>
    <m/>
    <s v="Both"/>
    <x v="0"/>
  </r>
  <r>
    <m/>
    <n v="2025"/>
    <s v="Feb"/>
    <x v="0"/>
    <x v="0"/>
    <s v="Production Development"/>
    <x v="14"/>
    <s v="L Tractor Production Department"/>
    <s v="Production Development - Assembling"/>
    <s v="Rotation"/>
    <s v="15872 Mr.Narupong Jarasbunpaisarn &gt; PTD _x000a_eff 1/4/2025"/>
    <x v="1"/>
    <x v="0"/>
    <s v="Completed"/>
    <s v="Feb5,2025"/>
    <s v="Mar 20, 2025"/>
    <x v="21"/>
    <n v="15"/>
    <x v="1"/>
    <s v="11-20 Days"/>
    <s v="Mr. Panupong Muangmoon"/>
    <x v="2"/>
    <s v="5. Effective"/>
    <s v="Apr1,2025"/>
    <m/>
    <s v="Both"/>
    <x v="0"/>
  </r>
  <r>
    <m/>
    <n v="2025"/>
    <s v="Jan"/>
    <x v="0"/>
    <x v="0"/>
    <s v="Production Planning"/>
    <x v="15"/>
    <s v="Amata City Production Planning &amp; Control Department"/>
    <s v="Part Planning - Tractor"/>
    <s v="Resignation"/>
    <s v="12450 Ms.Juthaporn Kornklang"/>
    <x v="1"/>
    <x v="0"/>
    <s v="Completed"/>
    <s v="Jan 23, 2025"/>
    <s v="Mar 7, 2025"/>
    <x v="22"/>
    <n v="10"/>
    <x v="1"/>
    <s v="1-10 Days"/>
    <s v="Mr. Chaiyatorn Chotarunrungrot"/>
    <x v="0"/>
    <s v="5. Effective"/>
    <s v="Mar1,2025"/>
    <m/>
    <s v="Both"/>
    <x v="0"/>
  </r>
  <r>
    <m/>
    <n v="2025"/>
    <s v="Jan"/>
    <x v="0"/>
    <x v="12"/>
    <s v="Purchasing Engineering Staff"/>
    <x v="1"/>
    <s v="Purchasing Engineering Department"/>
    <s v="Supplier KPS Promotion"/>
    <s v="Resignation"/>
    <s v="14778 Mr.Narin Promrat"/>
    <x v="2"/>
    <x v="0"/>
    <s v="Completed"/>
    <s v="Jan23,2025"/>
    <s v="Mar 7, 2025"/>
    <x v="23"/>
    <n v="21"/>
    <x v="1"/>
    <s v="21-45 Days"/>
    <s v="Mr. Tanapol Sintachai"/>
    <x v="0"/>
    <s v="5. Effective"/>
    <s v="Apr1,2025"/>
    <m/>
    <s v="External Only"/>
    <x v="0"/>
  </r>
  <r>
    <s v="Fang "/>
    <n v="2025"/>
    <s v="Jan"/>
    <x v="1"/>
    <x v="13"/>
    <s v="Marketing Executive"/>
    <x v="16"/>
    <s v="Engine &amp; Power Tiller Business"/>
    <s v="Marketing"/>
    <s v="Resignation"/>
    <s v="Mr.Thitipharuek"/>
    <x v="1"/>
    <x v="0"/>
    <s v="Completed"/>
    <s v="Jan19,2025"/>
    <s v="Mar 3, 2025"/>
    <x v="17"/>
    <n v="87"/>
    <x v="0"/>
    <s v="45 Days Up"/>
    <s v="15364 ธนสกล สัตย์ชาพงษ์"/>
    <x v="1"/>
    <s v="5. Effective"/>
    <s v="Aug1,2025"/>
    <s v="https://drive.google.com/file/d/1aCp71pseuzLYp8ELk27Jtsj_TX32IDnB/view"/>
    <s v="Both"/>
    <x v="0"/>
  </r>
  <r>
    <s v="Fang "/>
    <n v="2025"/>
    <s v="Jan"/>
    <x v="1"/>
    <x v="14"/>
    <s v="Marketing Researcher"/>
    <x v="4"/>
    <s v="Data Driven Business"/>
    <s v="Marketing Research"/>
    <s v="Resignation"/>
    <s v="Ms.Onpreeya"/>
    <x v="1"/>
    <x v="0"/>
    <s v="Completed"/>
    <s v="Jan19,2025"/>
    <s v="Mar 3, 2025"/>
    <x v="24"/>
    <n v="19"/>
    <x v="1"/>
    <s v="11-20 Days"/>
    <s v="Ms.Waritsara Kangkorn"/>
    <x v="3"/>
    <s v="5. Effective"/>
    <m/>
    <s v="https://drive.google.com/file/d/1qAizKbcJIQ4JmSvWaAIQN3FhC-e1YwzS/view"/>
    <s v="Both"/>
    <x v="0"/>
  </r>
  <r>
    <s v="Fang "/>
    <n v="2025"/>
    <s v="Jan"/>
    <x v="1"/>
    <x v="15"/>
    <s v="Data Analyst"/>
    <x v="4"/>
    <s v="Data Driven Business"/>
    <s v="Data Analytic"/>
    <s v="Resignation"/>
    <s v="Ms.Rujra"/>
    <x v="1"/>
    <x v="0"/>
    <s v="Completed"/>
    <s v="Jan19,2025"/>
    <s v="Mar 3, 2025"/>
    <x v="25"/>
    <n v="21"/>
    <x v="1"/>
    <s v="21-45 Days"/>
    <s v="Internal Recruitment : _x000a_15505 Mr.Nutthaphol Kongngernngam"/>
    <x v="1"/>
    <s v="5. Effective"/>
    <s v="Jun1,2025"/>
    <s v="https://drive.google.com/file/d/1rHRkIwAFgJXS0ceZm5ffJUau3wtBRWYN/view?usp=drive_link"/>
    <s v="Both"/>
    <x v="0"/>
  </r>
  <r>
    <s v="Fang "/>
    <n v="2025"/>
    <s v="Jan"/>
    <x v="1"/>
    <x v="16"/>
    <s v="Media Production Officer (Producer)"/>
    <x v="9"/>
    <s v="Marketing Communication Department"/>
    <s v="Design and muitimedia"/>
    <s v="Resignation"/>
    <s v="10737 นายวินัย เจริญนา"/>
    <x v="0"/>
    <x v="0"/>
    <s v="Completed"/>
    <s v="Jan19,2025"/>
    <s v="Mar 24, 2025"/>
    <x v="26"/>
    <n v="84"/>
    <x v="0"/>
    <s v="45 Days Up"/>
    <s v="Toeic with K.Pornsiri"/>
    <x v="0"/>
    <s v="5. Effective"/>
    <m/>
    <s v="https://drive.google.com/file/d/1puX3Y6Zl5fjWQ5nIFFjGyLCdRCcTNz0f/view?usp=drive_link"/>
    <s v="External Only"/>
    <x v="0"/>
  </r>
  <r>
    <s v="Fang "/>
    <n v="2025"/>
    <s v="Jan"/>
    <x v="1"/>
    <x v="17"/>
    <s v="ช่างเทคนิคบริการ"/>
    <x v="10"/>
    <s v="KUBOTA FARM Department"/>
    <s v="Customer Management"/>
    <s v="New Model"/>
    <m/>
    <x v="2"/>
    <x v="0"/>
    <s v="Completed"/>
    <s v="Jan19,2025"/>
    <s v="Mar 3, 2025"/>
    <x v="27"/>
    <n v="22"/>
    <x v="1"/>
    <s v="21-45 Days"/>
    <s v="Aekkachai Thongpuban"/>
    <x v="0"/>
    <s v="5. Effective"/>
    <s v="Apr1,2025"/>
    <s v="https://drive.google.com/file/d/1-phkn6bkn88BqyJB-s1DcDzVJ4gWJEqJ/view?usp=drive_link"/>
    <s v="External Only"/>
    <x v="0"/>
  </r>
  <r>
    <s v="Fang "/>
    <n v="2025"/>
    <s v="Jan"/>
    <x v="1"/>
    <x v="18"/>
    <s v="Farm Experince Developer"/>
    <x v="10"/>
    <s v="KUBOTA FARM Department"/>
    <s v="Farm experince developer"/>
    <s v="New Model"/>
    <m/>
    <x v="2"/>
    <x v="0"/>
    <s v="Completed"/>
    <s v="Jan19,2025"/>
    <s v="Mar 3, 2025"/>
    <x v="13"/>
    <n v="28"/>
    <x v="1"/>
    <s v="21-45 Days"/>
    <s v="Internal Recruitment : SKN054_x000a__x000a_Mr.Jakkrit Manmao"/>
    <x v="1"/>
    <s v="5. Effective"/>
    <m/>
    <s v="https://drive.google.com/file/d/1lDtadkqVX8FUEqWY3KWvY5HKStIK908m/view?usp=drive_link"/>
    <s v="Internal Only"/>
    <x v="0"/>
  </r>
  <r>
    <s v="Fang "/>
    <n v="2025"/>
    <s v="Jan"/>
    <x v="1"/>
    <x v="19"/>
    <s v="Administrative Staff"/>
    <x v="10"/>
    <s v="Strategic Partnership Management Department"/>
    <s v="Education Partnership development"/>
    <s v="New Model"/>
    <m/>
    <x v="2"/>
    <x v="0"/>
    <s v="Completed"/>
    <s v="Jan19,2025"/>
    <s v="Mar 3, 2025"/>
    <x v="24"/>
    <n v="19"/>
    <x v="1"/>
    <s v="11-20 Days"/>
    <s v="Internal Recruitmant : subcontract 16660_x000a__x000a_Ms.Papassarin Thananaetichaisak"/>
    <x v="1"/>
    <s v="5. Effective"/>
    <m/>
    <s v="https://drive.google.com/file/d/1hhABLQG5JmPf0RdC5tBM1crxprg76nF3/view?usp=drive_link"/>
    <s v="Both"/>
    <x v="0"/>
  </r>
  <r>
    <s v="Fang "/>
    <n v="2025"/>
    <s v="Jan"/>
    <x v="1"/>
    <x v="20"/>
    <s v="System Analyst"/>
    <x v="0"/>
    <s v="Customer Success System Department"/>
    <s v="Customer Experience system"/>
    <s v="Resignation"/>
    <s v="Mr.Pichit Polpinit"/>
    <x v="0"/>
    <x v="0"/>
    <s v="Completed"/>
    <s v="Jan19,2025"/>
    <s v="Mar 24, 2025"/>
    <x v="28"/>
    <n v="203"/>
    <x v="0"/>
    <s v="45 Days Up"/>
    <s v="Internship Nichamon Katekaew"/>
    <x v="5"/>
    <s v="1. Final Int. Result - Announce"/>
    <s v="Jan1,2026"/>
    <s v="https://docs.google.com/document/d/1WKIAFvFjdZ4DMQthlYJhlJv_P9Yc6ItX/edit?usp=drive_link&amp;ouid=113372659808018680616&amp;rtpof=true&amp;sd=true"/>
    <s v="External Only"/>
    <x v="0"/>
  </r>
  <r>
    <s v="Fang "/>
    <n v="2025"/>
    <s v="Jan"/>
    <x v="2"/>
    <x v="21"/>
    <s v="พนักงานธุรการ"/>
    <x v="5"/>
    <s v="Commerce Business Office"/>
    <s v="Operator"/>
    <s v="Resignation"/>
    <s v="Ms.Phuttamat"/>
    <x v="2"/>
    <x v="0"/>
    <s v="Completed"/>
    <s v="Jan 23, 2025"/>
    <s v="Mar 7, 2025"/>
    <x v="29"/>
    <n v="17"/>
    <x v="1"/>
    <s v="11-20 Days"/>
    <s v="Internal Recruitment : 90036 _x000a__x000a_Ms.Sudarat Pratumchai"/>
    <x v="1"/>
    <s v="5. Effective"/>
    <m/>
    <s v="https://drive.google.com/file/d/1yReEbsP7RPsjODSNFaBdFqnJmZ_IUItG/view?usp=drive_link"/>
    <s v="Both"/>
    <x v="0"/>
  </r>
  <r>
    <m/>
    <n v="2025"/>
    <s v="Jan"/>
    <x v="0"/>
    <x v="0"/>
    <s v="Purchasing Engineer"/>
    <x v="1"/>
    <s v="Purchasing 1 Department"/>
    <s v="Purchasing - 1B"/>
    <s v="Rotation"/>
    <s v="16582 Chaiphop Ruksrithong &gt; CH"/>
    <x v="1"/>
    <x v="0"/>
    <s v="Completed"/>
    <s v="Jan 23, 2025"/>
    <s v="Mar 7, 2025"/>
    <x v="22"/>
    <n v="10"/>
    <x v="1"/>
    <s v="1-10 Days"/>
    <s v="Ms. Naruemon Chawalitbumrung"/>
    <x v="0"/>
    <s v="5. Effective"/>
    <s v="Mar1,2025"/>
    <s v="https://superrecruit.jobtopgun.com/SERC?view=jobpostPreview&amp;idPosition=801"/>
    <s v="External Only"/>
    <x v="0"/>
  </r>
  <r>
    <s v="Fang "/>
    <n v="2025"/>
    <s v="Feb"/>
    <x v="1"/>
    <x v="22"/>
    <s v="Sustainable Solutions Promotion Executive"/>
    <x v="10"/>
    <s v="KUBOTA Solutions Department"/>
    <s v="Sustainable solutions promotion"/>
    <s v="Resignation"/>
    <m/>
    <x v="1"/>
    <x v="0"/>
    <s v="Completed"/>
    <s v="Feb 24, 2025"/>
    <s v="Apr 8, 2025"/>
    <x v="6"/>
    <n v="22"/>
    <x v="1"/>
    <s v="21-45 Days"/>
    <s v="Napat Jindayu"/>
    <x v="0"/>
    <s v="5. Effective"/>
    <m/>
    <s v="https://docs.google.com/document/d/1S5luK_t2_I0_ban1-74I6ZpS7vuH0WC3/edit"/>
    <s v="Both"/>
    <x v="0"/>
  </r>
  <r>
    <m/>
    <n v="2025"/>
    <s v="Feb"/>
    <x v="0"/>
    <x v="0"/>
    <s v="Project Engineer"/>
    <x v="17"/>
    <s v="Project Management Engineering Department"/>
    <s v="Amata City - Engineering Project 1"/>
    <s v="Resignation"/>
    <s v="16578 Mr.Pongsakorn Sriyanyong"/>
    <x v="1"/>
    <x v="0"/>
    <s v="Completed"/>
    <s v="Feb 24, 2025"/>
    <s v="Apr 8, 2025"/>
    <x v="30"/>
    <n v="11"/>
    <x v="1"/>
    <s v="11-20 Days"/>
    <s v="Ms.Nuttida Juntree"/>
    <x v="0"/>
    <s v="5. Effective"/>
    <s v="Jun1,2025"/>
    <m/>
    <s v="Both"/>
    <x v="0"/>
  </r>
  <r>
    <m/>
    <n v="2025"/>
    <s v="Feb"/>
    <x v="0"/>
    <x v="23"/>
    <s v="Accountant"/>
    <x v="11"/>
    <s v="Amata City Accounting Department"/>
    <s v="Manufacturing Cost Analysis 1"/>
    <s v="Resignation"/>
    <s v="16551 Ms.Araya Amsuayek"/>
    <x v="0"/>
    <x v="0"/>
    <s v="Completed"/>
    <s v="Feb 24, 2025"/>
    <s v="May 9, 2025"/>
    <x v="31"/>
    <n v="40"/>
    <x v="1"/>
    <s v="21-45 Days"/>
    <s v="Ms. Pangthib Buanpom"/>
    <x v="0"/>
    <s v="5. Effective"/>
    <s v="Jun 1, 2025"/>
    <m/>
    <s v="External Only"/>
    <x v="0"/>
  </r>
  <r>
    <m/>
    <n v="2025"/>
    <s v="Feb"/>
    <x v="0"/>
    <x v="24"/>
    <s v="Factory Services Staff"/>
    <x v="18"/>
    <s v="Amata City Administration Department"/>
    <s v="Factory Services"/>
    <s v="Resignation"/>
    <s v="16170 Mr.Taiphop Autaoei"/>
    <x v="2"/>
    <x v="0"/>
    <s v="Completed"/>
    <s v="Feb 24, 2025"/>
    <s v="Apr 8, 2025"/>
    <x v="32"/>
    <n v="23"/>
    <x v="1"/>
    <s v="21-45 Days"/>
    <s v="Mr. Sakda Iamraksa"/>
    <x v="0"/>
    <s v="5. Effective"/>
    <m/>
    <m/>
    <s v="External Only"/>
    <x v="0"/>
  </r>
  <r>
    <s v="Fang "/>
    <n v="2025"/>
    <s v="Feb"/>
    <x v="1"/>
    <x v="0"/>
    <s v="Project Engineer"/>
    <x v="17"/>
    <s v="Project Management Engineering Department"/>
    <s v="Navanakorn - Engineering Project"/>
    <s v="Rotation"/>
    <s v="14532 Mr.Tanpong Wiwitumpon &gt; BD _x000a_eff 1/4/2025"/>
    <x v="1"/>
    <x v="0"/>
    <s v="Completed"/>
    <s v="Feb 24, 2025"/>
    <s v="Apr 8, 2025"/>
    <x v="33"/>
    <n v="86"/>
    <x v="0"/>
    <s v="45 Days Up"/>
    <s v="Internal Recruit from EPID &gt; PME SKCN_x000a_16671 Mr.Todsawat Thavorn"/>
    <x v="1"/>
    <s v="5. Effective"/>
    <m/>
    <s v="https://drive.google.com/file/d/1DfKvKiB3mQ0JAb3-EiCgQCXmnN1eGbOK/view?usp=sharing"/>
    <s v="Both"/>
    <x v="0"/>
  </r>
  <r>
    <s v="Fang "/>
    <n v="2025"/>
    <s v="Feb"/>
    <x v="1"/>
    <x v="25"/>
    <s v="Product Development (Farm &amp; machinery management system)"/>
    <x v="6"/>
    <s v="Business Development Department"/>
    <s v="Grand Design &amp; Technology Innovation"/>
    <s v="Resignation"/>
    <s v="Mr.Krawit Koopitakkajorn"/>
    <x v="1"/>
    <x v="0"/>
    <s v="Completed"/>
    <s v="Feb 24, 2025"/>
    <s v="Apr 8, 2025"/>
    <x v="34"/>
    <n v="58"/>
    <x v="0"/>
    <s v="45 Days Up"/>
    <s v="Mr.Ridhrin"/>
    <x v="3"/>
    <s v="5. Effective"/>
    <s v="Jun16,2025"/>
    <s v="https://drive.google.com/file/d/1n8QBd6RsahHYNiCX6WhKw4PN64-ErrX1/view?usp=drive_link"/>
    <s v="Both"/>
    <x v="0"/>
  </r>
  <r>
    <s v="Fang "/>
    <n v="2025"/>
    <s v="Feb"/>
    <x v="1"/>
    <x v="0"/>
    <s v="Engineer (Tractor product support)"/>
    <x v="7"/>
    <s v="Technical Service Solutions Department"/>
    <s v="Tractor Technical Service"/>
    <s v="Resignation"/>
    <s v="Mr.Passakrit Kerdprakob"/>
    <x v="1"/>
    <x v="0"/>
    <s v="Completed"/>
    <s v="Feb 24, 2025"/>
    <s v="Apr 8, 2025"/>
    <x v="35"/>
    <n v="32"/>
    <x v="0"/>
    <s v="21-45 Days"/>
    <s v="Phokin Dechpong"/>
    <x v="0"/>
    <s v="5. Effective"/>
    <m/>
    <s v="https://drive.google.com/file/d/1hlqpVM_UAUI8Da8-hp3QCfgP7Upcrquo/view?usp=drive_link"/>
    <s v="Both"/>
    <x v="0"/>
  </r>
  <r>
    <m/>
    <n v="2025"/>
    <s v="Feb"/>
    <x v="2"/>
    <x v="26"/>
    <s v="Electrical Engineering"/>
    <x v="5"/>
    <s v="Solution Business Office"/>
    <m/>
    <s v="New Model"/>
    <m/>
    <x v="0"/>
    <x v="1"/>
    <s v="Not Completed"/>
    <s v="Feb 24, 2025"/>
    <s v="May 9, 2025"/>
    <x v="36"/>
    <n v="193"/>
    <x v="0"/>
    <s v="45 Days Up"/>
    <m/>
    <x v="4"/>
    <m/>
    <m/>
    <s v="https://drive.google.com/file/d/1iFmXi4jKmW0AsOf7T-Qfi5mvX52dwbpX/view?usp=drive_link"/>
    <s v="External Only"/>
    <x v="1"/>
  </r>
  <r>
    <s v="Fang "/>
    <n v="2025"/>
    <s v="Feb"/>
    <x v="1"/>
    <x v="15"/>
    <s v="Data Anlyst"/>
    <x v="4"/>
    <s v="Data Driven Business"/>
    <s v="Data Analytic"/>
    <s v="Resignation"/>
    <s v="15707 Mr.Pooriwat Chotmanee"/>
    <x v="1"/>
    <x v="0"/>
    <s v="Completed"/>
    <s v="Feb 24, 2025"/>
    <s v="Apr 8, 2025"/>
    <x v="37"/>
    <n v="1"/>
    <x v="1"/>
    <s v="1-10 Days"/>
    <s v="Patharaporn Hongron"/>
    <x v="0"/>
    <s v="5. Effective"/>
    <m/>
    <s v="https://docs.google.com/document/d/1NSXSJbiack5ISc45uAprPNXXJ-SqfNux/edit"/>
    <s v="Both"/>
    <x v="0"/>
  </r>
  <r>
    <s v="Fang "/>
    <n v="2025"/>
    <s v="Feb"/>
    <x v="1"/>
    <x v="27"/>
    <s v="Digital Accounting Specialist"/>
    <x v="11"/>
    <s v="Accounting Solutions and Process Development Department"/>
    <s v="Digital Accounting &amp; Process Design"/>
    <s v="Resignation"/>
    <s v="16525 Ms.Sukanya Wutipappinyo"/>
    <x v="0"/>
    <x v="0"/>
    <s v="Completed"/>
    <s v="Feb 24, 2025"/>
    <s v="May 9, 2025"/>
    <x v="38"/>
    <n v="31"/>
    <x v="1"/>
    <s v="21-45 Days"/>
    <s v="Internal Recruitmant : subcontract 16660_x000a__x000a_16675 Mr.pongsatorn wongprasertkul"/>
    <x v="1"/>
    <s v="5. Effective"/>
    <m/>
    <s v="https://drive.google.com/file/d/1TGHM9E9z5TjH-395KmCtFK8i92AZZfsd/view?usp=drive_link"/>
    <s v="Both"/>
    <x v="0"/>
  </r>
  <r>
    <m/>
    <n v="2025"/>
    <s v="Feb"/>
    <x v="1"/>
    <x v="28"/>
    <s v="พนักงานธุรการขาย"/>
    <x v="19"/>
    <s v="Northern Region Sales Office"/>
    <s v="Business Intelligence"/>
    <s v="Resignation"/>
    <s v="Patcharaporn Hengbanpaew"/>
    <x v="2"/>
    <x v="1"/>
    <s v="Not Completed"/>
    <s v="Feb 24, 2025"/>
    <s v="Apr 8, 2025"/>
    <x v="39"/>
    <n v="193"/>
    <x v="0"/>
    <s v="45 Days Up"/>
    <m/>
    <x v="1"/>
    <s v="Pending"/>
    <m/>
    <s v="https://drive.google.com/file/d/1V3OLvfaJcIiG920KYVyfGmM1KaN1lPJm/view?usp=drive_link"/>
    <s v="Both"/>
    <x v="1"/>
  </r>
  <r>
    <s v="Fang "/>
    <n v="2025"/>
    <s v="Apr"/>
    <x v="1"/>
    <x v="0"/>
    <s v="Overseas Service Engineer"/>
    <x v="7"/>
    <s v="Overseas service operation"/>
    <s v="Overseas Service"/>
    <s v="Rotation"/>
    <s v="_x000a_16122 Ms.Amphawa Thamudomporn"/>
    <x v="1"/>
    <x v="0"/>
    <s v="Completed"/>
    <s v="Apr 24, 2025"/>
    <s v="Jun 11, 2025"/>
    <x v="0"/>
    <n v="27"/>
    <x v="1"/>
    <s v="21-45 Days"/>
    <s v="กฤษกร กุฎีศรี"/>
    <x v="1"/>
    <s v="5. Effective"/>
    <s v="Jul1,2025"/>
    <s v="https://docs.google.com/spreadsheets/d/1chBaBm3AYxAEAsZgHrMx7f2o78JGORqe/edit?usp=drive_link&amp;ouid=113372659808018680616&amp;rtpof=true&amp;sd=true"/>
    <s v="Both"/>
    <x v="0"/>
  </r>
  <r>
    <s v="Fang "/>
    <n v="2025"/>
    <s v="Feb"/>
    <x v="1"/>
    <x v="29"/>
    <s v="พนักงานคลังสินค้า"/>
    <x v="3"/>
    <s v="Parts Distribution Department"/>
    <s v="Inventory Control"/>
    <s v="Resignation"/>
    <s v="11306 Mr.Kraimit Kodpromma"/>
    <x v="2"/>
    <x v="0"/>
    <s v="Completed"/>
    <s v="Feb 24, 2025"/>
    <s v="Apr 8, 2025"/>
    <x v="40"/>
    <n v="2"/>
    <x v="1"/>
    <s v="1-10 Days"/>
    <s v="Internal Recruitment : SKN032_x000a_Miss.Chutimaporn Buachumsuk"/>
    <x v="1"/>
    <s v="5. Effective"/>
    <m/>
    <s v="https://drive.google.com/file/d/1NlEf6VSOh-Qu1rz8C0Z11t80_eFn6DWS/view?usp=drive_link"/>
    <s v="Both"/>
    <x v="0"/>
  </r>
  <r>
    <m/>
    <n v="2025"/>
    <s v="Feb"/>
    <x v="0"/>
    <x v="30"/>
    <s v="Engineering Assistant"/>
    <x v="17"/>
    <s v="Project Management Engineering Department"/>
    <s v="Amata City - Process Development"/>
    <s v="New Model"/>
    <s v="Request KOSEN O-level"/>
    <x v="2"/>
    <x v="0"/>
    <s v="Not Completed"/>
    <s v="Feb 25, 2025"/>
    <s v="Apr 9, 2025"/>
    <x v="41"/>
    <n v="192"/>
    <x v="0"/>
    <s v="45 Days Up"/>
    <s v="Hold"/>
    <x v="4"/>
    <s v="Pending"/>
    <m/>
    <m/>
    <s v="External Only"/>
    <x v="1"/>
  </r>
  <r>
    <s v="Fang "/>
    <n v="2025"/>
    <s v="Feb"/>
    <x v="1"/>
    <x v="30"/>
    <s v="Engineering Assistant"/>
    <x v="17"/>
    <s v="Project Management Engineering Department"/>
    <s v="Navanakorn - Engineering Project"/>
    <s v="New Model"/>
    <s v="Request KOSEN O-level"/>
    <x v="2"/>
    <x v="0"/>
    <s v="Completed"/>
    <s v="Feb 26, 2025"/>
    <s v="Apr 10, 2025"/>
    <x v="41"/>
    <n v="28"/>
    <x v="1"/>
    <s v="21-45 Days"/>
    <s v="Nichaphat Ninrahat"/>
    <x v="5"/>
    <s v="3. Medical Health Check Up"/>
    <m/>
    <m/>
    <s v="External Only"/>
    <x v="2"/>
  </r>
  <r>
    <m/>
    <n v="2025"/>
    <s v="Mar"/>
    <x v="0"/>
    <x v="0"/>
    <s v="Puchasing Engineer"/>
    <x v="1"/>
    <s v="Purchasing 1 Department"/>
    <s v="Purchasing - 1A"/>
    <s v="Rotation"/>
    <s v="14246 Mr.Phuwin Vasuvat &gt; LTR ( New Model ) eff 1/4/2025"/>
    <x v="1"/>
    <x v="0"/>
    <s v="Completed"/>
    <s v="Mar 17, 2025"/>
    <s v="May 9, 2025"/>
    <x v="42"/>
    <n v="19"/>
    <x v="1"/>
    <s v="11-20 Days"/>
    <s v="Mr.Pongpop Damthong"/>
    <x v="2"/>
    <s v="5. Effective"/>
    <m/>
    <m/>
    <s v="Both"/>
    <x v="0"/>
  </r>
  <r>
    <s v="Fang "/>
    <n v="2025"/>
    <s v="Mar"/>
    <x v="1"/>
    <x v="30"/>
    <s v="Engineering Assistant"/>
    <x v="8"/>
    <s v="Engine &amp; Hay baler Production Department"/>
    <s v="Production Support"/>
    <s v="Retirement"/>
    <s v="Request KOSEN O-level : _x000a_11019 Mr.Panet Komol"/>
    <x v="2"/>
    <x v="0"/>
    <s v="Not Completed"/>
    <s v="Mar 18, 2025"/>
    <s v="May 13, 2025"/>
    <x v="41"/>
    <n v="177"/>
    <x v="0"/>
    <s v="45 Days Up"/>
    <s v="Hold"/>
    <x v="4"/>
    <s v="Pending"/>
    <m/>
    <m/>
    <s v="External Only"/>
    <x v="1"/>
  </r>
  <r>
    <m/>
    <n v="2025"/>
    <s v="Mar"/>
    <x v="1"/>
    <x v="30"/>
    <s v="Engineering Assistant"/>
    <x v="17"/>
    <s v="Project Management Engineering Department"/>
    <s v="Navanakorn Process Development"/>
    <s v="New Model"/>
    <m/>
    <x v="2"/>
    <x v="0"/>
    <s v="Not Completed"/>
    <m/>
    <m/>
    <x v="36"/>
    <n v="2"/>
    <x v="1"/>
    <m/>
    <m/>
    <x v="4"/>
    <m/>
    <m/>
    <m/>
    <m/>
    <x v="3"/>
  </r>
  <r>
    <m/>
    <n v="2025"/>
    <s v="Mar"/>
    <x v="1"/>
    <x v="30"/>
    <s v="Engineering Assistant"/>
    <x v="17"/>
    <s v="Project Management Engineering Department"/>
    <s v="Navanakorn - Engineering Project"/>
    <s v="New Model"/>
    <m/>
    <x v="2"/>
    <x v="0"/>
    <s v="Not Completed"/>
    <m/>
    <m/>
    <x v="36"/>
    <n v="2"/>
    <x v="1"/>
    <m/>
    <m/>
    <x v="4"/>
    <m/>
    <m/>
    <m/>
    <m/>
    <x v="3"/>
  </r>
  <r>
    <s v="Fang "/>
    <n v="2025"/>
    <s v="Mar"/>
    <x v="1"/>
    <x v="30"/>
    <s v="Engineering Assistant"/>
    <x v="8"/>
    <s v="Navanakorn Production Planning &amp; Control Department"/>
    <s v="Navanakorn Distribution Center"/>
    <s v="Retirement"/>
    <s v="Request KOSEN O-level : _x000a_10969 Mr.Somchit Khampha"/>
    <x v="2"/>
    <x v="0"/>
    <s v="Not Completed"/>
    <s v="Mar 19, 2025"/>
    <s v="May 14, 2025"/>
    <x v="41"/>
    <n v="176"/>
    <x v="0"/>
    <s v="45 Days Up"/>
    <s v="Hold"/>
    <x v="4"/>
    <s v="Pending"/>
    <m/>
    <m/>
    <s v="External Only"/>
    <x v="1"/>
  </r>
  <r>
    <m/>
    <n v="2025"/>
    <s v="Mar"/>
    <x v="0"/>
    <x v="0"/>
    <s v="Purchasing Engineer"/>
    <x v="1"/>
    <s v="Product Purchasing and Administration Department"/>
    <s v="Product Purchasing"/>
    <s v="Rotation"/>
    <s v="12855 Mr.Teerapat Tanchai &gt; N-PPC_x000a_replace 10924 Ms.Hathaichanok Pattanavittayakul"/>
    <x v="1"/>
    <x v="0"/>
    <s v="Completed"/>
    <s v="Mar 17, 2025"/>
    <s v="May 9, 2025"/>
    <x v="42"/>
    <n v="19"/>
    <x v="1"/>
    <s v="11-20 Days"/>
    <s v="Mr.Phuwanet Malithong"/>
    <x v="2"/>
    <s v="5. Effective"/>
    <m/>
    <m/>
    <s v="External Only"/>
    <x v="0"/>
  </r>
  <r>
    <s v="Fang "/>
    <n v="2025"/>
    <s v="Mar"/>
    <x v="1"/>
    <x v="11"/>
    <s v="financial analyst"/>
    <x v="11"/>
    <s v="Finance &amp; Credit Department"/>
    <s v="Finance Planning and Analysis"/>
    <s v="Resignation"/>
    <s v="15849 Kornchanok Sawangwong"/>
    <x v="0"/>
    <x v="0"/>
    <s v="Completed"/>
    <s v="Mar 17, 2025"/>
    <s v="Jun 2, 2025"/>
    <x v="43"/>
    <n v="19"/>
    <x v="1"/>
    <s v="11-20 Days"/>
    <s v="Ms.Kittiya Mahavorasirikul"/>
    <x v="6"/>
    <s v="5. Effective"/>
    <s v="Nov16,2025"/>
    <s v="https://docs.google.com/spreadsheets/d/1aHLhAlWuDGG2WI3jpvjj65Jl7Y_THUXm/edit?gid=1550615610#gid=1550615610"/>
    <s v="Both"/>
    <x v="0"/>
  </r>
  <r>
    <s v="Fang "/>
    <n v="2025"/>
    <s v="Mar"/>
    <x v="1"/>
    <x v="31"/>
    <s v="ช่างเทคนิคบริการ(กระบี่)"/>
    <x v="7"/>
    <s v="Domestic After - Sales Service Department"/>
    <s v="Central and Southern Region After Sales"/>
    <s v="Resignation"/>
    <s v="15525 Tanawit Mingkhamloed"/>
    <x v="2"/>
    <x v="0"/>
    <s v="Completed"/>
    <s v="Mar 17, 2025"/>
    <s v="May 9, 2025"/>
    <x v="0"/>
    <n v="48"/>
    <x v="0"/>
    <s v="45 Days Up"/>
    <s v="มุกต์นริน อนันตทวีกุล"/>
    <x v="6"/>
    <s v="5. Effective"/>
    <s v="Jul 16, 2025"/>
    <s v="https://drive.google.com/file/d/11ibyxAEeHgwosfmgXXVmP2FFTW_ap_z9/view?usp=drive_link"/>
    <s v="Both"/>
    <x v="0"/>
  </r>
  <r>
    <s v="Fang "/>
    <n v="2025"/>
    <s v="Mar"/>
    <x v="1"/>
    <x v="32"/>
    <s v="Data Analyst"/>
    <x v="3"/>
    <s v="Parts Planning &amp; Development Department"/>
    <m/>
    <s v="Rotation"/>
    <s v="15555 : นัฐพล กองเงินงาม"/>
    <x v="1"/>
    <x v="0"/>
    <s v="Completed"/>
    <s v="Mar 24, 2025"/>
    <s v="May 19, 2025"/>
    <x v="44"/>
    <n v="20"/>
    <x v="1"/>
    <s v="11-20 Days"/>
    <s v="Kittapad Meesonk"/>
    <x v="6"/>
    <s v="5. Effective"/>
    <m/>
    <s v="https://drive.google.com/file/d/1uCQUCsYSbjQgXgAgS0K7rp8kWJ5_9bSW/view?usp=drive_link"/>
    <m/>
    <x v="0"/>
  </r>
  <r>
    <m/>
    <n v="2025"/>
    <s v="Apr"/>
    <x v="0"/>
    <x v="33"/>
    <s v="Safety Officer"/>
    <x v="2"/>
    <s v="Safety and Occupational Health Department"/>
    <s v="Amata City Safety and Occupational Health"/>
    <s v="Retirement"/>
    <s v="13856 Mr.Phichet Meesommut eff 1/1/2026"/>
    <x v="1"/>
    <x v="0"/>
    <s v="Completed"/>
    <s v="Apr 24, 2025"/>
    <s v="Jun 11, 2025"/>
    <x v="45"/>
    <n v="16"/>
    <x v="1"/>
    <s v="11-20 Days"/>
    <s v="Gewarin"/>
    <x v="0"/>
    <s v="5. Effective"/>
    <m/>
    <m/>
    <s v="External Only"/>
    <x v="0"/>
  </r>
  <r>
    <m/>
    <n v="2025"/>
    <s v="Apr"/>
    <x v="0"/>
    <x v="0"/>
    <s v="Production Development"/>
    <x v="13"/>
    <s v="Combine Harvester Production Department"/>
    <s v="Production Development - Welding and Painting"/>
    <s v="Resignation"/>
    <s v="16173 Mr.Pongsakon Yanakho eff 1/4/2025"/>
    <x v="1"/>
    <x v="0"/>
    <s v="Completed"/>
    <s v="Apr 24, 2025"/>
    <s v="Jun 11, 2025"/>
    <x v="46"/>
    <n v="0"/>
    <x v="1"/>
    <s v="45 Days Up"/>
    <s v="Internal Recruitment _x000a_16179 Mr.Chareef Jeaputea (APQP)"/>
    <x v="1"/>
    <s v="5. Effective"/>
    <m/>
    <m/>
    <s v="Both"/>
    <x v="0"/>
  </r>
  <r>
    <m/>
    <n v="2025"/>
    <s v="Apr"/>
    <x v="0"/>
    <x v="0"/>
    <s v="Advance Product Quality Planning Engineer"/>
    <x v="1"/>
    <s v="Advance Product Quality Planning Department"/>
    <s v="New Model Managament"/>
    <s v="Rotation"/>
    <s v="16179 Mr.Chareef Jeaputea &gt; CH"/>
    <x v="1"/>
    <x v="0"/>
    <s v="Completed"/>
    <s v="Apr 24, 2025"/>
    <s v="Jun 11, 2025"/>
    <x v="47"/>
    <n v="45"/>
    <x v="0"/>
    <s v="21-45 Days"/>
    <s v="Mr.Siwat Liampipat"/>
    <x v="3"/>
    <s v="5. Effective"/>
    <m/>
    <m/>
    <s v="Both"/>
    <x v="0"/>
  </r>
  <r>
    <s v="Fang "/>
    <n v="2025"/>
    <s v="Apr"/>
    <x v="1"/>
    <x v="34"/>
    <s v="Sales Executive (Domestic Parts Sales &amp; Marketing Parts)"/>
    <x v="3"/>
    <s v="Domestic Parts Sales &amp; Marketing Department"/>
    <s v="Central and Southern Region After Sales"/>
    <s v="Resignation"/>
    <s v="15099 นายบวรเกียรติ นงค์นวล"/>
    <x v="1"/>
    <x v="0"/>
    <s v="Completed"/>
    <s v="Apr 24, 2025"/>
    <s v="Jun 11, 2025"/>
    <x v="48"/>
    <n v="85"/>
    <x v="0"/>
    <s v="45 Days Up"/>
    <s v="Siwat Promput"/>
    <x v="0"/>
    <s v="5. Effective"/>
    <s v="Oct1,2025"/>
    <s v="https://drive.google.com/file/d/1l9Gqd1SeZEsgEi0MltI3355B2Z0cq6Ff/view?usp=sharing"/>
    <s v="Both"/>
    <x v="0"/>
  </r>
  <r>
    <s v="Fang "/>
    <n v="2025"/>
    <s v="Apr"/>
    <x v="1"/>
    <x v="35"/>
    <s v="พนักงานโลจิสติกส์อะไหล่"/>
    <x v="3"/>
    <s v="Parts Distribution Department"/>
    <s v="Parts Logistics"/>
    <s v="Resignation"/>
    <s v="15429 นางสาวขนิษฐา นาสมวงค์"/>
    <x v="2"/>
    <x v="0"/>
    <s v="Completed"/>
    <s v="Apr 24, 2025"/>
    <s v="Jun 11, 2025"/>
    <x v="49"/>
    <n v="32"/>
    <x v="0"/>
    <s v="21-45 Days"/>
    <s v="MAN014 วุฒิชัย นาโส"/>
    <x v="1"/>
    <s v="5. Effective"/>
    <m/>
    <s v="https://drive.google.com/file/d/1CrvSiPrTONug5P6cpZ3nXjW74BO-ghcI/view?usp=drive_link"/>
    <s v="Both"/>
    <x v="0"/>
  </r>
  <r>
    <s v="Fang "/>
    <n v="2025"/>
    <s v="Apr"/>
    <x v="1"/>
    <x v="20"/>
    <s v="System Analyst"/>
    <x v="0"/>
    <s v="Customer Success System Department"/>
    <s v="Service Sales Solutions"/>
    <s v="Rotation"/>
    <s v="16156 นายสิรวิชญ์ จันทรทรัพย์ (Internal Recruit)"/>
    <x v="0"/>
    <x v="0"/>
    <s v="Completed"/>
    <s v="Apr 24, 2025"/>
    <s v="Jul 2, 2025"/>
    <x v="50"/>
    <n v="56"/>
    <x v="0"/>
    <s v="45 Days Up"/>
    <s v="Thanapat Butsai"/>
    <x v="0"/>
    <s v="5. Effective"/>
    <s v="Aug1,2025"/>
    <s v="https://drive.google.com/file/d/1aozV65jytHHxTbUEhz7zv_pqjmuTe5pn/view?usp=sharing"/>
    <s v="Both"/>
    <x v="0"/>
  </r>
  <r>
    <s v="Fang "/>
    <n v="2025"/>
    <s v="Apr"/>
    <x v="1"/>
    <x v="36"/>
    <s v="พนักงานประสานงานบริการ(สุราษฎร์ธานี)"/>
    <x v="7"/>
    <s v="Domestic After - Sales Service Department"/>
    <s v="Central and Southern Region After Sales"/>
    <s v="Resignation"/>
    <s v="_x000a_12217 นางสาวพัชรากร จันทเวช"/>
    <x v="2"/>
    <x v="0"/>
    <s v="Completed"/>
    <s v="Apr 24, 2025"/>
    <s v="Jun 11, 2025"/>
    <x v="51"/>
    <n v="47"/>
    <x v="0"/>
    <s v="45 Days Up"/>
    <s v="MAN078 พิทยารัตน์ ใจน้อย"/>
    <x v="1"/>
    <s v="5. Effective"/>
    <m/>
    <s v="https://docs.google.com/document/d/1bOS3IhGhwcdruiVXLdxSANPhrghIkO9O/edit"/>
    <s v="Both"/>
    <x v="0"/>
  </r>
  <r>
    <m/>
    <n v="2025"/>
    <s v="May"/>
    <x v="0"/>
    <x v="23"/>
    <s v="Accountant"/>
    <x v="11"/>
    <s v="Amata City Accounting Department"/>
    <s v="Manufacturing Cost Analysis 1"/>
    <s v="Resignation"/>
    <s v="16007 Ms.Suttida Boonyamarn"/>
    <x v="0"/>
    <x v="0"/>
    <s v="Completed"/>
    <s v="May 15, 2025"/>
    <s v="Jul 21, 2025"/>
    <x v="52"/>
    <n v="3"/>
    <x v="1"/>
    <s v="1-10 Days"/>
    <s v="Mr. Sorawit Jaenraluek"/>
    <x v="0"/>
    <s v="5. Effective"/>
    <s v="Jul 1, 2025"/>
    <m/>
    <s v="External Only"/>
    <x v="0"/>
  </r>
  <r>
    <m/>
    <n v="2025"/>
    <s v="May"/>
    <x v="0"/>
    <x v="23"/>
    <s v="Accountant"/>
    <x v="11"/>
    <s v="Amata City Accounting Department"/>
    <s v="Manufacturing Cost Analysis 1"/>
    <s v="Resignation"/>
    <s v="15432 Ms.Nujarin Inta"/>
    <x v="0"/>
    <x v="0"/>
    <s v="Not Completed"/>
    <s v="May 15, 2025"/>
    <s v="Jul 21, 2025"/>
    <x v="36"/>
    <n v="145"/>
    <x v="0"/>
    <s v="45 Days Up"/>
    <m/>
    <x v="4"/>
    <m/>
    <m/>
    <m/>
    <s v="External Only"/>
    <x v="4"/>
  </r>
  <r>
    <s v="Fang "/>
    <n v="2025"/>
    <s v="Jun"/>
    <x v="1"/>
    <x v="15"/>
    <s v="Data Analyst"/>
    <x v="4"/>
    <s v="Data Driven Business"/>
    <s v="Data Analytic"/>
    <s v="Replace:Other"/>
    <s v="แทน พนักงานรับทุนและโอนย้ายมาสังกัด HR Mr.Supanat"/>
    <x v="1"/>
    <x v="0"/>
    <s v="Completed"/>
    <s v="Jun 9, 2025"/>
    <s v="Jul 22, 2025"/>
    <x v="53"/>
    <n v="83"/>
    <x v="0"/>
    <s v="45 Days Up"/>
    <s v="Rachata Watcharopas"/>
    <x v="6"/>
    <s v="5. Effective"/>
    <s v="Nov16,2025"/>
    <s v="https://drive.google.com/file/d/1rHRkIwAFgJXS0ceZm5ffJUau3wtBRWYN/view?usp=drive_link"/>
    <s v="Both"/>
    <x v="0"/>
  </r>
  <r>
    <s v="Fang "/>
    <n v="2025"/>
    <s v="May"/>
    <x v="1"/>
    <x v="37"/>
    <s v="Event Management"/>
    <x v="10"/>
    <s v="Corporate Branding Management Department"/>
    <s v="Event Management"/>
    <s v="Resignation"/>
    <s v="21038 นายชัชวาลย์ รอดวิหก"/>
    <x v="0"/>
    <x v="0"/>
    <s v="Completed"/>
    <s v="May 15, 2025"/>
    <s v="Jul 21, 2025"/>
    <x v="54"/>
    <n v="119"/>
    <x v="0"/>
    <s v="45 Days Up"/>
    <s v="Kantima Parithammang"/>
    <x v="0"/>
    <m/>
    <m/>
    <s v="https://drive.google.com/file/d/1aHsSyZJW4T8HVArlzAfdCDJcdV9LYzDr/view?usp=drive_link"/>
    <s v="Both"/>
    <x v="2"/>
  </r>
  <r>
    <s v="Fang "/>
    <n v="2025"/>
    <s v="May"/>
    <x v="1"/>
    <x v="38"/>
    <s v="Service Creativity Executive"/>
    <x v="7"/>
    <s v="Service Value Creation Department"/>
    <s v="Service Creativity"/>
    <s v="Replace:Other"/>
    <s v="16254 นางสาวขวัญกมล จันทร"/>
    <x v="1"/>
    <x v="0"/>
    <s v="Completed"/>
    <s v="May 15, 2025"/>
    <s v="Jun 27, 2025"/>
    <x v="0"/>
    <n v="15"/>
    <x v="1"/>
    <s v="11-20 Days"/>
    <s v="16023 กุลธิดา เสมอภาค"/>
    <x v="1"/>
    <s v="5. Effective"/>
    <s v="Aug16,2025"/>
    <s v="https://drive.google.com/file/d/1OBMtN3qXJpRd52UgT26UQteo2P-LE1ox/view?usp=drive_link"/>
    <s v="Both"/>
    <x v="0"/>
  </r>
  <r>
    <s v="Fang "/>
    <n v="2025"/>
    <s v="May"/>
    <x v="1"/>
    <x v="0"/>
    <s v="Engineer (Part Supply &amp; Planning )"/>
    <x v="3"/>
    <s v="Parts Planning &amp; Development Department"/>
    <s v="Part Supply &amp;Planning Management"/>
    <s v="Resignation"/>
    <s v="16587 นายพีรวิชช์ ศิริอุดมรัตน์"/>
    <x v="1"/>
    <x v="0"/>
    <s v="Completed"/>
    <s v="May 15, 2025"/>
    <s v="Jun 27, 2025"/>
    <x v="55"/>
    <n v="58"/>
    <x v="0"/>
    <s v="45 Days Up"/>
    <s v="Yonlada Pratum"/>
    <x v="6"/>
    <s v="5. Effective"/>
    <s v="Oct16,2025"/>
    <s v="https://drive.google.com/file/d/1dK1HkDKkkPDy-0mz8K7jzSwGhuXvdSjN/view?usp=drive_link"/>
    <s v="Both"/>
    <x v="0"/>
  </r>
  <r>
    <s v="Fang "/>
    <n v="2025"/>
    <s v="May"/>
    <x v="1"/>
    <x v="39"/>
    <s v="Digital Communication (Martech Skill)"/>
    <x v="9"/>
    <s v="Marketing Communication Department"/>
    <s v="Digital Communication"/>
    <s v="Rotation"/>
    <s v="อนุตตรา เจริญจิตร &gt; KIN"/>
    <x v="0"/>
    <x v="0"/>
    <s v="Completed"/>
    <s v="May 15, 2025"/>
    <s v="Jul 21, 2025"/>
    <x v="56"/>
    <n v="105"/>
    <x v="0"/>
    <s v="45 Days Up"/>
    <s v="Anunya Karnjanakan"/>
    <x v="3"/>
    <s v="5. Effective"/>
    <s v="Nov16,2025"/>
    <s v="https://docs.google.com/document/d/1RtLdxAdqu32_p7h_LIHGOk9zV0IAlru-/edit?usp=drive_link&amp;ouid=113372659808018680616&amp;rtpof=true&amp;sd=true"/>
    <s v="External Only"/>
    <x v="0"/>
  </r>
  <r>
    <s v="Fang "/>
    <n v="2025"/>
    <s v="Nov"/>
    <x v="1"/>
    <x v="40"/>
    <s v="Credit Analyst"/>
    <x v="11"/>
    <s v="Finance &amp; Credit Development"/>
    <s v="Credit Management"/>
    <s v="Rotation"/>
    <s v="15166 Ms.Khwanjira Chuaytanee"/>
    <x v="0"/>
    <x v="0"/>
    <s v="Not Completed"/>
    <s v="Jan 12, 2026"/>
    <s v="Jan 9, 2026"/>
    <x v="36"/>
    <n v="33"/>
    <x v="1"/>
    <s v="21-45 Days"/>
    <m/>
    <x v="4"/>
    <m/>
    <m/>
    <s v="https://drive.google.com/file/d/1isYra9fcCWkEs_QHUdADkRoglQNdCi3W/view?usp=drive_link"/>
    <s v="External Only"/>
    <x v="5"/>
  </r>
  <r>
    <s v="Fang "/>
    <n v="2025"/>
    <s v="Jul"/>
    <x v="1"/>
    <x v="27"/>
    <s v="Digital Accounting Specialist"/>
    <x v="11"/>
    <s v="Accounting Solutions and Process Development Department"/>
    <s v="Digital Accounting &amp; Process Design"/>
    <s v="Resignation"/>
    <s v="Rotation &gt;Supannee"/>
    <x v="0"/>
    <x v="0"/>
    <s v="Completed"/>
    <s v="Jul 22, 2025"/>
    <s v="Oct 1, 2025"/>
    <x v="43"/>
    <n v="64"/>
    <x v="0"/>
    <s v="45 Days Up"/>
    <s v="Weerawong"/>
    <x v="6"/>
    <s v="5. Effective"/>
    <s v="Nov1,2025"/>
    <s v="https://drive.google.com/file/d/1tJMJmi3PRatjaWSP2hYxDM0SQQf9d4Ef/view?usp=drive_link"/>
    <s v="Both"/>
    <x v="0"/>
  </r>
  <r>
    <m/>
    <n v="2025"/>
    <s v="Jun"/>
    <x v="0"/>
    <x v="41"/>
    <s v="Software Developer"/>
    <x v="0"/>
    <s v="Digital Enterprise System Department"/>
    <s v="Manufacturing Software Development"/>
    <s v="Resignation"/>
    <s v="16382 Ms.Namthip Saikampha"/>
    <x v="0"/>
    <x v="0"/>
    <s v="Completed"/>
    <s v="Jun 17, 2025"/>
    <s v="Aug 28, 2025"/>
    <x v="57"/>
    <n v="7"/>
    <x v="1"/>
    <s v="1-10 Days"/>
    <s v="Kawin K."/>
    <x v="6"/>
    <s v="5. Effective"/>
    <s v="Jul 16, 2025"/>
    <m/>
    <s v="Both"/>
    <x v="0"/>
  </r>
  <r>
    <s v="Fang "/>
    <n v="2025"/>
    <s v="Jun"/>
    <x v="1"/>
    <x v="0"/>
    <s v="Maintenance Engineer"/>
    <x v="17"/>
    <s v="Navanakorn Production Engineering Department"/>
    <s v="Maintenance"/>
    <s v="Rotation"/>
    <s v="16579 Mr.Kritsakorn Kudeesri &gt; Overseas Service eff 1/7/2025"/>
    <x v="1"/>
    <x v="0"/>
    <s v="Completed"/>
    <s v="Jun 9, 2025"/>
    <s v="Jul 22, 2025"/>
    <x v="58"/>
    <n v="30"/>
    <x v="1"/>
    <s v="21-45 Days"/>
    <s v="Pichet Palrat"/>
    <x v="6"/>
    <s v="5. Effective"/>
    <s v="Aug 16, 2025"/>
    <m/>
    <s v="Both"/>
    <x v="0"/>
  </r>
  <r>
    <s v="Fang "/>
    <n v="2025"/>
    <s v="Jun"/>
    <x v="1"/>
    <x v="42"/>
    <s v="System Developer"/>
    <x v="0"/>
    <s v="Customer Success System Department"/>
    <s v="Customer Experience system"/>
    <s v="Resignation"/>
    <s v="15441 Piyaphat Namatra"/>
    <x v="0"/>
    <x v="0"/>
    <s v="Completed"/>
    <s v="Jun 9, 2025"/>
    <s v="Aug 20, 2025"/>
    <x v="49"/>
    <n v="4"/>
    <x v="1"/>
    <s v="1-10 Days"/>
    <s v="Mr.Peerapat Pakdeepong"/>
    <x v="6"/>
    <s v="5. Effective"/>
    <m/>
    <s v="https://docs.google.com/document/d/1_3F0FfODK0sEYsUt35QWr17G1c9pnsBc/edit?usp=drive_link&amp;ouid=113372659808018680616&amp;rtpof=true&amp;sd=true"/>
    <m/>
    <x v="0"/>
  </r>
  <r>
    <s v="Fang "/>
    <n v="2025"/>
    <s v="Jun"/>
    <x v="1"/>
    <x v="43"/>
    <s v="Inventory Strategy &amp; Data Analyst"/>
    <x v="3"/>
    <s v="Parts Distribution Department"/>
    <s v="Inventory Control"/>
    <s v="Rotation"/>
    <s v="กุลธิดา เสมอภาค (Internal Recruit)"/>
    <x v="0"/>
    <x v="0"/>
    <s v="Completed"/>
    <s v="Jun 27, 2025"/>
    <s v="Sep 9, 2025"/>
    <x v="59"/>
    <n v="33"/>
    <x v="1"/>
    <s v="21-45 Days"/>
    <s v="Paphitchaya Arammuang"/>
    <x v="6"/>
    <s v="5. Effective"/>
    <s v="Oct1,2025"/>
    <s v="https://drive.google.com/file/d/1_2Oks0YcbDwHO-OhZbPfQI4PeKB9IicX/view?usp=sharing"/>
    <s v="Both"/>
    <x v="0"/>
  </r>
  <r>
    <s v="Fang "/>
    <n v="2025"/>
    <s v="Aug"/>
    <x v="1"/>
    <x v="44"/>
    <s v="Overseas Smart Contact Center and Privilege Executive"/>
    <x v="4"/>
    <s v="Customer Relationship Management Department"/>
    <s v="Overseas Smart Contact Center &amp; Privilege"/>
    <s v="Rotation"/>
    <s v="15364 นางสาวธนสกล สัตย์ชาพงษ์ (Internal Recruit)"/>
    <x v="0"/>
    <x v="0"/>
    <s v="Completed"/>
    <s v="Aug 6, 2025"/>
    <s v="Oct 16, 2025"/>
    <x v="60"/>
    <n v="26"/>
    <x v="1"/>
    <s v="21-45 Days"/>
    <s v="Chidapa"/>
    <x v="5"/>
    <s v="5. Effective"/>
    <s v="Nov1,2025"/>
    <s v="https://docs.google.com/document/d/1F_Pj62cX04Gyn-rq7K1n_rcCit3gaMLD/edit?usp=drive_link&amp;ouid=113372659808018680616&amp;rtpof=true&amp;sd=true"/>
    <s v="Both"/>
    <x v="0"/>
  </r>
  <r>
    <s v="Fang "/>
    <n v="2025"/>
    <s v="Jul"/>
    <x v="1"/>
    <x v="38"/>
    <s v="Service Creativity Executive"/>
    <x v="7"/>
    <s v="Service Value Creation Department"/>
    <s v="Service Creativity"/>
    <s v="Resignation"/>
    <s v="16616 นางสาวผกามาส มีแจ้ง"/>
    <x v="1"/>
    <x v="0"/>
    <s v="Completed"/>
    <s v="Jul 21, 2025"/>
    <s v="Sep 9, 2025"/>
    <x v="61"/>
    <n v="-2"/>
    <x v="1"/>
    <s v="45 Days Up"/>
    <s v="Wimonnat Sukchuay"/>
    <x v="6"/>
    <s v="5. Effective"/>
    <s v="Sep1,2025"/>
    <s v="https://drive.google.com/file/d/1OrsskgKrYrn5Wzq3BWjUO2LFuGxvguhp/view?usp=drive_link"/>
    <s v="Both"/>
    <x v="0"/>
  </r>
  <r>
    <s v="Fang "/>
    <n v="2025"/>
    <s v="Aug"/>
    <x v="1"/>
    <x v="45"/>
    <s v="Engineer (Product Development)"/>
    <x v="9"/>
    <s v="Product Development Department"/>
    <s v="Tractor &amp; Implement"/>
    <s v="Resignation"/>
    <s v="16657 นายณัฐพล เอียดแก้ว"/>
    <x v="1"/>
    <x v="0"/>
    <s v="Completed"/>
    <s v="Aug 1, 2025"/>
    <s v="Sep 19, 2025"/>
    <x v="62"/>
    <n v="30"/>
    <x v="1"/>
    <s v="21-45 Days"/>
    <s v="Sippavish Thongnoy"/>
    <x v="6"/>
    <s v="5. Effective"/>
    <s v="Sep16,2025"/>
    <m/>
    <s v="Both"/>
    <x v="0"/>
  </r>
  <r>
    <s v="Fang "/>
    <n v="2025"/>
    <s v="Jul"/>
    <x v="1"/>
    <x v="46"/>
    <s v="Senior Overseas Part Sales - Cambodia"/>
    <x v="3"/>
    <s v="Overseas Parts Sales &amp; Marketing Department"/>
    <s v="Cambodia - Parts Sales"/>
    <s v="Resignation"/>
    <s v="_x000a_12109 นายนพดล สร้อยพุก"/>
    <x v="0"/>
    <x v="0"/>
    <s v="Completed"/>
    <s v="Jul 22, 2025"/>
    <s v="Oct 1, 2025"/>
    <x v="63"/>
    <n v="25"/>
    <x v="1"/>
    <s v="21-45 Days"/>
    <m/>
    <x v="1"/>
    <m/>
    <s v="Jan1,2026"/>
    <s v="https://docs.google.com/document/d/1b7nT_OpDBmKRvrXw733g5EBBbarYBgvh/edit?usp=drive_link&amp;ouid=113372659808018680616&amp;rtpof=true&amp;sd=true"/>
    <s v="Internal Only"/>
    <x v="0"/>
  </r>
  <r>
    <s v="Fang "/>
    <n v="2025"/>
    <s v="Jul"/>
    <x v="1"/>
    <x v="47"/>
    <s v="Hold"/>
    <x v="18"/>
    <s v="Navanakorn Human Resources Department"/>
    <s v="General Purchasing"/>
    <s v="Resignation"/>
    <s v="16535 นายภานุพงศ์ นวสุวิศว"/>
    <x v="1"/>
    <x v="1"/>
    <s v="Not Completed"/>
    <s v="Jul 22, 2025"/>
    <s v="Sep 10, 2025"/>
    <x v="58"/>
    <n v="99"/>
    <x v="0"/>
    <s v="45 Days Up"/>
    <m/>
    <x v="4"/>
    <m/>
    <m/>
    <m/>
    <s v="Both"/>
    <x v="1"/>
  </r>
  <r>
    <m/>
    <n v="2025"/>
    <s v="Jul"/>
    <x v="0"/>
    <x v="0"/>
    <s v="Environmental Engineer"/>
    <x v="2"/>
    <s v="Environment Department"/>
    <s v="Amata City Environment"/>
    <s v="Resignation"/>
    <s v="16465 นายภควัต สุดตาสอน"/>
    <x v="1"/>
    <x v="0"/>
    <s v="Completed"/>
    <s v="Jul 22, 2025"/>
    <s v="Sep 10, 2025"/>
    <x v="64"/>
    <n v="24"/>
    <x v="1"/>
    <s v="21-45 Days"/>
    <s v="Ms. Issariya Pongsapaktrakul"/>
    <x v="6"/>
    <m/>
    <s v="Oct1,2025"/>
    <m/>
    <s v="External Only"/>
    <x v="0"/>
  </r>
  <r>
    <s v="Fang "/>
    <n v="2025"/>
    <s v="Aug"/>
    <x v="1"/>
    <x v="48"/>
    <s v="Carbon Neutrality Business Executive"/>
    <x v="10"/>
    <s v="Carbon Neutrality Business"/>
    <s v="Carbon Neutrality"/>
    <s v="Resignation"/>
    <s v="16559 นายธนวิชญ์ แซ่ลิ่ม"/>
    <x v="0"/>
    <x v="0"/>
    <s v="Completed"/>
    <s v="Aug 15, 2025"/>
    <s v="Oct 20, 2025"/>
    <x v="65"/>
    <n v="10"/>
    <x v="1"/>
    <s v="1-10 Days"/>
    <s v="Nawachai Klabbankoh"/>
    <x v="6"/>
    <s v="5. Effective"/>
    <s v="Oct1,2025"/>
    <s v="https://drive.google.com/file/d/1AaJOHPyBBUbpDA3h43_H8r1L7-dBERfY/view?usp=drive_link"/>
    <s v="Both"/>
    <x v="0"/>
  </r>
  <r>
    <m/>
    <n v="2025"/>
    <s v="Oct"/>
    <x v="0"/>
    <x v="0"/>
    <s v="Inspection Engineer"/>
    <x v="12"/>
    <s v="Tractor &amp; Implement Inspection Department"/>
    <s v="Support Product Inspection"/>
    <s v="Rotation"/>
    <s v="Internal Recruit from EPID &gt; PME SKCN_x000a_16671 Mr.Todsawat Thavorn"/>
    <x v="1"/>
    <x v="0"/>
    <s v="Completed"/>
    <s v="Oct 27, 2025"/>
    <s v="Dec 9, 2025"/>
    <x v="66"/>
    <n v="18"/>
    <x v="1"/>
    <s v="11-20 Days"/>
    <s v="Mr. Phurin Kaewdee (แต่ไม่ได้มาเริ่มงาน เนื่องจากมีการให้ยกเลิกการรับคน)"/>
    <x v="4"/>
    <m/>
    <m/>
    <m/>
    <s v="Both"/>
    <x v="2"/>
  </r>
  <r>
    <s v="Fang "/>
    <n v="2025"/>
    <s v="Sep"/>
    <x v="1"/>
    <x v="42"/>
    <s v="System Developer"/>
    <x v="0"/>
    <s v="Customer Success System Department"/>
    <s v="Customer Experience system"/>
    <s v="Resignation"/>
    <n v="16697"/>
    <x v="0"/>
    <x v="0"/>
    <s v="Completed"/>
    <s v="Sep 15, 2025"/>
    <s v="Nov 19, 2025"/>
    <x v="36"/>
    <n v="-32751"/>
    <x v="1"/>
    <s v="45 Days Up"/>
    <s v="Thunnavat Chudum"/>
    <x v="6"/>
    <m/>
    <m/>
    <s v="https://docs.google.com/document/d/1_3F0FfODK0sEYsUt35QWr17G1c9pnsBc/edit?usp=drive_link&amp;ouid=113372659808018680616&amp;rtpof=true&amp;sd=true"/>
    <s v="External Only"/>
    <x v="0"/>
  </r>
  <r>
    <s v="Fang "/>
    <n v="2025"/>
    <s v="Aug"/>
    <x v="1"/>
    <x v="15"/>
    <s v="Data Analyst"/>
    <x v="4"/>
    <s v="Data Driven Business"/>
    <s v="Data Analytic"/>
    <s v="Replace:Other"/>
    <s v="16677 นางสาวภัทราภรณ์ หงษ์ร่อน (Probation)"/>
    <x v="1"/>
    <x v="0"/>
    <s v="Completed"/>
    <s v="Aug 15, 2025"/>
    <s v="Sep 26, 2025"/>
    <x v="53"/>
    <n v="40"/>
    <x v="0"/>
    <s v="21-45 Days"/>
    <s v="Peerawat Sritichai"/>
    <x v="6"/>
    <m/>
    <s v="Jan1,2026"/>
    <s v="https://drive.google.com/file/d/1rHRkIwAFgJXS0ceZm5ffJUau3wtBRWYN/view?usp=drive_link"/>
    <s v="Both"/>
    <x v="0"/>
  </r>
  <r>
    <s v="Fang "/>
    <n v="2025"/>
    <s v="Aug"/>
    <x v="1"/>
    <x v="44"/>
    <s v="Overseas Smart Contact Center and Privilege Executive"/>
    <x v="4"/>
    <s v="Customer Relationship Management Department"/>
    <s v="Overseas Smart Contact Center &amp; Privilege"/>
    <s v="Resignation"/>
    <s v="16374 นางสาวปัญชนก ศุภทีปมงคล"/>
    <x v="1"/>
    <x v="0"/>
    <s v="Completed"/>
    <s v="Aug 1, 2025"/>
    <s v="Sep 19, 2025"/>
    <x v="62"/>
    <n v="30"/>
    <x v="1"/>
    <s v="21-45 Days"/>
    <s v="Internal Recruitment _x000a_Ms.Suchawalan Kesvarawech (14205) _x000a_"/>
    <x v="1"/>
    <m/>
    <s v="Jan1,2026"/>
    <s v="https://docs.google.com/document/d/1F_Pj62cX04Gyn-rq7K1n_rcCit3gaMLD/edit?usp=drive_link&amp;ouid=113372659808018680616&amp;rtpof=true&amp;sd=true"/>
    <s v="Both"/>
    <x v="0"/>
  </r>
  <r>
    <s v="Fang "/>
    <n v="2025"/>
    <s v="Jul"/>
    <x v="1"/>
    <x v="45"/>
    <s v="Product Development Engineer"/>
    <x v="9"/>
    <s v="Product Development Department"/>
    <s v="Trading"/>
    <s v="Replace:Other"/>
    <s v="16186 Patcharaporn Hengbanpaew"/>
    <x v="1"/>
    <x v="0"/>
    <s v="Completed"/>
    <s v="Jul 9, 2025"/>
    <s v="Aug 29, 2025"/>
    <x v="67"/>
    <n v="76"/>
    <x v="0"/>
    <s v="45 Days Up"/>
    <s v="Worrapoth Chenvigyakit"/>
    <x v="6"/>
    <m/>
    <m/>
    <s v="https://drive.google.com/file/d/1N1fTDAB8bfifJR2kbSbvGnJsD2GyeoZG/view?usp=drive_link"/>
    <s v="Both"/>
    <x v="2"/>
  </r>
  <r>
    <s v="Fang "/>
    <n v="2025"/>
    <s v="Oct"/>
    <x v="1"/>
    <x v="49"/>
    <s v="Risk Management"/>
    <x v="20"/>
    <s v="Risk Management Department"/>
    <m/>
    <s v="Resignation"/>
    <s v="Ms.Sumavadee Pholset (15929)"/>
    <x v="1"/>
    <x v="0"/>
    <s v="Completed"/>
    <s v="Oct 20, 2025"/>
    <s v="Dec 2, 2025"/>
    <x v="36"/>
    <n v="-32775"/>
    <x v="1"/>
    <s v="45 Days Up"/>
    <s v="Pittayaporn"/>
    <x v="6"/>
    <m/>
    <m/>
    <s v="https://drive.google.com/file/d/1q3AJLodIJDbY6e3kZz7CJDK-VzJ3IpGN/view?usp=drive_link"/>
    <s v="Both"/>
    <x v="2"/>
  </r>
  <r>
    <s v="Fang "/>
    <n v="2025"/>
    <s v="Oct"/>
    <x v="1"/>
    <x v="50"/>
    <s v="พนักงานธุรการ"/>
    <x v="18"/>
    <s v="Navanakorn Administration Department"/>
    <s v="Office Services"/>
    <s v="Retirement"/>
    <s v="Ms.Amorn Savangvong (12064)"/>
    <x v="2"/>
    <x v="0"/>
    <s v="Completed"/>
    <s v="Oct 20, 2025"/>
    <s v="Dec 2, 2025"/>
    <x v="68"/>
    <n v="26"/>
    <x v="1"/>
    <s v="21-45 Days"/>
    <s v="Pharichat Onhom"/>
    <x v="1"/>
    <m/>
    <m/>
    <s v="https://drive.google.com/file/d/1beVYV-HG-0_WY3QyOPihLv9H1X8dzgWK/view?usp=drive_link"/>
    <s v="Internal Only"/>
    <x v="0"/>
  </r>
  <r>
    <s v="Fang "/>
    <n v="2025"/>
    <s v="Sep"/>
    <x v="1"/>
    <x v="51"/>
    <s v="ERP Developer"/>
    <x v="0"/>
    <m/>
    <s v="New Business support"/>
    <s v="Rotation"/>
    <s v="Internal Recruitment _x000a_Ms.Supinya Aiamkanchana (15730) &gt; QA"/>
    <x v="0"/>
    <x v="0"/>
    <s v="Completed"/>
    <s v="Sep 25, 2025"/>
    <s v="Dec 1, 2025"/>
    <x v="28"/>
    <n v="44"/>
    <x v="1"/>
    <s v="21-45 Days"/>
    <s v="Internship Teerakarn Jankhuang"/>
    <x v="5"/>
    <m/>
    <s v="Jan1,2026"/>
    <s v="https://superrecruit.jobtopgun.com/SERC?view=jobpostPreview&amp;idPosition=649"/>
    <s v="Both"/>
    <x v="2"/>
  </r>
  <r>
    <s v="Fang "/>
    <n v="2025"/>
    <s v="Oct"/>
    <x v="1"/>
    <x v="52"/>
    <s v="QA Engineer"/>
    <x v="21"/>
    <s v="CSP Tractor Department"/>
    <s v="Tractor 1"/>
    <s v="Retirement"/>
    <s v="Mr.Nopphadon Wongoat (10752)"/>
    <x v="1"/>
    <x v="0"/>
    <s v="Completed"/>
    <s v="Oct 20, 2025"/>
    <s v="Dec 2, 2025"/>
    <x v="69"/>
    <n v="4"/>
    <x v="1"/>
    <s v="1-10 Days"/>
    <s v="Internal Recruitment _x000a_Ms.Supinya Aiamkanchana (15730)"/>
    <x v="1"/>
    <m/>
    <s v="Jan1,2026"/>
    <s v="https://drive.google.com/file/d/14htK_tKuDRu_SqoIIT0jeD-tRWaKQOgl/view?usp=drive_link"/>
    <s v="External Only"/>
    <x v="0"/>
  </r>
  <r>
    <s v="Fang "/>
    <n v="2025"/>
    <s v="Oct"/>
    <x v="1"/>
    <x v="53"/>
    <s v="ผู้จัดการสหกรณ์"/>
    <x v="18"/>
    <s v="Corporate Human Resources &amp; Administration Department"/>
    <s v="Information System &amp; Operation"/>
    <s v="New Model"/>
    <m/>
    <x v="0"/>
    <x v="0"/>
    <s v="Not Completed"/>
    <s v="Oct 20, 2025"/>
    <s v="Dec 24, 2025"/>
    <x v="36"/>
    <n v="42"/>
    <x v="1"/>
    <s v="21-45 Days"/>
    <m/>
    <x v="4"/>
    <m/>
    <m/>
    <s v="https://drive.google.com/file/d/1b1dP2-a_PNMkPQ3NKa2af5ihVY0iOesy/view?usp=drive_link"/>
    <s v="Both"/>
    <x v="1"/>
  </r>
  <r>
    <s v="Fang "/>
    <n v="2025"/>
    <s v="Sep"/>
    <x v="1"/>
    <x v="0"/>
    <s v="Engineer(Part Supply Planning)"/>
    <x v="3"/>
    <s v="Parts Planning &amp; Development Department"/>
    <s v="Part Supply &amp;Planning Management"/>
    <s v="Rotation"/>
    <s v="Ms.Suchawalan Kesvarawech (14205)"/>
    <x v="1"/>
    <x v="0"/>
    <s v="Completed"/>
    <s v="Oct 20, 2025"/>
    <s v="Dec 2, 2025"/>
    <x v="70"/>
    <n v="39"/>
    <x v="0"/>
    <s v="21-45 Days"/>
    <s v="Ponpimon"/>
    <x v="0"/>
    <m/>
    <m/>
    <s v="https://drive.google.com/file/d/1dK1HkDKkkPDy-0mz8K7jzSwGhuXvdSjN/view?usp=drive_link"/>
    <s v="Both"/>
    <x v="2"/>
  </r>
  <r>
    <m/>
    <n v="2025"/>
    <m/>
    <x v="1"/>
    <x v="23"/>
    <m/>
    <x v="11"/>
    <s v="Accounting Department"/>
    <s v="Reporting &amp; Taxation"/>
    <s v="Resignation"/>
    <m/>
    <x v="0"/>
    <x v="0"/>
    <s v="Not Completed"/>
    <s v="Jan 12, 2026"/>
    <m/>
    <x v="36"/>
    <n v="4"/>
    <x v="1"/>
    <m/>
    <m/>
    <x v="4"/>
    <m/>
    <m/>
    <m/>
    <m/>
    <x v="5"/>
  </r>
  <r>
    <m/>
    <m/>
    <m/>
    <x v="3"/>
    <x v="54"/>
    <m/>
    <x v="22"/>
    <m/>
    <m/>
    <m/>
    <m/>
    <x v="3"/>
    <x v="2"/>
    <m/>
    <m/>
    <m/>
    <x v="36"/>
    <m/>
    <x v="2"/>
    <m/>
    <m/>
    <x v="4"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57A37-89BA-41EA-97E7-EB76344E0B70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51" firstHeaderRow="1" firstDataRow="1" firstDataCol="1" rowPageCount="6" colPageCount="1"/>
  <pivotFields count="27">
    <pivotField showAll="0"/>
    <pivotField showAll="0"/>
    <pivotField showAll="0"/>
    <pivotField axis="axisPage" multipleItemSelectionAllowed="1" showAll="0">
      <items count="5">
        <item x="2"/>
        <item h="1" x="0"/>
        <item x="1"/>
        <item h="1" x="3"/>
        <item t="default"/>
      </items>
    </pivotField>
    <pivotField axis="axisRow" dataField="1" showAll="0" sortType="descending">
      <items count="56">
        <item x="54"/>
        <item x="26"/>
        <item x="29"/>
        <item x="36"/>
        <item x="50"/>
        <item x="28"/>
        <item x="53"/>
        <item x="31"/>
        <item x="25"/>
        <item x="42"/>
        <item x="20"/>
        <item x="22"/>
        <item x="41"/>
        <item x="6"/>
        <item x="38"/>
        <item x="46"/>
        <item x="2"/>
        <item x="34"/>
        <item x="33"/>
        <item x="49"/>
        <item x="47"/>
        <item x="12"/>
        <item x="45"/>
        <item x="32"/>
        <item x="1"/>
        <item x="35"/>
        <item x="44"/>
        <item x="21"/>
        <item x="16"/>
        <item x="7"/>
        <item x="14"/>
        <item x="13"/>
        <item x="4"/>
        <item x="43"/>
        <item x="11"/>
        <item x="18"/>
        <item x="24"/>
        <item x="37"/>
        <item x="51"/>
        <item x="30"/>
        <item x="0"/>
        <item x="39"/>
        <item x="27"/>
        <item x="10"/>
        <item x="8"/>
        <item x="15"/>
        <item x="52"/>
        <item x="40"/>
        <item x="9"/>
        <item x="48"/>
        <item x="5"/>
        <item x="3"/>
        <item x="19"/>
        <item x="17"/>
        <item x="23"/>
        <item t="default"/>
      </items>
    </pivotField>
    <pivotField showAll="0"/>
    <pivotField axis="axisRow" showAll="0" sortType="descending">
      <items count="24">
        <item x="16"/>
        <item x="6"/>
        <item x="7"/>
        <item x="0"/>
        <item x="4"/>
        <item x="20"/>
        <item x="13"/>
        <item x="18"/>
        <item x="12"/>
        <item x="5"/>
        <item x="17"/>
        <item x="8"/>
        <item x="3"/>
        <item x="11"/>
        <item x="15"/>
        <item x="1"/>
        <item x="21"/>
        <item x="2"/>
        <item x="9"/>
        <item x="10"/>
        <item x="19"/>
        <item x="1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5">
        <item x="2"/>
        <item x="1"/>
        <item h="1" x="0"/>
        <item h="1" x="3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axis="axisPage" multipleItemSelectionAllowed="1" showAll="0">
      <items count="72">
        <item x="35"/>
        <item x="42"/>
        <item x="46"/>
        <item x="31"/>
        <item x="41"/>
        <item x="38"/>
        <item x="15"/>
        <item x="59"/>
        <item x="55"/>
        <item x="70"/>
        <item h="1" x="4"/>
        <item h="1" x="16"/>
        <item x="24"/>
        <item x="29"/>
        <item x="25"/>
        <item x="23"/>
        <item x="37"/>
        <item x="40"/>
        <item x="21"/>
        <item x="22"/>
        <item x="10"/>
        <item x="19"/>
        <item x="27"/>
        <item x="7"/>
        <item x="18"/>
        <item x="13"/>
        <item h="1" x="1"/>
        <item h="1" x="20"/>
        <item h="1" x="5"/>
        <item x="50"/>
        <item x="61"/>
        <item x="47"/>
        <item x="58"/>
        <item x="51"/>
        <item x="33"/>
        <item x="49"/>
        <item x="26"/>
        <item x="57"/>
        <item x="0"/>
        <item x="17"/>
        <item x="30"/>
        <item x="2"/>
        <item x="32"/>
        <item x="39"/>
        <item x="6"/>
        <item x="44"/>
        <item x="52"/>
        <item x="45"/>
        <item x="34"/>
        <item x="12"/>
        <item x="54"/>
        <item x="66"/>
        <item x="68"/>
        <item x="28"/>
        <item x="67"/>
        <item h="1" x="14"/>
        <item h="1" x="8"/>
        <item h="1" x="9"/>
        <item h="1" x="11"/>
        <item x="53"/>
        <item x="56"/>
        <item x="69"/>
        <item x="43"/>
        <item h="1" x="3"/>
        <item x="65"/>
        <item x="60"/>
        <item x="62"/>
        <item x="64"/>
        <item x="63"/>
        <item x="48"/>
        <item x="36"/>
        <item t="default"/>
      </items>
    </pivotField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x="0"/>
        <item x="3"/>
        <item x="4"/>
        <item h="1" x="1"/>
        <item x="5"/>
        <item x="2"/>
        <item h="1" x="6"/>
        <item t="default"/>
      </items>
    </pivotField>
  </pivotFields>
  <rowFields count="2">
    <field x="6"/>
    <field x="4"/>
  </rowFields>
  <rowItems count="43">
    <i>
      <x v="2"/>
    </i>
    <i r="1">
      <x v="3"/>
    </i>
    <i r="1">
      <x v="7"/>
    </i>
    <i r="1">
      <x v="14"/>
    </i>
    <i r="1">
      <x v="40"/>
    </i>
    <i>
      <x v="12"/>
    </i>
    <i r="1">
      <x v="2"/>
    </i>
    <i r="1">
      <x v="17"/>
    </i>
    <i r="1">
      <x v="23"/>
    </i>
    <i r="1">
      <x v="25"/>
    </i>
    <i r="1">
      <x v="40"/>
    </i>
    <i>
      <x v="4"/>
    </i>
    <i r="1">
      <x v="26"/>
    </i>
    <i r="1">
      <x v="30"/>
    </i>
    <i r="1">
      <x v="45"/>
    </i>
    <i>
      <x v="19"/>
    </i>
    <i r="1">
      <x v="11"/>
    </i>
    <i r="1">
      <x v="35"/>
    </i>
    <i r="1">
      <x v="48"/>
    </i>
    <i r="1">
      <x v="52"/>
    </i>
    <i r="1">
      <x v="53"/>
    </i>
    <i>
      <x v="10"/>
    </i>
    <i r="1">
      <x v="39"/>
    </i>
    <i r="1">
      <x v="40"/>
    </i>
    <i>
      <x v="9"/>
    </i>
    <i r="1">
      <x v="27"/>
    </i>
    <i r="1">
      <x v="32"/>
    </i>
    <i>
      <x v="18"/>
    </i>
    <i r="1">
      <x v="22"/>
    </i>
    <i>
      <x v="1"/>
    </i>
    <i r="1">
      <x v="8"/>
    </i>
    <i r="1">
      <x v="50"/>
    </i>
    <i>
      <x v="8"/>
    </i>
    <i r="1">
      <x v="40"/>
    </i>
    <i>
      <x v="7"/>
    </i>
    <i r="1">
      <x v="4"/>
    </i>
    <i>
      <x v="5"/>
    </i>
    <i r="1">
      <x v="19"/>
    </i>
    <i>
      <x/>
    </i>
    <i r="1">
      <x v="31"/>
    </i>
    <i>
      <x v="16"/>
    </i>
    <i r="1">
      <x v="46"/>
    </i>
    <i t="grand">
      <x/>
    </i>
  </rowItems>
  <colItems count="1">
    <i/>
  </colItems>
  <pageFields count="6">
    <pageField fld="12" hier="-1"/>
    <pageField fld="16" hier="-1"/>
    <pageField fld="3" hier="-1"/>
    <pageField fld="11" hier="-1"/>
    <pageField fld="18" hier="-1"/>
    <pageField fld="26" hier="-1"/>
  </pageFields>
  <dataFields count="1">
    <dataField name="Count of Position_Reques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8CE8D-22F7-477B-9309-A4F6C1814CC3}" name="PivotTable2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 rowPageCount="2" colPageCount="1"/>
  <pivotFields count="27">
    <pivotField showAll="0"/>
    <pivotField showAll="0"/>
    <pivotField showAll="0"/>
    <pivotField showAll="0"/>
    <pivotField axis="axisPage" dataField="1" multipleItemSelectionAllowed="1" showAll="0">
      <items count="56">
        <item x="23"/>
        <item x="17"/>
        <item x="19"/>
        <item x="3"/>
        <item x="5"/>
        <item x="48"/>
        <item x="9"/>
        <item x="40"/>
        <item x="52"/>
        <item x="15"/>
        <item x="8"/>
        <item x="10"/>
        <item x="27"/>
        <item x="39"/>
        <item x="0"/>
        <item h="1" x="30"/>
        <item x="51"/>
        <item x="37"/>
        <item x="24"/>
        <item x="18"/>
        <item x="11"/>
        <item x="43"/>
        <item x="4"/>
        <item x="13"/>
        <item x="14"/>
        <item x="7"/>
        <item x="16"/>
        <item x="21"/>
        <item x="44"/>
        <item x="35"/>
        <item x="1"/>
        <item x="32"/>
        <item x="45"/>
        <item x="12"/>
        <item x="47"/>
        <item x="49"/>
        <item x="33"/>
        <item x="34"/>
        <item x="2"/>
        <item x="46"/>
        <item x="38"/>
        <item x="6"/>
        <item x="41"/>
        <item x="22"/>
        <item x="20"/>
        <item x="42"/>
        <item x="25"/>
        <item x="31"/>
        <item x="53"/>
        <item x="28"/>
        <item x="50"/>
        <item x="36"/>
        <item x="29"/>
        <item x="26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5"/>
        <item x="6"/>
        <item x="0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1"/>
  </rowFields>
  <rowItems count="8">
    <i>
      <x v="3"/>
    </i>
    <i>
      <x/>
    </i>
    <i>
      <x v="2"/>
    </i>
    <i>
      <x v="5"/>
    </i>
    <i>
      <x v="6"/>
    </i>
    <i>
      <x v="4"/>
    </i>
    <i>
      <x v="1"/>
    </i>
    <i t="grand">
      <x/>
    </i>
  </rowItems>
  <colItems count="1">
    <i/>
  </colItems>
  <pageFields count="2">
    <pageField fld="4" hier="-1"/>
    <pageField fld="12" hier="-1"/>
  </pageFields>
  <dataFields count="1">
    <dataField name="Count of Position_Reques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lDtadkqVX8FUEqWY3KWvY5HKStIK908m/view?usp=drive_link" TargetMode="External"/><Relationship Id="rId18" Type="http://schemas.openxmlformats.org/officeDocument/2006/relationships/hyperlink" Target="https://docs.google.com/document/d/1S5luK_t2_I0_ban1-74I6ZpS7vuH0WC3/edit" TargetMode="External"/><Relationship Id="rId26" Type="http://schemas.openxmlformats.org/officeDocument/2006/relationships/hyperlink" Target="https://docs.google.com/spreadsheets/d/1chBaBm3AYxAEAsZgHrMx7f2o78JGORqe/edit?usp=drive_link&amp;ouid=113372659808018680616&amp;rtpof=true&amp;sd=true" TargetMode="External"/><Relationship Id="rId39" Type="http://schemas.openxmlformats.org/officeDocument/2006/relationships/hyperlink" Target="https://docs.google.com/document/d/1RtLdxAdqu32_p7h_LIHGOk9zV0IAlru-/edit?usp=drive_link&amp;ouid=113372659808018680616&amp;rtpof=true&amp;sd=true" TargetMode="External"/><Relationship Id="rId21" Type="http://schemas.openxmlformats.org/officeDocument/2006/relationships/hyperlink" Target="https://drive.google.com/file/d/1hlqpVM_UAUI8Da8-hp3QCfgP7Upcrquo/view?usp=drive_link" TargetMode="External"/><Relationship Id="rId34" Type="http://schemas.openxmlformats.org/officeDocument/2006/relationships/hyperlink" Target="https://docs.google.com/document/d/1bOS3IhGhwcdruiVXLdxSANPhrghIkO9O/edit" TargetMode="External"/><Relationship Id="rId42" Type="http://schemas.openxmlformats.org/officeDocument/2006/relationships/hyperlink" Target="https://docs.google.com/document/d/1_3F0FfODK0sEYsUt35QWr17G1c9pnsBc/edit?usp=drive_link&amp;ouid=113372659808018680616&amp;rtpof=true&amp;sd=true" TargetMode="External"/><Relationship Id="rId47" Type="http://schemas.openxmlformats.org/officeDocument/2006/relationships/hyperlink" Target="https://drive.google.com/file/d/1AaJOHPyBBUbpDA3h43_H8r1L7-dBERfY/view?usp=drive_link" TargetMode="External"/><Relationship Id="rId50" Type="http://schemas.openxmlformats.org/officeDocument/2006/relationships/hyperlink" Target="https://docs.google.com/document/d/1F_Pj62cX04Gyn-rq7K1n_rcCit3gaMLD/edit?usp=drive_link&amp;ouid=113372659808018680616&amp;rtpof=true&amp;sd=true" TargetMode="External"/><Relationship Id="rId55" Type="http://schemas.openxmlformats.org/officeDocument/2006/relationships/hyperlink" Target="https://drive.google.com/file/d/14htK_tKuDRu_SqoIIT0jeD-tRWaKQOgl/view?usp=drive_link" TargetMode="External"/><Relationship Id="rId7" Type="http://schemas.openxmlformats.org/officeDocument/2006/relationships/hyperlink" Target="https://drive.google.com/file/d/1ZDtxATij04Yl4FQKN0RE4VVlvCahm2Xt/view?usp=sharing" TargetMode="External"/><Relationship Id="rId12" Type="http://schemas.openxmlformats.org/officeDocument/2006/relationships/hyperlink" Target="https://drive.google.com/file/d/1-phkn6bkn88BqyJB-s1DcDzVJ4gWJEqJ/view?usp=drive_link" TargetMode="External"/><Relationship Id="rId17" Type="http://schemas.openxmlformats.org/officeDocument/2006/relationships/hyperlink" Target="https://superrecruit.jobtopgun.com/SERC?view=jobpostPreview&amp;idPosition=801" TargetMode="External"/><Relationship Id="rId25" Type="http://schemas.openxmlformats.org/officeDocument/2006/relationships/hyperlink" Target="https://drive.google.com/file/d/1V3OLvfaJcIiG920KYVyfGmM1KaN1lPJm/view?usp=drive_link" TargetMode="External"/><Relationship Id="rId33" Type="http://schemas.openxmlformats.org/officeDocument/2006/relationships/hyperlink" Target="https://drive.google.com/file/d/1aozV65jytHHxTbUEhz7zv_pqjmuTe5pn/view?usp=sharing" TargetMode="External"/><Relationship Id="rId38" Type="http://schemas.openxmlformats.org/officeDocument/2006/relationships/hyperlink" Target="https://drive.google.com/file/d/1dK1HkDKkkPDy-0mz8K7jzSwGhuXvdSjN/view?usp=drive_link" TargetMode="External"/><Relationship Id="rId46" Type="http://schemas.openxmlformats.org/officeDocument/2006/relationships/hyperlink" Target="https://docs.google.com/document/d/1b7nT_OpDBmKRvrXw733g5EBBbarYBgvh/edit?usp=drive_link&amp;ouid=113372659808018680616&amp;rtpof=true&amp;sd=true" TargetMode="External"/><Relationship Id="rId2" Type="http://schemas.openxmlformats.org/officeDocument/2006/relationships/hyperlink" Target="https://docs.google.com/document/d/1rUAM0C16yfV6ldkfXpne7d9JZ4_AOVyA/edit?usp=drive_link&amp;ouid=113372659808018680616&amp;rtpof=true&amp;sd=true" TargetMode="External"/><Relationship Id="rId16" Type="http://schemas.openxmlformats.org/officeDocument/2006/relationships/hyperlink" Target="https://drive.google.com/file/d/1yReEbsP7RPsjODSNFaBdFqnJmZ_IUItG/view?usp=drive_link" TargetMode="External"/><Relationship Id="rId20" Type="http://schemas.openxmlformats.org/officeDocument/2006/relationships/hyperlink" Target="https://drive.google.com/file/d/1n8QBd6RsahHYNiCX6WhKw4PN64-ErrX1/view?usp=drive_link" TargetMode="External"/><Relationship Id="rId29" Type="http://schemas.openxmlformats.org/officeDocument/2006/relationships/hyperlink" Target="https://drive.google.com/file/d/11ibyxAEeHgwosfmgXXVmP2FFTW_ap_z9/view?usp=drive_link" TargetMode="External"/><Relationship Id="rId41" Type="http://schemas.openxmlformats.org/officeDocument/2006/relationships/hyperlink" Target="https://drive.google.com/file/d/1tJMJmi3PRatjaWSP2hYxDM0SQQf9d4Ef/view?usp=drive_link" TargetMode="External"/><Relationship Id="rId54" Type="http://schemas.openxmlformats.org/officeDocument/2006/relationships/hyperlink" Target="https://superrecruit.jobtopgun.com/SERC?view=jobpostPreview&amp;idPosition=649" TargetMode="External"/><Relationship Id="rId1" Type="http://schemas.openxmlformats.org/officeDocument/2006/relationships/hyperlink" Target="https://drive.google.com/file/d/1LDqRqHn0Gn4VzI2hJJbDO9UVzuNyz0vI/view?usp=drive_link" TargetMode="External"/><Relationship Id="rId6" Type="http://schemas.openxmlformats.org/officeDocument/2006/relationships/hyperlink" Target="https://drive.google.com/file/d/1ZDtxATij04Yl4FQKN0RE4VVlvCahm2Xt/view?usp=sharing" TargetMode="External"/><Relationship Id="rId11" Type="http://schemas.openxmlformats.org/officeDocument/2006/relationships/hyperlink" Target="https://drive.google.com/file/d/1puX3Y6Zl5fjWQ5nIFFjGyLCdRCcTNz0f/view?usp=drive_link" TargetMode="External"/><Relationship Id="rId24" Type="http://schemas.openxmlformats.org/officeDocument/2006/relationships/hyperlink" Target="https://drive.google.com/file/d/1TGHM9E9z5TjH-395KmCtFK8i92AZZfsd/view?usp=drive_link" TargetMode="External"/><Relationship Id="rId32" Type="http://schemas.openxmlformats.org/officeDocument/2006/relationships/hyperlink" Target="https://drive.google.com/file/d/1CrvSiPrTONug5P6cpZ3nXjW74BO-ghcI/view?usp=drive_link" TargetMode="External"/><Relationship Id="rId37" Type="http://schemas.openxmlformats.org/officeDocument/2006/relationships/hyperlink" Target="https://drive.google.com/file/d/1OBMtN3qXJpRd52UgT26UQteo2P-LE1ox/view?usp=drive_link" TargetMode="External"/><Relationship Id="rId40" Type="http://schemas.openxmlformats.org/officeDocument/2006/relationships/hyperlink" Target="https://drive.google.com/file/d/1isYra9fcCWkEs_QHUdADkRoglQNdCi3W/view?usp=drive_link" TargetMode="External"/><Relationship Id="rId45" Type="http://schemas.openxmlformats.org/officeDocument/2006/relationships/hyperlink" Target="https://drive.google.com/file/d/1OrsskgKrYrn5Wzq3BWjUO2LFuGxvguhp/view?usp=drive_link" TargetMode="External"/><Relationship Id="rId53" Type="http://schemas.openxmlformats.org/officeDocument/2006/relationships/hyperlink" Target="https://drive.google.com/file/d/1beVYV-HG-0_WY3QyOPihLv9H1X8dzgWK/view?usp=drive_link" TargetMode="External"/><Relationship Id="rId5" Type="http://schemas.openxmlformats.org/officeDocument/2006/relationships/hyperlink" Target="https://docs.google.com/spreadsheets/d/1lTQyPO5rNcol68Nc6du8IuIQMcK1KvaO/edit?usp=drive_link&amp;ouid=113372659808018680616&amp;rtpof=true&amp;sd=true" TargetMode="External"/><Relationship Id="rId15" Type="http://schemas.openxmlformats.org/officeDocument/2006/relationships/hyperlink" Target="https://docs.google.com/document/d/1WKIAFvFjdZ4DMQthlYJhlJv_P9Yc6ItX/edit?usp=drive_link&amp;ouid=113372659808018680616&amp;rtpof=true&amp;sd=true" TargetMode="External"/><Relationship Id="rId23" Type="http://schemas.openxmlformats.org/officeDocument/2006/relationships/hyperlink" Target="https://docs.google.com/document/d/1NSXSJbiack5ISc45uAprPNXXJ-SqfNux/edit" TargetMode="External"/><Relationship Id="rId28" Type="http://schemas.openxmlformats.org/officeDocument/2006/relationships/hyperlink" Target="https://docs.google.com/spreadsheets/d/1aHLhAlWuDGG2WI3jpvjj65Jl7Y_THUXm/edit?gid=1550615610" TargetMode="External"/><Relationship Id="rId36" Type="http://schemas.openxmlformats.org/officeDocument/2006/relationships/hyperlink" Target="https://drive.google.com/file/d/1aHsSyZJW4T8HVArlzAfdCDJcdV9LYzDr/view?usp=drive_link" TargetMode="External"/><Relationship Id="rId49" Type="http://schemas.openxmlformats.org/officeDocument/2006/relationships/hyperlink" Target="https://drive.google.com/file/d/1rHRkIwAFgJXS0ceZm5ffJUau3wtBRWYN/view?usp=drive_link" TargetMode="External"/><Relationship Id="rId57" Type="http://schemas.openxmlformats.org/officeDocument/2006/relationships/hyperlink" Target="https://drive.google.com/file/d/1dK1HkDKkkPDy-0mz8K7jzSwGhuXvdSjN/view?usp=drive_link" TargetMode="External"/><Relationship Id="rId10" Type="http://schemas.openxmlformats.org/officeDocument/2006/relationships/hyperlink" Target="https://drive.google.com/file/d/1rHRkIwAFgJXS0ceZm5ffJUau3wtBRWYN/view?usp=drive_link" TargetMode="External"/><Relationship Id="rId19" Type="http://schemas.openxmlformats.org/officeDocument/2006/relationships/hyperlink" Target="https://drive.google.com/file/d/1DfKvKiB3mQ0JAb3-EiCgQCXmnN1eGbOK/view?usp=sharing" TargetMode="External"/><Relationship Id="rId31" Type="http://schemas.openxmlformats.org/officeDocument/2006/relationships/hyperlink" Target="https://drive.google.com/file/d/1l9Gqd1SeZEsgEi0MltI3355B2Z0cq6Ff/view?usp=sharing" TargetMode="External"/><Relationship Id="rId44" Type="http://schemas.openxmlformats.org/officeDocument/2006/relationships/hyperlink" Target="https://docs.google.com/document/d/1F_Pj62cX04Gyn-rq7K1n_rcCit3gaMLD/edit?usp=drive_link&amp;ouid=113372659808018680616&amp;rtpof=true&amp;sd=true" TargetMode="External"/><Relationship Id="rId52" Type="http://schemas.openxmlformats.org/officeDocument/2006/relationships/hyperlink" Target="https://drive.google.com/file/d/1q3AJLodIJDbY6e3kZz7CJDK-VzJ3IpGN/view?usp=drive_link" TargetMode="External"/><Relationship Id="rId4" Type="http://schemas.openxmlformats.org/officeDocument/2006/relationships/hyperlink" Target="https://drive.google.com/file/d/1BgFDH9il_ICORQG68F9jz-X2MGFsLHba/view?usp=drive_link" TargetMode="External"/><Relationship Id="rId9" Type="http://schemas.openxmlformats.org/officeDocument/2006/relationships/hyperlink" Target="https://drive.google.com/file/d/1qAizKbcJIQ4JmSvWaAIQN3FhC-e1YwzS/view" TargetMode="External"/><Relationship Id="rId14" Type="http://schemas.openxmlformats.org/officeDocument/2006/relationships/hyperlink" Target="https://drive.google.com/file/d/1hhABLQG5JmPf0RdC5tBM1crxprg76nF3/view?usp=drive_link" TargetMode="External"/><Relationship Id="rId22" Type="http://schemas.openxmlformats.org/officeDocument/2006/relationships/hyperlink" Target="https://drive.google.com/file/d/1iFmXi4jKmW0AsOf7T-Qfi5mvX52dwbpX/view?usp=drive_link" TargetMode="External"/><Relationship Id="rId27" Type="http://schemas.openxmlformats.org/officeDocument/2006/relationships/hyperlink" Target="https://drive.google.com/file/d/1NlEf6VSOh-Qu1rz8C0Z11t80_eFn6DWS/view?usp=drive_link" TargetMode="External"/><Relationship Id="rId30" Type="http://schemas.openxmlformats.org/officeDocument/2006/relationships/hyperlink" Target="https://drive.google.com/file/d/1uCQUCsYSbjQgXgAgS0K7rp8kWJ5_9bSW/view?usp=drive_link" TargetMode="External"/><Relationship Id="rId35" Type="http://schemas.openxmlformats.org/officeDocument/2006/relationships/hyperlink" Target="https://drive.google.com/file/d/1rHRkIwAFgJXS0ceZm5ffJUau3wtBRWYN/view?usp=drive_link" TargetMode="External"/><Relationship Id="rId43" Type="http://schemas.openxmlformats.org/officeDocument/2006/relationships/hyperlink" Target="https://drive.google.com/file/d/1_2Oks0YcbDwHO-OhZbPfQI4PeKB9IicX/view?usp=sharing" TargetMode="External"/><Relationship Id="rId48" Type="http://schemas.openxmlformats.org/officeDocument/2006/relationships/hyperlink" Target="https://docs.google.com/document/d/1_3F0FfODK0sEYsUt35QWr17G1c9pnsBc/edit?usp=drive_link&amp;ouid=113372659808018680616&amp;rtpof=true&amp;sd=true" TargetMode="External"/><Relationship Id="rId56" Type="http://schemas.openxmlformats.org/officeDocument/2006/relationships/hyperlink" Target="https://drive.google.com/file/d/1b1dP2-a_PNMkPQ3NKa2af5ihVY0iOesy/view?usp=drive_link" TargetMode="External"/><Relationship Id="rId8" Type="http://schemas.openxmlformats.org/officeDocument/2006/relationships/hyperlink" Target="https://drive.google.com/file/d/1aCp71pseuzLYp8ELk27Jtsj_TX32IDnB/view" TargetMode="External"/><Relationship Id="rId51" Type="http://schemas.openxmlformats.org/officeDocument/2006/relationships/hyperlink" Target="https://drive.google.com/file/d/1N1fTDAB8bfifJR2kbSbvGnJsD2GyeoZG/view?usp=drive_link" TargetMode="External"/><Relationship Id="rId3" Type="http://schemas.openxmlformats.org/officeDocument/2006/relationships/hyperlink" Target="https://drive.google.com/file/d/1VoBzIPhIdGQvIMFNc-zeQEQ3kz8chHkS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21D7-428E-4D08-ADA9-761006A075E3}">
  <dimension ref="A1:E51"/>
  <sheetViews>
    <sheetView workbookViewId="0">
      <selection activeCell="A19" sqref="A19:XFD19"/>
    </sheetView>
  </sheetViews>
  <sheetFormatPr defaultRowHeight="13.8" x14ac:dyDescent="0.25"/>
  <cols>
    <col min="1" max="1" width="66.19921875" bestFit="1" customWidth="1"/>
    <col min="2" max="2" width="25.09765625" bestFit="1" customWidth="1"/>
  </cols>
  <sheetData>
    <row r="1" spans="1:5" x14ac:dyDescent="0.25">
      <c r="A1" s="100" t="s">
        <v>396</v>
      </c>
      <c r="B1" t="s">
        <v>441</v>
      </c>
    </row>
    <row r="2" spans="1:5" x14ac:dyDescent="0.25">
      <c r="A2" s="100" t="s">
        <v>400</v>
      </c>
      <c r="B2" t="s">
        <v>945</v>
      </c>
    </row>
    <row r="3" spans="1:5" x14ac:dyDescent="0.25">
      <c r="A3" s="100" t="s">
        <v>389</v>
      </c>
      <c r="B3" t="s">
        <v>945</v>
      </c>
    </row>
    <row r="4" spans="1:5" x14ac:dyDescent="0.25">
      <c r="A4" s="100" t="s">
        <v>395</v>
      </c>
      <c r="B4" t="s">
        <v>945</v>
      </c>
    </row>
    <row r="5" spans="1:5" x14ac:dyDescent="0.25">
      <c r="A5" s="100" t="s">
        <v>923</v>
      </c>
      <c r="B5" t="s">
        <v>945</v>
      </c>
    </row>
    <row r="6" spans="1:5" x14ac:dyDescent="0.25">
      <c r="A6" s="100" t="s">
        <v>409</v>
      </c>
      <c r="B6" t="s">
        <v>945</v>
      </c>
    </row>
    <row r="8" spans="1:5" x14ac:dyDescent="0.25">
      <c r="A8" s="100" t="s">
        <v>935</v>
      </c>
      <c r="B8" t="s">
        <v>938</v>
      </c>
    </row>
    <row r="9" spans="1:5" x14ac:dyDescent="0.25">
      <c r="A9" s="101" t="s">
        <v>182</v>
      </c>
      <c r="B9" s="102">
        <v>9</v>
      </c>
    </row>
    <row r="10" spans="1:5" x14ac:dyDescent="0.25">
      <c r="A10" s="103" t="s">
        <v>845</v>
      </c>
      <c r="B10" s="102">
        <v>1</v>
      </c>
    </row>
    <row r="11" spans="1:5" x14ac:dyDescent="0.25">
      <c r="A11" s="103" t="s">
        <v>722</v>
      </c>
      <c r="B11" s="102">
        <v>1</v>
      </c>
    </row>
    <row r="12" spans="1:5" x14ac:dyDescent="0.25">
      <c r="A12" s="103" t="s">
        <v>858</v>
      </c>
      <c r="B12" s="102">
        <v>2</v>
      </c>
    </row>
    <row r="13" spans="1:5" x14ac:dyDescent="0.25">
      <c r="A13" s="103" t="s">
        <v>542</v>
      </c>
      <c r="B13" s="102">
        <v>5</v>
      </c>
    </row>
    <row r="14" spans="1:5" x14ac:dyDescent="0.25">
      <c r="A14" s="101" t="s">
        <v>170</v>
      </c>
      <c r="B14" s="102">
        <v>7</v>
      </c>
    </row>
    <row r="15" spans="1:5" x14ac:dyDescent="0.25">
      <c r="A15" s="103" t="s">
        <v>789</v>
      </c>
      <c r="B15" s="102">
        <v>1</v>
      </c>
      <c r="D15" s="101"/>
      <c r="E15" s="102"/>
    </row>
    <row r="16" spans="1:5" x14ac:dyDescent="0.25">
      <c r="A16" s="103" t="s">
        <v>829</v>
      </c>
      <c r="B16" s="102">
        <v>1</v>
      </c>
      <c r="D16" s="101"/>
      <c r="E16" s="102"/>
    </row>
    <row r="17" spans="1:5" x14ac:dyDescent="0.25">
      <c r="A17" s="103" t="s">
        <v>813</v>
      </c>
      <c r="B17" s="102">
        <v>1</v>
      </c>
      <c r="D17" s="101"/>
      <c r="E17" s="102"/>
    </row>
    <row r="18" spans="1:5" x14ac:dyDescent="0.25">
      <c r="A18" s="103" t="s">
        <v>835</v>
      </c>
      <c r="B18" s="102">
        <v>1</v>
      </c>
      <c r="D18" s="101"/>
      <c r="E18" s="102"/>
    </row>
    <row r="19" spans="1:5" x14ac:dyDescent="0.25">
      <c r="A19" s="103" t="s">
        <v>542</v>
      </c>
      <c r="B19" s="102">
        <v>3</v>
      </c>
      <c r="D19" s="101"/>
      <c r="E19" s="102"/>
    </row>
    <row r="20" spans="1:5" x14ac:dyDescent="0.25">
      <c r="A20" s="101" t="s">
        <v>173</v>
      </c>
      <c r="B20" s="102">
        <v>6</v>
      </c>
      <c r="D20" s="101"/>
      <c r="E20" s="102"/>
    </row>
    <row r="21" spans="1:5" x14ac:dyDescent="0.25">
      <c r="A21" s="103" t="s">
        <v>498</v>
      </c>
      <c r="B21" s="102">
        <v>1</v>
      </c>
      <c r="D21" s="101"/>
      <c r="E21" s="102"/>
    </row>
    <row r="22" spans="1:5" x14ac:dyDescent="0.25">
      <c r="A22" s="103" t="s">
        <v>704</v>
      </c>
      <c r="B22" s="102">
        <v>1</v>
      </c>
      <c r="D22" s="101"/>
      <c r="E22" s="102"/>
    </row>
    <row r="23" spans="1:5" x14ac:dyDescent="0.25">
      <c r="A23" s="103" t="s">
        <v>343</v>
      </c>
      <c r="B23" s="102">
        <v>4</v>
      </c>
      <c r="D23" s="101"/>
      <c r="E23" s="102"/>
    </row>
    <row r="24" spans="1:5" x14ac:dyDescent="0.25">
      <c r="A24" s="101" t="s">
        <v>191</v>
      </c>
      <c r="B24" s="102">
        <v>5</v>
      </c>
      <c r="D24" s="101"/>
      <c r="E24" s="102"/>
    </row>
    <row r="25" spans="1:5" x14ac:dyDescent="0.25">
      <c r="A25" s="103" t="s">
        <v>746</v>
      </c>
      <c r="B25" s="102">
        <v>1</v>
      </c>
      <c r="D25" s="101"/>
      <c r="E25" s="102"/>
    </row>
    <row r="26" spans="1:5" x14ac:dyDescent="0.25">
      <c r="A26" s="103" t="s">
        <v>726</v>
      </c>
      <c r="B26" s="102">
        <v>1</v>
      </c>
      <c r="D26" s="101"/>
      <c r="E26" s="102"/>
    </row>
    <row r="27" spans="1:5" x14ac:dyDescent="0.25">
      <c r="A27" s="103" t="s">
        <v>627</v>
      </c>
      <c r="B27" s="102">
        <v>1</v>
      </c>
      <c r="D27" s="101"/>
      <c r="E27" s="102"/>
    </row>
    <row r="28" spans="1:5" x14ac:dyDescent="0.25">
      <c r="A28" s="103" t="s">
        <v>729</v>
      </c>
      <c r="B28" s="102">
        <v>1</v>
      </c>
      <c r="D28" s="101"/>
      <c r="E28" s="102"/>
    </row>
    <row r="29" spans="1:5" x14ac:dyDescent="0.25">
      <c r="A29" s="103" t="s">
        <v>721</v>
      </c>
      <c r="B29" s="102">
        <v>1</v>
      </c>
      <c r="D29" s="101"/>
      <c r="E29" s="102"/>
    </row>
    <row r="30" spans="1:5" x14ac:dyDescent="0.25">
      <c r="A30" s="101" t="s">
        <v>137</v>
      </c>
      <c r="B30" s="102">
        <v>5</v>
      </c>
      <c r="D30" s="101"/>
      <c r="E30" s="102"/>
    </row>
    <row r="31" spans="1:5" x14ac:dyDescent="0.25">
      <c r="A31" s="103" t="s">
        <v>439</v>
      </c>
      <c r="B31" s="102">
        <v>3</v>
      </c>
    </row>
    <row r="32" spans="1:5" x14ac:dyDescent="0.25">
      <c r="A32" s="103" t="s">
        <v>542</v>
      </c>
      <c r="B32" s="102">
        <v>2</v>
      </c>
    </row>
    <row r="33" spans="1:2" x14ac:dyDescent="0.25">
      <c r="A33" s="101" t="s">
        <v>176</v>
      </c>
      <c r="B33" s="102">
        <v>2</v>
      </c>
    </row>
    <row r="34" spans="1:2" x14ac:dyDescent="0.25">
      <c r="A34" s="103" t="s">
        <v>349</v>
      </c>
      <c r="B34" s="102">
        <v>1</v>
      </c>
    </row>
    <row r="35" spans="1:2" x14ac:dyDescent="0.25">
      <c r="A35" s="103" t="s">
        <v>342</v>
      </c>
      <c r="B35" s="102">
        <v>1</v>
      </c>
    </row>
    <row r="36" spans="1:2" x14ac:dyDescent="0.25">
      <c r="A36" s="101" t="s">
        <v>188</v>
      </c>
      <c r="B36" s="102">
        <v>2</v>
      </c>
    </row>
    <row r="37" spans="1:2" x14ac:dyDescent="0.25">
      <c r="A37" s="103" t="s">
        <v>504</v>
      </c>
      <c r="B37" s="102">
        <v>2</v>
      </c>
    </row>
    <row r="38" spans="1:2" x14ac:dyDescent="0.25">
      <c r="A38" s="101" t="s">
        <v>179</v>
      </c>
      <c r="B38" s="102">
        <v>2</v>
      </c>
    </row>
    <row r="39" spans="1:2" x14ac:dyDescent="0.25">
      <c r="A39" s="103" t="s">
        <v>764</v>
      </c>
      <c r="B39" s="102">
        <v>1</v>
      </c>
    </row>
    <row r="40" spans="1:2" x14ac:dyDescent="0.25">
      <c r="A40" s="103" t="s">
        <v>593</v>
      </c>
      <c r="B40" s="102">
        <v>1</v>
      </c>
    </row>
    <row r="41" spans="1:2" x14ac:dyDescent="0.25">
      <c r="A41" s="101" t="s">
        <v>155</v>
      </c>
      <c r="B41" s="102">
        <v>2</v>
      </c>
    </row>
    <row r="42" spans="1:2" x14ac:dyDescent="0.25">
      <c r="A42" s="103" t="s">
        <v>542</v>
      </c>
      <c r="B42" s="102">
        <v>2</v>
      </c>
    </row>
    <row r="43" spans="1:2" x14ac:dyDescent="0.25">
      <c r="A43" s="101" t="s">
        <v>134</v>
      </c>
      <c r="B43" s="102">
        <v>1</v>
      </c>
    </row>
    <row r="44" spans="1:2" x14ac:dyDescent="0.25">
      <c r="A44" s="103" t="s">
        <v>519</v>
      </c>
      <c r="B44" s="102">
        <v>1</v>
      </c>
    </row>
    <row r="45" spans="1:2" x14ac:dyDescent="0.25">
      <c r="A45" s="101" t="s">
        <v>194</v>
      </c>
      <c r="B45" s="102">
        <v>1</v>
      </c>
    </row>
    <row r="46" spans="1:2" x14ac:dyDescent="0.25">
      <c r="A46" s="103" t="s">
        <v>512</v>
      </c>
      <c r="B46" s="102">
        <v>1</v>
      </c>
    </row>
    <row r="47" spans="1:2" x14ac:dyDescent="0.25">
      <c r="A47" s="101" t="s">
        <v>200</v>
      </c>
      <c r="B47" s="102">
        <v>1</v>
      </c>
    </row>
    <row r="48" spans="1:2" x14ac:dyDescent="0.25">
      <c r="A48" s="103" t="s">
        <v>699</v>
      </c>
      <c r="B48" s="102">
        <v>1</v>
      </c>
    </row>
    <row r="49" spans="1:2" x14ac:dyDescent="0.25">
      <c r="A49" s="101" t="s">
        <v>203</v>
      </c>
      <c r="B49" s="102">
        <v>1</v>
      </c>
    </row>
    <row r="50" spans="1:2" x14ac:dyDescent="0.25">
      <c r="A50" s="103" t="s">
        <v>532</v>
      </c>
      <c r="B50" s="102">
        <v>1</v>
      </c>
    </row>
    <row r="51" spans="1:2" x14ac:dyDescent="0.25">
      <c r="A51" s="101" t="s">
        <v>937</v>
      </c>
      <c r="B51" s="10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FF61-26D9-48FF-B8A0-55831AF0E33F}">
  <dimension ref="A1"/>
  <sheetViews>
    <sheetView workbookViewId="0">
      <selection activeCell="C26" sqref="C26"/>
    </sheetView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AC7F-5416-4B5E-81AB-422E5C2BD35B}">
  <dimension ref="A1:B12"/>
  <sheetViews>
    <sheetView workbookViewId="0">
      <selection activeCell="A5" sqref="A5:B8"/>
      <pivotSelection pane="bottomRight" showHeader="1" extendable="1" axis="axisRow" max="8" activeRow="4" previousRow="7" click="1" r:id="rId1">
        <pivotArea dataOnly="0" axis="axisRow" fieldPosition="0">
          <references count="1">
            <reference field="21" count="4">
              <x v="0"/>
              <x v="2"/>
              <x v="3"/>
              <x v="5"/>
            </reference>
          </references>
        </pivotArea>
      </pivotSelection>
    </sheetView>
  </sheetViews>
  <sheetFormatPr defaultRowHeight="13.8" x14ac:dyDescent="0.25"/>
  <cols>
    <col min="1" max="1" width="14.5" bestFit="1" customWidth="1"/>
    <col min="2" max="2" width="25.09765625" bestFit="1" customWidth="1"/>
  </cols>
  <sheetData>
    <row r="1" spans="1:2" x14ac:dyDescent="0.25">
      <c r="A1" s="100" t="s">
        <v>390</v>
      </c>
      <c r="B1" t="s">
        <v>945</v>
      </c>
    </row>
    <row r="2" spans="1:2" x14ac:dyDescent="0.25">
      <c r="A2" s="100" t="s">
        <v>396</v>
      </c>
      <c r="B2" t="s">
        <v>441</v>
      </c>
    </row>
    <row r="4" spans="1:2" x14ac:dyDescent="0.25">
      <c r="A4" s="100" t="s">
        <v>935</v>
      </c>
      <c r="B4" t="s">
        <v>938</v>
      </c>
    </row>
    <row r="5" spans="1:2" x14ac:dyDescent="0.25">
      <c r="A5" s="101" t="s">
        <v>462</v>
      </c>
      <c r="B5" s="102">
        <v>32</v>
      </c>
    </row>
    <row r="6" spans="1:2" x14ac:dyDescent="0.25">
      <c r="A6" s="101" t="s">
        <v>117</v>
      </c>
      <c r="B6" s="102">
        <v>21</v>
      </c>
    </row>
    <row r="7" spans="1:2" x14ac:dyDescent="0.25">
      <c r="A7" s="101" t="s">
        <v>488</v>
      </c>
      <c r="B7" s="102">
        <v>18</v>
      </c>
    </row>
    <row r="8" spans="1:2" x14ac:dyDescent="0.25">
      <c r="A8" s="101" t="s">
        <v>598</v>
      </c>
      <c r="B8" s="102">
        <v>8</v>
      </c>
    </row>
    <row r="9" spans="1:2" x14ac:dyDescent="0.25">
      <c r="A9" s="101" t="s">
        <v>936</v>
      </c>
      <c r="B9" s="102">
        <v>5</v>
      </c>
    </row>
    <row r="10" spans="1:2" x14ac:dyDescent="0.25">
      <c r="A10" s="101" t="s">
        <v>568</v>
      </c>
      <c r="B10" s="102">
        <v>4</v>
      </c>
    </row>
    <row r="11" spans="1:2" x14ac:dyDescent="0.25">
      <c r="A11" s="101" t="s">
        <v>124</v>
      </c>
      <c r="B11" s="102">
        <v>3</v>
      </c>
    </row>
    <row r="12" spans="1:2" x14ac:dyDescent="0.25">
      <c r="A12" s="101" t="s">
        <v>937</v>
      </c>
      <c r="B12" s="102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EE0C-0CCD-4292-9FEB-2E69103D4305}">
  <sheetPr filterMode="1"/>
  <dimension ref="A1:AA102"/>
  <sheetViews>
    <sheetView tabSelected="1" topLeftCell="I51" workbookViewId="0">
      <selection activeCell="Z9" sqref="Z9:Z101"/>
    </sheetView>
  </sheetViews>
  <sheetFormatPr defaultColWidth="10.5" defaultRowHeight="27" customHeight="1" x14ac:dyDescent="0.25"/>
  <cols>
    <col min="1" max="1" width="10.69921875" style="41" bestFit="1" customWidth="1"/>
    <col min="2" max="2" width="8.8984375" style="41" bestFit="1" customWidth="1"/>
    <col min="3" max="3" width="20.796875" style="41" bestFit="1" customWidth="1"/>
    <col min="4" max="4" width="12.59765625" style="41" bestFit="1" customWidth="1"/>
    <col min="5" max="5" width="68.19921875" style="41" bestFit="1" customWidth="1"/>
    <col min="6" max="6" width="59" style="86" bestFit="1" customWidth="1"/>
    <col min="7" max="7" width="39" style="41" bestFit="1" customWidth="1"/>
    <col min="8" max="8" width="55.69921875" style="41" bestFit="1" customWidth="1"/>
    <col min="9" max="9" width="44.19921875" style="41" bestFit="1" customWidth="1"/>
    <col min="10" max="10" width="14.69921875" style="41" bestFit="1" customWidth="1"/>
    <col min="11" max="11" width="54.3984375" style="41" bestFit="1" customWidth="1"/>
    <col min="12" max="12" width="16.19921875" style="41" bestFit="1" customWidth="1"/>
    <col min="13" max="13" width="20.296875" style="41" bestFit="1" customWidth="1"/>
    <col min="14" max="14" width="21.69921875" style="41" bestFit="1" customWidth="1"/>
    <col min="15" max="15" width="19.3984375" style="41" bestFit="1" customWidth="1"/>
    <col min="16" max="16" width="15.796875" style="41" bestFit="1" customWidth="1"/>
    <col min="17" max="17" width="20.5" style="41" bestFit="1" customWidth="1"/>
    <col min="18" max="18" width="63.3984375" style="41" bestFit="1" customWidth="1"/>
    <col min="19" max="19" width="8.5" style="41" bestFit="1" customWidth="1"/>
    <col min="20" max="20" width="16.296875" style="41" bestFit="1" customWidth="1"/>
    <col min="21" max="21" width="52.59765625" style="41" bestFit="1" customWidth="1"/>
    <col min="22" max="22" width="23.8984375" style="41" bestFit="1" customWidth="1"/>
    <col min="23" max="23" width="27.09765625" style="41" bestFit="1" customWidth="1"/>
    <col min="24" max="24" width="13.796875" style="41" bestFit="1" customWidth="1"/>
    <col min="25" max="25" width="141.296875" style="41" bestFit="1" customWidth="1"/>
    <col min="26" max="26" width="14" style="41" bestFit="1" customWidth="1"/>
    <col min="27" max="27" width="18.296875" style="41" bestFit="1" customWidth="1"/>
    <col min="28" max="16384" width="10.5" style="41"/>
  </cols>
  <sheetData>
    <row r="1" spans="1:27" s="38" customFormat="1" ht="27" customHeight="1" thickBot="1" x14ac:dyDescent="0.3">
      <c r="A1" s="38" t="s">
        <v>927</v>
      </c>
      <c r="B1" s="39" t="s">
        <v>922</v>
      </c>
      <c r="C1" s="39" t="s">
        <v>388</v>
      </c>
      <c r="D1" s="39" t="s">
        <v>389</v>
      </c>
      <c r="E1" s="39" t="s">
        <v>390</v>
      </c>
      <c r="F1" s="39" t="s">
        <v>391</v>
      </c>
      <c r="G1" s="39" t="s">
        <v>131</v>
      </c>
      <c r="H1" s="39" t="s">
        <v>392</v>
      </c>
      <c r="I1" s="39" t="s">
        <v>133</v>
      </c>
      <c r="J1" s="39" t="s">
        <v>393</v>
      </c>
      <c r="K1" s="39" t="s">
        <v>394</v>
      </c>
      <c r="L1" s="39" t="s">
        <v>395</v>
      </c>
      <c r="M1" s="39" t="s">
        <v>396</v>
      </c>
      <c r="N1" s="39" t="s">
        <v>397</v>
      </c>
      <c r="O1" s="39" t="s">
        <v>398</v>
      </c>
      <c r="P1" s="39" t="s">
        <v>399</v>
      </c>
      <c r="Q1" s="39" t="s">
        <v>400</v>
      </c>
      <c r="R1" s="39" t="s">
        <v>401</v>
      </c>
      <c r="S1" s="39" t="s">
        <v>923</v>
      </c>
      <c r="T1" s="39" t="s">
        <v>402</v>
      </c>
      <c r="U1" s="39" t="s">
        <v>403</v>
      </c>
      <c r="V1" s="39" t="s">
        <v>404</v>
      </c>
      <c r="W1" s="40" t="s">
        <v>405</v>
      </c>
      <c r="X1" s="39" t="s">
        <v>406</v>
      </c>
      <c r="Y1" s="39" t="s">
        <v>407</v>
      </c>
      <c r="Z1" s="39" t="s">
        <v>408</v>
      </c>
      <c r="AA1" s="39" t="s">
        <v>409</v>
      </c>
    </row>
    <row r="2" spans="1:27" s="7" customFormat="1" ht="27" hidden="1" customHeight="1" thickBot="1" x14ac:dyDescent="0.4">
      <c r="B2" s="9">
        <v>2024</v>
      </c>
      <c r="C2" s="20" t="s">
        <v>548</v>
      </c>
      <c r="D2" s="11" t="s">
        <v>438</v>
      </c>
      <c r="E2" s="12" t="s">
        <v>542</v>
      </c>
      <c r="F2" s="13" t="s">
        <v>549</v>
      </c>
      <c r="G2" s="12" t="s">
        <v>161</v>
      </c>
      <c r="H2" s="12" t="s">
        <v>171</v>
      </c>
      <c r="I2" s="12" t="s">
        <v>295</v>
      </c>
      <c r="J2" s="14" t="s">
        <v>414</v>
      </c>
      <c r="K2" s="12" t="s">
        <v>550</v>
      </c>
      <c r="L2" s="15" t="s">
        <v>426</v>
      </c>
      <c r="M2" s="16" t="s">
        <v>441</v>
      </c>
      <c r="N2" s="17" t="s">
        <v>459</v>
      </c>
      <c r="O2" s="18" t="s">
        <v>551</v>
      </c>
      <c r="P2" s="18" t="s">
        <v>552</v>
      </c>
      <c r="Q2" s="18" t="s">
        <v>553</v>
      </c>
      <c r="R2" s="19">
        <v>262</v>
      </c>
      <c r="S2" s="20" t="str">
        <f>IF(
    OR(L2="S-General",L2="O-General"),
       IF(R2&lt;=30,"In KPI","Over KPI"),
       IF(OR(L2="S-Specific",L2="O-Specific"),
            IF(R2&lt;=45,"In KPI","Over KPI"),
       "")
)</f>
        <v>Over KPI</v>
      </c>
      <c r="T2" s="19" t="s">
        <v>421</v>
      </c>
      <c r="U2" s="12" t="s">
        <v>554</v>
      </c>
      <c r="V2" s="21" t="s">
        <v>462</v>
      </c>
      <c r="W2" s="12" t="s">
        <v>405</v>
      </c>
      <c r="X2" s="18" t="s">
        <v>555</v>
      </c>
      <c r="Y2" s="12"/>
      <c r="Z2" s="15" t="s">
        <v>437</v>
      </c>
      <c r="AA2" s="22" t="s">
        <v>130</v>
      </c>
    </row>
    <row r="3" spans="1:27" s="7" customFormat="1" ht="27" hidden="1" customHeight="1" thickBot="1" x14ac:dyDescent="0.4">
      <c r="B3" s="9">
        <v>2025</v>
      </c>
      <c r="C3" s="20" t="s">
        <v>556</v>
      </c>
      <c r="D3" s="11" t="s">
        <v>438</v>
      </c>
      <c r="E3" s="12" t="s">
        <v>542</v>
      </c>
      <c r="F3" s="13" t="s">
        <v>557</v>
      </c>
      <c r="G3" s="12" t="s">
        <v>152</v>
      </c>
      <c r="H3" s="12" t="s">
        <v>168</v>
      </c>
      <c r="I3" s="12" t="s">
        <v>167</v>
      </c>
      <c r="J3" s="11" t="s">
        <v>466</v>
      </c>
      <c r="K3" s="12" t="s">
        <v>558</v>
      </c>
      <c r="L3" s="23" t="s">
        <v>482</v>
      </c>
      <c r="M3" s="16" t="s">
        <v>441</v>
      </c>
      <c r="N3" s="17" t="s">
        <v>459</v>
      </c>
      <c r="O3" s="18" t="s">
        <v>559</v>
      </c>
      <c r="P3" s="18" t="s">
        <v>560</v>
      </c>
      <c r="Q3" s="18" t="s">
        <v>559</v>
      </c>
      <c r="R3" s="9">
        <v>0</v>
      </c>
      <c r="S3" s="20" t="str">
        <f t="shared" ref="S3:S68" si="0">IF(
    OR(L3="S-General",L3="O-General"),
       IF(R3&lt;=30,"In KPI","Over KPI"),
       IF(OR(L3="S-Specific",L3="O-Specific"),
            IF(R3&lt;=45,"In KPI","Over KPI"),
       "")
)</f>
        <v>In KPI</v>
      </c>
      <c r="T3" s="19" t="s">
        <v>421</v>
      </c>
      <c r="U3" s="12" t="s">
        <v>561</v>
      </c>
      <c r="V3" s="24" t="s">
        <v>117</v>
      </c>
      <c r="W3" s="12" t="s">
        <v>405</v>
      </c>
      <c r="X3" s="18" t="s">
        <v>562</v>
      </c>
      <c r="Y3" s="12"/>
      <c r="Z3" s="15" t="s">
        <v>437</v>
      </c>
      <c r="AA3" s="22" t="s">
        <v>130</v>
      </c>
    </row>
    <row r="4" spans="1:27" s="7" customFormat="1" ht="27" hidden="1" customHeight="1" thickBot="1" x14ac:dyDescent="0.4">
      <c r="B4" s="9">
        <v>2025</v>
      </c>
      <c r="C4" s="20" t="s">
        <v>422</v>
      </c>
      <c r="D4" s="11" t="s">
        <v>438</v>
      </c>
      <c r="E4" s="12" t="s">
        <v>542</v>
      </c>
      <c r="F4" s="13" t="s">
        <v>563</v>
      </c>
      <c r="G4" s="12" t="s">
        <v>143</v>
      </c>
      <c r="H4" s="12" t="s">
        <v>165</v>
      </c>
      <c r="I4" s="12" t="s">
        <v>167</v>
      </c>
      <c r="J4" s="11" t="s">
        <v>466</v>
      </c>
      <c r="K4" s="12" t="s">
        <v>564</v>
      </c>
      <c r="L4" s="23" t="s">
        <v>482</v>
      </c>
      <c r="M4" s="16" t="s">
        <v>441</v>
      </c>
      <c r="N4" s="17" t="s">
        <v>459</v>
      </c>
      <c r="O4" s="18" t="s">
        <v>565</v>
      </c>
      <c r="P4" s="18" t="s">
        <v>447</v>
      </c>
      <c r="Q4" s="18" t="s">
        <v>566</v>
      </c>
      <c r="R4" s="25">
        <v>32</v>
      </c>
      <c r="S4" s="20" t="str">
        <f t="shared" si="0"/>
        <v>Over KPI</v>
      </c>
      <c r="T4" s="25" t="s">
        <v>469</v>
      </c>
      <c r="U4" s="12" t="s">
        <v>567</v>
      </c>
      <c r="V4" s="26" t="s">
        <v>568</v>
      </c>
      <c r="W4" s="12" t="s">
        <v>405</v>
      </c>
      <c r="X4" s="12"/>
      <c r="Y4" s="12"/>
      <c r="Z4" s="15" t="s">
        <v>437</v>
      </c>
      <c r="AA4" s="22" t="s">
        <v>130</v>
      </c>
    </row>
    <row r="5" spans="1:27" s="7" customFormat="1" ht="27" hidden="1" customHeight="1" thickBot="1" x14ac:dyDescent="0.4">
      <c r="A5" s="7" t="s">
        <v>928</v>
      </c>
      <c r="B5" s="9">
        <v>2024</v>
      </c>
      <c r="C5" s="20" t="s">
        <v>490</v>
      </c>
      <c r="D5" s="27" t="s">
        <v>411</v>
      </c>
      <c r="E5" s="12" t="s">
        <v>569</v>
      </c>
      <c r="F5" s="13" t="s">
        <v>570</v>
      </c>
      <c r="G5" s="12" t="s">
        <v>170</v>
      </c>
      <c r="H5" s="12" t="s">
        <v>212</v>
      </c>
      <c r="I5" s="28" t="s">
        <v>324</v>
      </c>
      <c r="J5" s="11" t="s">
        <v>466</v>
      </c>
      <c r="K5" s="12" t="s">
        <v>571</v>
      </c>
      <c r="L5" s="23" t="s">
        <v>482</v>
      </c>
      <c r="M5" s="16" t="s">
        <v>441</v>
      </c>
      <c r="N5" s="17" t="s">
        <v>459</v>
      </c>
      <c r="O5" s="18" t="s">
        <v>572</v>
      </c>
      <c r="P5" s="18" t="s">
        <v>573</v>
      </c>
      <c r="Q5" s="18" t="s">
        <v>574</v>
      </c>
      <c r="R5" s="25">
        <v>45</v>
      </c>
      <c r="S5" s="20" t="str">
        <f t="shared" si="0"/>
        <v>Over KPI</v>
      </c>
      <c r="T5" s="25" t="s">
        <v>469</v>
      </c>
      <c r="U5" s="12" t="s">
        <v>575</v>
      </c>
      <c r="V5" s="21" t="s">
        <v>462</v>
      </c>
      <c r="W5" s="12" t="s">
        <v>405</v>
      </c>
      <c r="X5" s="29" t="s">
        <v>576</v>
      </c>
      <c r="Y5" s="12"/>
      <c r="Z5" s="12"/>
      <c r="AA5" s="22" t="s">
        <v>130</v>
      </c>
    </row>
    <row r="6" spans="1:27" s="7" customFormat="1" ht="27" hidden="1" customHeight="1" thickBot="1" x14ac:dyDescent="0.4">
      <c r="A6" s="7" t="s">
        <v>928</v>
      </c>
      <c r="B6" s="9">
        <v>2024</v>
      </c>
      <c r="C6" s="20" t="s">
        <v>490</v>
      </c>
      <c r="D6" s="27" t="s">
        <v>411</v>
      </c>
      <c r="E6" s="12" t="s">
        <v>577</v>
      </c>
      <c r="F6" s="13" t="s">
        <v>578</v>
      </c>
      <c r="G6" s="12" t="s">
        <v>173</v>
      </c>
      <c r="H6" s="12" t="s">
        <v>214</v>
      </c>
      <c r="I6" s="12" t="s">
        <v>325</v>
      </c>
      <c r="J6" s="14" t="s">
        <v>414</v>
      </c>
      <c r="K6" s="12" t="s">
        <v>579</v>
      </c>
      <c r="L6" s="23" t="s">
        <v>482</v>
      </c>
      <c r="M6" s="16" t="s">
        <v>441</v>
      </c>
      <c r="N6" s="17" t="s">
        <v>459</v>
      </c>
      <c r="O6" s="18" t="s">
        <v>580</v>
      </c>
      <c r="P6" s="18" t="s">
        <v>581</v>
      </c>
      <c r="Q6" s="18" t="s">
        <v>582</v>
      </c>
      <c r="R6" s="19">
        <v>82</v>
      </c>
      <c r="S6" s="20" t="str">
        <f t="shared" si="0"/>
        <v>Over KPI</v>
      </c>
      <c r="T6" s="19" t="s">
        <v>421</v>
      </c>
      <c r="U6" s="30" t="s">
        <v>583</v>
      </c>
      <c r="V6" s="21" t="s">
        <v>462</v>
      </c>
      <c r="W6" s="12" t="s">
        <v>405</v>
      </c>
      <c r="X6" s="12"/>
      <c r="Y6" s="12"/>
      <c r="Z6" s="12"/>
      <c r="AA6" s="22" t="s">
        <v>130</v>
      </c>
    </row>
    <row r="7" spans="1:27" s="7" customFormat="1" ht="27" hidden="1" customHeight="1" thickBot="1" x14ac:dyDescent="0.4">
      <c r="A7" s="7" t="s">
        <v>928</v>
      </c>
      <c r="B7" s="9">
        <v>2024</v>
      </c>
      <c r="C7" s="20" t="s">
        <v>490</v>
      </c>
      <c r="D7" s="31" t="s">
        <v>176</v>
      </c>
      <c r="E7" s="12" t="s">
        <v>584</v>
      </c>
      <c r="F7" s="13" t="s">
        <v>585</v>
      </c>
      <c r="G7" s="12" t="s">
        <v>176</v>
      </c>
      <c r="H7" s="12" t="s">
        <v>216</v>
      </c>
      <c r="I7" s="12" t="s">
        <v>327</v>
      </c>
      <c r="J7" s="14" t="s">
        <v>414</v>
      </c>
      <c r="K7" s="12" t="s">
        <v>586</v>
      </c>
      <c r="L7" s="15" t="s">
        <v>426</v>
      </c>
      <c r="M7" s="16" t="s">
        <v>441</v>
      </c>
      <c r="N7" s="17" t="s">
        <v>459</v>
      </c>
      <c r="O7" s="18" t="s">
        <v>580</v>
      </c>
      <c r="P7" s="18" t="s">
        <v>587</v>
      </c>
      <c r="Q7" s="18" t="s">
        <v>588</v>
      </c>
      <c r="R7" s="19">
        <v>102</v>
      </c>
      <c r="S7" s="20" t="str">
        <f t="shared" si="0"/>
        <v>Over KPI</v>
      </c>
      <c r="T7" s="19" t="s">
        <v>421</v>
      </c>
      <c r="U7" s="12" t="s">
        <v>589</v>
      </c>
      <c r="V7" s="21" t="s">
        <v>462</v>
      </c>
      <c r="W7" s="12" t="s">
        <v>405</v>
      </c>
      <c r="X7" s="12"/>
      <c r="Y7" s="12"/>
      <c r="Z7" s="12"/>
      <c r="AA7" s="22" t="s">
        <v>130</v>
      </c>
    </row>
    <row r="8" spans="1:27" ht="27" hidden="1" customHeight="1" thickBot="1" x14ac:dyDescent="0.3">
      <c r="A8" s="41" t="s">
        <v>929</v>
      </c>
      <c r="B8" s="42">
        <v>2024</v>
      </c>
      <c r="C8" s="43" t="s">
        <v>410</v>
      </c>
      <c r="D8" s="44" t="s">
        <v>176</v>
      </c>
      <c r="E8" s="45" t="s">
        <v>342</v>
      </c>
      <c r="F8" s="46" t="s">
        <v>342</v>
      </c>
      <c r="G8" s="45" t="s">
        <v>176</v>
      </c>
      <c r="H8" s="45" t="s">
        <v>218</v>
      </c>
      <c r="I8" s="45" t="s">
        <v>328</v>
      </c>
      <c r="J8" s="47" t="s">
        <v>414</v>
      </c>
      <c r="K8" s="45" t="s">
        <v>590</v>
      </c>
      <c r="L8" s="48" t="s">
        <v>482</v>
      </c>
      <c r="M8" s="49" t="s">
        <v>441</v>
      </c>
      <c r="N8" s="50" t="s">
        <v>459</v>
      </c>
      <c r="O8" s="51" t="s">
        <v>418</v>
      </c>
      <c r="P8" s="51" t="s">
        <v>419</v>
      </c>
      <c r="Q8" s="51" t="s">
        <v>591</v>
      </c>
      <c r="R8" s="52">
        <v>127</v>
      </c>
      <c r="S8" s="43" t="str">
        <f t="shared" si="0"/>
        <v>Over KPI</v>
      </c>
      <c r="T8" s="52" t="s">
        <v>421</v>
      </c>
      <c r="U8" s="45" t="s">
        <v>592</v>
      </c>
      <c r="V8" s="53" t="s">
        <v>117</v>
      </c>
      <c r="W8" s="45" t="s">
        <v>405</v>
      </c>
      <c r="X8" s="45"/>
      <c r="Y8" s="45"/>
      <c r="Z8" s="45"/>
      <c r="AA8" s="54" t="s">
        <v>130</v>
      </c>
    </row>
    <row r="9" spans="1:27" ht="27" hidden="1" customHeight="1" thickBot="1" x14ac:dyDescent="0.3">
      <c r="A9" s="41" t="s">
        <v>929</v>
      </c>
      <c r="B9" s="42">
        <v>2024</v>
      </c>
      <c r="C9" s="43" t="s">
        <v>410</v>
      </c>
      <c r="D9" s="55" t="s">
        <v>411</v>
      </c>
      <c r="E9" s="45" t="s">
        <v>593</v>
      </c>
      <c r="F9" s="46" t="s">
        <v>330</v>
      </c>
      <c r="G9" s="45" t="s">
        <v>179</v>
      </c>
      <c r="H9" s="45" t="s">
        <v>220</v>
      </c>
      <c r="I9" s="45" t="s">
        <v>330</v>
      </c>
      <c r="J9" s="56" t="s">
        <v>466</v>
      </c>
      <c r="K9" s="45" t="s">
        <v>594</v>
      </c>
      <c r="L9" s="48" t="s">
        <v>482</v>
      </c>
      <c r="M9" s="49" t="s">
        <v>441</v>
      </c>
      <c r="N9" s="50" t="s">
        <v>459</v>
      </c>
      <c r="O9" s="51" t="s">
        <v>595</v>
      </c>
      <c r="P9" s="51" t="s">
        <v>587</v>
      </c>
      <c r="Q9" s="51" t="s">
        <v>596</v>
      </c>
      <c r="R9" s="52">
        <v>106</v>
      </c>
      <c r="S9" s="43" t="str">
        <f t="shared" si="0"/>
        <v>Over KPI</v>
      </c>
      <c r="T9" s="52" t="s">
        <v>421</v>
      </c>
      <c r="U9" s="45" t="s">
        <v>597</v>
      </c>
      <c r="V9" s="57" t="s">
        <v>598</v>
      </c>
      <c r="W9" s="45" t="s">
        <v>405</v>
      </c>
      <c r="X9" s="51" t="s">
        <v>599</v>
      </c>
      <c r="Y9" s="58" t="s">
        <v>600</v>
      </c>
      <c r="Z9" s="59" t="s">
        <v>437</v>
      </c>
      <c r="AA9" s="54" t="s">
        <v>130</v>
      </c>
    </row>
    <row r="10" spans="1:27" s="7" customFormat="1" ht="27" hidden="1" customHeight="1" thickBot="1" x14ac:dyDescent="0.4">
      <c r="A10" s="7" t="s">
        <v>928</v>
      </c>
      <c r="B10" s="9">
        <v>2024</v>
      </c>
      <c r="C10" s="20" t="s">
        <v>410</v>
      </c>
      <c r="D10" s="27" t="s">
        <v>411</v>
      </c>
      <c r="E10" s="12" t="s">
        <v>601</v>
      </c>
      <c r="F10" s="13" t="s">
        <v>602</v>
      </c>
      <c r="G10" s="12" t="s">
        <v>182</v>
      </c>
      <c r="H10" s="12"/>
      <c r="I10" s="12" t="s">
        <v>331</v>
      </c>
      <c r="J10" s="14" t="s">
        <v>414</v>
      </c>
      <c r="K10" s="12" t="s">
        <v>603</v>
      </c>
      <c r="L10" s="31" t="s">
        <v>415</v>
      </c>
      <c r="M10" s="16" t="s">
        <v>441</v>
      </c>
      <c r="N10" s="17" t="s">
        <v>459</v>
      </c>
      <c r="O10" s="18" t="s">
        <v>418</v>
      </c>
      <c r="P10" s="18" t="s">
        <v>419</v>
      </c>
      <c r="Q10" s="18" t="s">
        <v>604</v>
      </c>
      <c r="R10" s="25">
        <v>43</v>
      </c>
      <c r="S10" s="20" t="str">
        <f t="shared" si="0"/>
        <v>Over KPI</v>
      </c>
      <c r="T10" s="25" t="s">
        <v>469</v>
      </c>
      <c r="U10" s="12" t="s">
        <v>605</v>
      </c>
      <c r="V10" s="32" t="s">
        <v>598</v>
      </c>
      <c r="W10" s="12" t="s">
        <v>405</v>
      </c>
      <c r="X10" s="29" t="s">
        <v>606</v>
      </c>
      <c r="Y10" s="12"/>
      <c r="Z10" s="12"/>
      <c r="AA10" s="22" t="s">
        <v>130</v>
      </c>
    </row>
    <row r="11" spans="1:27" s="7" customFormat="1" ht="27" hidden="1" customHeight="1" thickBot="1" x14ac:dyDescent="0.4">
      <c r="A11" s="7" t="s">
        <v>928</v>
      </c>
      <c r="B11" s="9">
        <v>2024</v>
      </c>
      <c r="C11" s="20" t="s">
        <v>410</v>
      </c>
      <c r="D11" s="27" t="s">
        <v>411</v>
      </c>
      <c r="E11" s="12" t="s">
        <v>412</v>
      </c>
      <c r="F11" s="13" t="s">
        <v>413</v>
      </c>
      <c r="G11" s="12" t="s">
        <v>185</v>
      </c>
      <c r="H11" s="12" t="s">
        <v>224</v>
      </c>
      <c r="I11" s="12" t="s">
        <v>167</v>
      </c>
      <c r="J11" s="14" t="s">
        <v>414</v>
      </c>
      <c r="K11" s="12"/>
      <c r="L11" s="31" t="s">
        <v>415</v>
      </c>
      <c r="M11" s="12" t="s">
        <v>416</v>
      </c>
      <c r="N11" s="33" t="s">
        <v>417</v>
      </c>
      <c r="O11" s="18" t="s">
        <v>418</v>
      </c>
      <c r="P11" s="18" t="s">
        <v>419</v>
      </c>
      <c r="Q11" s="18" t="s">
        <v>420</v>
      </c>
      <c r="R11" s="19">
        <v>298</v>
      </c>
      <c r="S11" s="20" t="str">
        <f t="shared" si="0"/>
        <v>Over KPI</v>
      </c>
      <c r="T11" s="19" t="s">
        <v>421</v>
      </c>
      <c r="U11" s="12"/>
      <c r="V11" s="12"/>
      <c r="W11" s="12" t="s">
        <v>405</v>
      </c>
      <c r="X11" s="12"/>
      <c r="Y11" s="12"/>
      <c r="Z11" s="12"/>
      <c r="AA11" s="9" t="s">
        <v>416</v>
      </c>
    </row>
    <row r="12" spans="1:27" ht="27" hidden="1" customHeight="1" thickBot="1" x14ac:dyDescent="0.3">
      <c r="A12" s="41" t="s">
        <v>929</v>
      </c>
      <c r="B12" s="42">
        <v>2024</v>
      </c>
      <c r="C12" s="43" t="s">
        <v>511</v>
      </c>
      <c r="D12" s="55" t="s">
        <v>411</v>
      </c>
      <c r="E12" s="45" t="s">
        <v>542</v>
      </c>
      <c r="F12" s="46" t="s">
        <v>607</v>
      </c>
      <c r="G12" s="45" t="s">
        <v>170</v>
      </c>
      <c r="H12" s="45" t="s">
        <v>226</v>
      </c>
      <c r="I12" s="45" t="s">
        <v>333</v>
      </c>
      <c r="J12" s="47" t="s">
        <v>414</v>
      </c>
      <c r="K12" s="45" t="s">
        <v>608</v>
      </c>
      <c r="L12" s="48" t="s">
        <v>482</v>
      </c>
      <c r="M12" s="49" t="s">
        <v>441</v>
      </c>
      <c r="N12" s="50" t="s">
        <v>459</v>
      </c>
      <c r="O12" s="51" t="s">
        <v>609</v>
      </c>
      <c r="P12" s="51" t="s">
        <v>610</v>
      </c>
      <c r="Q12" s="51" t="s">
        <v>611</v>
      </c>
      <c r="R12" s="52">
        <v>73</v>
      </c>
      <c r="S12" s="43" t="str">
        <f t="shared" si="0"/>
        <v>Over KPI</v>
      </c>
      <c r="T12" s="52" t="s">
        <v>421</v>
      </c>
      <c r="U12" s="45" t="s">
        <v>612</v>
      </c>
      <c r="V12" s="60" t="s">
        <v>462</v>
      </c>
      <c r="W12" s="45" t="s">
        <v>405</v>
      </c>
      <c r="X12" s="61" t="s">
        <v>613</v>
      </c>
      <c r="Y12" s="45"/>
      <c r="Z12" s="45"/>
      <c r="AA12" s="54" t="s">
        <v>130</v>
      </c>
    </row>
    <row r="13" spans="1:27" s="7" customFormat="1" ht="27" hidden="1" customHeight="1" thickBot="1" x14ac:dyDescent="0.4">
      <c r="A13" s="7" t="s">
        <v>928</v>
      </c>
      <c r="B13" s="9">
        <v>2024</v>
      </c>
      <c r="C13" s="20" t="s">
        <v>511</v>
      </c>
      <c r="D13" s="27" t="s">
        <v>411</v>
      </c>
      <c r="E13" s="12" t="s">
        <v>542</v>
      </c>
      <c r="F13" s="13" t="s">
        <v>614</v>
      </c>
      <c r="G13" s="12" t="s">
        <v>188</v>
      </c>
      <c r="H13" s="12" t="s">
        <v>228</v>
      </c>
      <c r="I13" s="12" t="s">
        <v>334</v>
      </c>
      <c r="J13" s="23" t="s">
        <v>425</v>
      </c>
      <c r="K13" s="12"/>
      <c r="L13" s="23" t="s">
        <v>482</v>
      </c>
      <c r="M13" s="16" t="s">
        <v>441</v>
      </c>
      <c r="N13" s="17" t="s">
        <v>459</v>
      </c>
      <c r="O13" s="18" t="s">
        <v>609</v>
      </c>
      <c r="P13" s="18" t="s">
        <v>610</v>
      </c>
      <c r="Q13" s="18" t="s">
        <v>582</v>
      </c>
      <c r="R13" s="25">
        <v>42</v>
      </c>
      <c r="S13" s="20" t="str">
        <f t="shared" si="0"/>
        <v>Over KPI</v>
      </c>
      <c r="T13" s="25" t="s">
        <v>469</v>
      </c>
      <c r="U13" s="12" t="s">
        <v>615</v>
      </c>
      <c r="V13" s="21" t="s">
        <v>462</v>
      </c>
      <c r="W13" s="12" t="s">
        <v>405</v>
      </c>
      <c r="X13" s="29" t="s">
        <v>562</v>
      </c>
      <c r="Y13" s="12"/>
      <c r="Z13" s="12"/>
      <c r="AA13" s="22" t="s">
        <v>130</v>
      </c>
    </row>
    <row r="14" spans="1:27" s="7" customFormat="1" ht="27" hidden="1" customHeight="1" thickBot="1" x14ac:dyDescent="0.4">
      <c r="A14" s="7" t="s">
        <v>928</v>
      </c>
      <c r="B14" s="9">
        <v>2024</v>
      </c>
      <c r="C14" s="20" t="s">
        <v>511</v>
      </c>
      <c r="D14" s="27" t="s">
        <v>411</v>
      </c>
      <c r="E14" s="12" t="s">
        <v>569</v>
      </c>
      <c r="F14" s="13" t="s">
        <v>569</v>
      </c>
      <c r="G14" s="12" t="s">
        <v>170</v>
      </c>
      <c r="H14" s="12" t="s">
        <v>212</v>
      </c>
      <c r="I14" s="28" t="s">
        <v>324</v>
      </c>
      <c r="J14" s="11" t="s">
        <v>466</v>
      </c>
      <c r="K14" s="12" t="s">
        <v>616</v>
      </c>
      <c r="L14" s="23" t="s">
        <v>482</v>
      </c>
      <c r="M14" s="16" t="s">
        <v>441</v>
      </c>
      <c r="N14" s="17" t="s">
        <v>459</v>
      </c>
      <c r="O14" s="18" t="s">
        <v>617</v>
      </c>
      <c r="P14" s="18" t="s">
        <v>618</v>
      </c>
      <c r="Q14" s="18" t="s">
        <v>619</v>
      </c>
      <c r="R14" s="25">
        <v>38</v>
      </c>
      <c r="S14" s="20" t="str">
        <f t="shared" si="0"/>
        <v>Over KPI</v>
      </c>
      <c r="T14" s="25" t="s">
        <v>469</v>
      </c>
      <c r="U14" s="12" t="s">
        <v>620</v>
      </c>
      <c r="V14" s="21" t="s">
        <v>462</v>
      </c>
      <c r="W14" s="12" t="s">
        <v>405</v>
      </c>
      <c r="X14" s="12"/>
      <c r="Y14" s="12"/>
      <c r="Z14" s="12"/>
      <c r="AA14" s="22" t="s">
        <v>130</v>
      </c>
    </row>
    <row r="15" spans="1:27" ht="27" hidden="1" customHeight="1" thickBot="1" x14ac:dyDescent="0.3">
      <c r="A15" s="41" t="s">
        <v>929</v>
      </c>
      <c r="B15" s="42">
        <v>2024</v>
      </c>
      <c r="C15" s="43" t="s">
        <v>464</v>
      </c>
      <c r="D15" s="55" t="s">
        <v>411</v>
      </c>
      <c r="E15" s="45" t="s">
        <v>621</v>
      </c>
      <c r="F15" s="46" t="s">
        <v>621</v>
      </c>
      <c r="G15" s="45" t="s">
        <v>161</v>
      </c>
      <c r="H15" s="45" t="s">
        <v>230</v>
      </c>
      <c r="I15" s="45" t="s">
        <v>335</v>
      </c>
      <c r="J15" s="47" t="s">
        <v>414</v>
      </c>
      <c r="K15" s="45" t="s">
        <v>622</v>
      </c>
      <c r="L15" s="59" t="s">
        <v>426</v>
      </c>
      <c r="M15" s="49" t="s">
        <v>441</v>
      </c>
      <c r="N15" s="50" t="s">
        <v>459</v>
      </c>
      <c r="O15" s="51" t="s">
        <v>420</v>
      </c>
      <c r="P15" s="51" t="s">
        <v>623</v>
      </c>
      <c r="Q15" s="51" t="s">
        <v>624</v>
      </c>
      <c r="R15" s="52">
        <v>110</v>
      </c>
      <c r="S15" s="43" t="str">
        <f t="shared" si="0"/>
        <v>Over KPI</v>
      </c>
      <c r="T15" s="52" t="s">
        <v>421</v>
      </c>
      <c r="U15" s="45" t="s">
        <v>625</v>
      </c>
      <c r="V15" s="60" t="s">
        <v>462</v>
      </c>
      <c r="W15" s="45" t="s">
        <v>405</v>
      </c>
      <c r="X15" s="51" t="s">
        <v>626</v>
      </c>
      <c r="Y15" s="45"/>
      <c r="Z15" s="45"/>
      <c r="AA15" s="54" t="s">
        <v>130</v>
      </c>
    </row>
    <row r="16" spans="1:27" ht="27" hidden="1" customHeight="1" thickBot="1" x14ac:dyDescent="0.3">
      <c r="A16" s="41" t="s">
        <v>929</v>
      </c>
      <c r="B16" s="42">
        <v>2024</v>
      </c>
      <c r="C16" s="43" t="s">
        <v>422</v>
      </c>
      <c r="D16" s="55" t="s">
        <v>411</v>
      </c>
      <c r="E16" s="45" t="s">
        <v>627</v>
      </c>
      <c r="F16" s="46" t="s">
        <v>628</v>
      </c>
      <c r="G16" s="45" t="s">
        <v>191</v>
      </c>
      <c r="H16" s="45" t="s">
        <v>232</v>
      </c>
      <c r="I16" s="45" t="s">
        <v>336</v>
      </c>
      <c r="J16" s="47" t="s">
        <v>414</v>
      </c>
      <c r="K16" s="45" t="s">
        <v>629</v>
      </c>
      <c r="L16" s="48" t="s">
        <v>482</v>
      </c>
      <c r="M16" s="49" t="s">
        <v>441</v>
      </c>
      <c r="N16" s="50" t="s">
        <v>459</v>
      </c>
      <c r="O16" s="51" t="s">
        <v>630</v>
      </c>
      <c r="P16" s="51" t="s">
        <v>631</v>
      </c>
      <c r="Q16" s="51" t="s">
        <v>632</v>
      </c>
      <c r="R16" s="62">
        <v>7</v>
      </c>
      <c r="S16" s="43" t="str">
        <f t="shared" si="0"/>
        <v>In KPI</v>
      </c>
      <c r="T16" s="62" t="s">
        <v>536</v>
      </c>
      <c r="U16" s="45" t="s">
        <v>633</v>
      </c>
      <c r="V16" s="57" t="s">
        <v>598</v>
      </c>
      <c r="W16" s="45" t="s">
        <v>405</v>
      </c>
      <c r="X16" s="51" t="s">
        <v>626</v>
      </c>
      <c r="Y16" s="45"/>
      <c r="Z16" s="45"/>
      <c r="AA16" s="54" t="s">
        <v>130</v>
      </c>
    </row>
    <row r="17" spans="1:27" s="7" customFormat="1" ht="15.6" hidden="1" thickBot="1" x14ac:dyDescent="0.4">
      <c r="A17" s="7" t="s">
        <v>928</v>
      </c>
      <c r="B17" s="9">
        <v>2024</v>
      </c>
      <c r="C17" s="20" t="s">
        <v>464</v>
      </c>
      <c r="D17" s="27" t="s">
        <v>411</v>
      </c>
      <c r="E17" s="12" t="s">
        <v>601</v>
      </c>
      <c r="F17" s="13" t="s">
        <v>602</v>
      </c>
      <c r="G17" s="12" t="s">
        <v>182</v>
      </c>
      <c r="H17" s="12" t="s">
        <v>222</v>
      </c>
      <c r="I17" s="12"/>
      <c r="J17" s="31" t="s">
        <v>445</v>
      </c>
      <c r="K17" s="12"/>
      <c r="L17" s="23" t="s">
        <v>482</v>
      </c>
      <c r="M17" s="16" t="s">
        <v>441</v>
      </c>
      <c r="N17" s="17" t="s">
        <v>459</v>
      </c>
      <c r="O17" s="18" t="s">
        <v>420</v>
      </c>
      <c r="P17" s="18" t="s">
        <v>634</v>
      </c>
      <c r="Q17" s="18" t="s">
        <v>635</v>
      </c>
      <c r="R17" s="9">
        <v>-15</v>
      </c>
      <c r="S17" s="20" t="str">
        <f t="shared" si="0"/>
        <v>In KPI</v>
      </c>
      <c r="T17" s="19" t="s">
        <v>421</v>
      </c>
      <c r="U17" s="12" t="s">
        <v>636</v>
      </c>
      <c r="V17" s="21" t="s">
        <v>462</v>
      </c>
      <c r="W17" s="12" t="s">
        <v>405</v>
      </c>
      <c r="X17" s="29" t="s">
        <v>606</v>
      </c>
      <c r="Y17" s="12"/>
      <c r="Z17" s="12"/>
      <c r="AA17" s="22" t="s">
        <v>130</v>
      </c>
    </row>
    <row r="18" spans="1:27" ht="14.4" hidden="1" thickBot="1" x14ac:dyDescent="0.3">
      <c r="A18" s="41" t="s">
        <v>930</v>
      </c>
      <c r="B18" s="63">
        <v>2025</v>
      </c>
      <c r="C18" s="43" t="s">
        <v>422</v>
      </c>
      <c r="D18" s="55" t="s">
        <v>411</v>
      </c>
      <c r="E18" s="64" t="s">
        <v>542</v>
      </c>
      <c r="F18" s="46" t="s">
        <v>637</v>
      </c>
      <c r="G18" s="45" t="s">
        <v>182</v>
      </c>
      <c r="H18" s="45" t="s">
        <v>234</v>
      </c>
      <c r="I18" s="45" t="s">
        <v>337</v>
      </c>
      <c r="J18" s="47" t="s">
        <v>414</v>
      </c>
      <c r="K18" s="45" t="s">
        <v>638</v>
      </c>
      <c r="L18" s="48" t="s">
        <v>482</v>
      </c>
      <c r="M18" s="49" t="s">
        <v>441</v>
      </c>
      <c r="N18" s="50" t="s">
        <v>459</v>
      </c>
      <c r="O18" s="51" t="s">
        <v>639</v>
      </c>
      <c r="P18" s="51" t="s">
        <v>443</v>
      </c>
      <c r="Q18" s="51" t="s">
        <v>640</v>
      </c>
      <c r="R18" s="52">
        <v>105</v>
      </c>
      <c r="S18" s="43" t="str">
        <f t="shared" si="0"/>
        <v>Over KPI</v>
      </c>
      <c r="T18" s="52" t="s">
        <v>421</v>
      </c>
      <c r="U18" s="45" t="s">
        <v>641</v>
      </c>
      <c r="V18" s="60" t="s">
        <v>462</v>
      </c>
      <c r="W18" s="45" t="s">
        <v>405</v>
      </c>
      <c r="X18" s="61" t="s">
        <v>642</v>
      </c>
      <c r="Y18" s="58" t="s">
        <v>643</v>
      </c>
      <c r="Z18" s="48" t="s">
        <v>430</v>
      </c>
      <c r="AA18" s="54" t="s">
        <v>130</v>
      </c>
    </row>
    <row r="19" spans="1:27" s="7" customFormat="1" ht="15.6" hidden="1" thickBot="1" x14ac:dyDescent="0.4">
      <c r="A19" s="7" t="s">
        <v>928</v>
      </c>
      <c r="B19" s="9">
        <v>2024</v>
      </c>
      <c r="C19" s="20" t="s">
        <v>644</v>
      </c>
      <c r="D19" s="27" t="s">
        <v>411</v>
      </c>
      <c r="E19" s="12" t="s">
        <v>645</v>
      </c>
      <c r="F19" s="13" t="s">
        <v>645</v>
      </c>
      <c r="G19" s="12" t="s">
        <v>170</v>
      </c>
      <c r="H19" s="12" t="s">
        <v>236</v>
      </c>
      <c r="I19" s="12"/>
      <c r="J19" s="14" t="s">
        <v>414</v>
      </c>
      <c r="K19" s="12"/>
      <c r="L19" s="23" t="s">
        <v>482</v>
      </c>
      <c r="M19" s="16" t="s">
        <v>441</v>
      </c>
      <c r="N19" s="17" t="s">
        <v>459</v>
      </c>
      <c r="O19" s="18" t="s">
        <v>646</v>
      </c>
      <c r="P19" s="18" t="s">
        <v>647</v>
      </c>
      <c r="Q19" s="18" t="s">
        <v>646</v>
      </c>
      <c r="R19" s="9">
        <v>0</v>
      </c>
      <c r="S19" s="20" t="str">
        <f t="shared" si="0"/>
        <v>In KPI</v>
      </c>
      <c r="T19" s="19" t="s">
        <v>421</v>
      </c>
      <c r="U19" s="12" t="s">
        <v>648</v>
      </c>
      <c r="V19" s="21" t="s">
        <v>462</v>
      </c>
      <c r="W19" s="12" t="s">
        <v>405</v>
      </c>
      <c r="X19" s="29" t="s">
        <v>576</v>
      </c>
      <c r="Y19" s="12"/>
      <c r="Z19" s="12"/>
      <c r="AA19" s="22" t="s">
        <v>130</v>
      </c>
    </row>
    <row r="20" spans="1:27" s="89" customFormat="1" ht="27" hidden="1" customHeight="1" thickBot="1" x14ac:dyDescent="0.3">
      <c r="A20" s="89" t="s">
        <v>930</v>
      </c>
      <c r="B20" s="90">
        <v>2024</v>
      </c>
      <c r="C20" s="90" t="s">
        <v>644</v>
      </c>
      <c r="D20" s="91" t="s">
        <v>411</v>
      </c>
      <c r="E20" s="92" t="s">
        <v>542</v>
      </c>
      <c r="F20" s="92" t="s">
        <v>649</v>
      </c>
      <c r="G20" s="92" t="s">
        <v>191</v>
      </c>
      <c r="H20" s="92" t="s">
        <v>238</v>
      </c>
      <c r="I20" s="92" t="s">
        <v>338</v>
      </c>
      <c r="J20" s="93" t="s">
        <v>414</v>
      </c>
      <c r="K20" s="92"/>
      <c r="L20" s="94" t="s">
        <v>482</v>
      </c>
      <c r="M20" s="92" t="s">
        <v>441</v>
      </c>
      <c r="N20" s="95" t="s">
        <v>459</v>
      </c>
      <c r="O20" s="96" t="s">
        <v>646</v>
      </c>
      <c r="P20" s="96" t="s">
        <v>647</v>
      </c>
      <c r="Q20" s="96" t="s">
        <v>588</v>
      </c>
      <c r="R20" s="90">
        <v>19</v>
      </c>
      <c r="S20" s="90" t="str">
        <f t="shared" si="0"/>
        <v>In KPI</v>
      </c>
      <c r="T20" s="90" t="s">
        <v>650</v>
      </c>
      <c r="U20" s="92"/>
      <c r="V20" s="97" t="s">
        <v>462</v>
      </c>
      <c r="W20" s="92" t="s">
        <v>405</v>
      </c>
      <c r="X20" s="92"/>
      <c r="Y20" s="92"/>
      <c r="Z20" s="92"/>
      <c r="AA20" s="98" t="s">
        <v>130</v>
      </c>
    </row>
    <row r="21" spans="1:27" ht="27" hidden="1" customHeight="1" thickBot="1" x14ac:dyDescent="0.3">
      <c r="A21" s="41" t="s">
        <v>929</v>
      </c>
      <c r="B21" s="63">
        <v>2024</v>
      </c>
      <c r="C21" s="43" t="s">
        <v>644</v>
      </c>
      <c r="D21" s="55" t="s">
        <v>411</v>
      </c>
      <c r="E21" s="66" t="s">
        <v>542</v>
      </c>
      <c r="F21" s="46" t="s">
        <v>651</v>
      </c>
      <c r="G21" s="45" t="s">
        <v>182</v>
      </c>
      <c r="H21" s="45" t="s">
        <v>222</v>
      </c>
      <c r="I21" s="45"/>
      <c r="J21" s="47" t="s">
        <v>414</v>
      </c>
      <c r="K21" s="45" t="s">
        <v>652</v>
      </c>
      <c r="L21" s="48" t="s">
        <v>482</v>
      </c>
      <c r="M21" s="49" t="s">
        <v>441</v>
      </c>
      <c r="N21" s="50" t="s">
        <v>459</v>
      </c>
      <c r="O21" s="51" t="s">
        <v>653</v>
      </c>
      <c r="P21" s="51" t="s">
        <v>654</v>
      </c>
      <c r="Q21" s="51" t="s">
        <v>655</v>
      </c>
      <c r="R21" s="52">
        <v>100</v>
      </c>
      <c r="S21" s="43" t="str">
        <f t="shared" si="0"/>
        <v>Over KPI</v>
      </c>
      <c r="T21" s="52" t="s">
        <v>421</v>
      </c>
      <c r="U21" s="45" t="s">
        <v>656</v>
      </c>
      <c r="V21" s="60" t="s">
        <v>462</v>
      </c>
      <c r="W21" s="45" t="s">
        <v>405</v>
      </c>
      <c r="X21" s="51" t="s">
        <v>657</v>
      </c>
      <c r="Y21" s="58" t="s">
        <v>658</v>
      </c>
      <c r="Z21" s="59" t="s">
        <v>437</v>
      </c>
      <c r="AA21" s="54" t="s">
        <v>130</v>
      </c>
    </row>
    <row r="22" spans="1:27" ht="27" customHeight="1" thickBot="1" x14ac:dyDescent="0.3">
      <c r="A22" s="41" t="s">
        <v>929</v>
      </c>
      <c r="B22" s="63">
        <v>2024</v>
      </c>
      <c r="C22" s="43" t="s">
        <v>644</v>
      </c>
      <c r="D22" s="55" t="s">
        <v>411</v>
      </c>
      <c r="E22" s="45" t="s">
        <v>542</v>
      </c>
      <c r="F22" s="46" t="s">
        <v>659</v>
      </c>
      <c r="G22" s="45" t="s">
        <v>182</v>
      </c>
      <c r="H22" s="45" t="s">
        <v>272</v>
      </c>
      <c r="I22" s="45" t="s">
        <v>350</v>
      </c>
      <c r="J22" s="44" t="s">
        <v>445</v>
      </c>
      <c r="K22" s="45" t="s">
        <v>660</v>
      </c>
      <c r="L22" s="48" t="s">
        <v>482</v>
      </c>
      <c r="M22" s="49" t="s">
        <v>441</v>
      </c>
      <c r="N22" s="50" t="s">
        <v>459</v>
      </c>
      <c r="O22" s="51" t="s">
        <v>661</v>
      </c>
      <c r="P22" s="51" t="s">
        <v>662</v>
      </c>
      <c r="Q22" s="51" t="s">
        <v>639</v>
      </c>
      <c r="R22" s="67">
        <v>37</v>
      </c>
      <c r="S22" s="43" t="str">
        <f t="shared" si="0"/>
        <v>Over KPI</v>
      </c>
      <c r="T22" s="67" t="s">
        <v>469</v>
      </c>
      <c r="U22" s="64" t="s">
        <v>663</v>
      </c>
      <c r="V22" s="53" t="s">
        <v>117</v>
      </c>
      <c r="W22" s="45" t="s">
        <v>405</v>
      </c>
      <c r="X22" s="45"/>
      <c r="Y22" s="58" t="s">
        <v>664</v>
      </c>
      <c r="Z22" s="59" t="s">
        <v>437</v>
      </c>
      <c r="AA22" s="54" t="s">
        <v>130</v>
      </c>
    </row>
    <row r="23" spans="1:27" ht="27" hidden="1" customHeight="1" thickBot="1" x14ac:dyDescent="0.3">
      <c r="A23" s="41" t="s">
        <v>929</v>
      </c>
      <c r="B23" s="42">
        <v>2024</v>
      </c>
      <c r="C23" s="43" t="s">
        <v>644</v>
      </c>
      <c r="D23" s="55" t="s">
        <v>411</v>
      </c>
      <c r="E23" s="45" t="s">
        <v>665</v>
      </c>
      <c r="F23" s="46" t="s">
        <v>666</v>
      </c>
      <c r="G23" s="45" t="s">
        <v>164</v>
      </c>
      <c r="H23" s="45" t="s">
        <v>240</v>
      </c>
      <c r="I23" s="45" t="s">
        <v>339</v>
      </c>
      <c r="J23" s="56" t="s">
        <v>466</v>
      </c>
      <c r="K23" s="45" t="s">
        <v>667</v>
      </c>
      <c r="L23" s="59" t="s">
        <v>426</v>
      </c>
      <c r="M23" s="49" t="s">
        <v>441</v>
      </c>
      <c r="N23" s="50" t="s">
        <v>459</v>
      </c>
      <c r="O23" s="51" t="s">
        <v>582</v>
      </c>
      <c r="P23" s="51" t="s">
        <v>668</v>
      </c>
      <c r="Q23" s="51" t="s">
        <v>596</v>
      </c>
      <c r="R23" s="67">
        <v>39</v>
      </c>
      <c r="S23" s="43" t="str">
        <f t="shared" si="0"/>
        <v>In KPI</v>
      </c>
      <c r="T23" s="67" t="s">
        <v>469</v>
      </c>
      <c r="U23" s="45" t="s">
        <v>669</v>
      </c>
      <c r="V23" s="57" t="s">
        <v>598</v>
      </c>
      <c r="W23" s="45" t="s">
        <v>405</v>
      </c>
      <c r="X23" s="45"/>
      <c r="Y23" s="58" t="s">
        <v>670</v>
      </c>
      <c r="Z23" s="48" t="s">
        <v>430</v>
      </c>
      <c r="AA23" s="54" t="s">
        <v>130</v>
      </c>
    </row>
    <row r="24" spans="1:27" ht="27" hidden="1" customHeight="1" thickBot="1" x14ac:dyDescent="0.3">
      <c r="A24" s="41" t="s">
        <v>929</v>
      </c>
      <c r="B24" s="42">
        <v>2025</v>
      </c>
      <c r="C24" s="43" t="s">
        <v>556</v>
      </c>
      <c r="D24" s="55" t="s">
        <v>411</v>
      </c>
      <c r="E24" s="45" t="s">
        <v>542</v>
      </c>
      <c r="F24" s="46" t="s">
        <v>671</v>
      </c>
      <c r="G24" s="45" t="s">
        <v>155</v>
      </c>
      <c r="H24" s="45" t="s">
        <v>262</v>
      </c>
      <c r="I24" s="45" t="s">
        <v>340</v>
      </c>
      <c r="J24" s="47" t="s">
        <v>414</v>
      </c>
      <c r="K24" s="45" t="s">
        <v>672</v>
      </c>
      <c r="L24" s="48" t="s">
        <v>482</v>
      </c>
      <c r="M24" s="49" t="s">
        <v>441</v>
      </c>
      <c r="N24" s="50" t="s">
        <v>459</v>
      </c>
      <c r="O24" s="51" t="s">
        <v>673</v>
      </c>
      <c r="P24" s="51" t="s">
        <v>674</v>
      </c>
      <c r="Q24" s="51" t="s">
        <v>675</v>
      </c>
      <c r="R24" s="65">
        <v>18</v>
      </c>
      <c r="S24" s="43" t="str">
        <f t="shared" si="0"/>
        <v>In KPI</v>
      </c>
      <c r="T24" s="65" t="s">
        <v>650</v>
      </c>
      <c r="U24" s="45" t="s">
        <v>676</v>
      </c>
      <c r="V24" s="60" t="s">
        <v>462</v>
      </c>
      <c r="W24" s="45" t="s">
        <v>405</v>
      </c>
      <c r="X24" s="61" t="s">
        <v>677</v>
      </c>
      <c r="Y24" s="58" t="s">
        <v>678</v>
      </c>
      <c r="Z24" s="59" t="s">
        <v>437</v>
      </c>
      <c r="AA24" s="54" t="s">
        <v>130</v>
      </c>
    </row>
    <row r="25" spans="1:27" ht="27" hidden="1" customHeight="1" thickBot="1" x14ac:dyDescent="0.3">
      <c r="A25" s="41" t="s">
        <v>929</v>
      </c>
      <c r="B25" s="42">
        <v>2025</v>
      </c>
      <c r="C25" s="43" t="s">
        <v>556</v>
      </c>
      <c r="D25" s="55" t="s">
        <v>411</v>
      </c>
      <c r="E25" s="45" t="s">
        <v>542</v>
      </c>
      <c r="F25" s="46" t="s">
        <v>671</v>
      </c>
      <c r="G25" s="45" t="s">
        <v>155</v>
      </c>
      <c r="H25" s="45" t="s">
        <v>262</v>
      </c>
      <c r="I25" s="45" t="s">
        <v>340</v>
      </c>
      <c r="J25" s="47" t="s">
        <v>414</v>
      </c>
      <c r="K25" s="45" t="s">
        <v>679</v>
      </c>
      <c r="L25" s="48" t="s">
        <v>482</v>
      </c>
      <c r="M25" s="49" t="s">
        <v>441</v>
      </c>
      <c r="N25" s="50" t="s">
        <v>459</v>
      </c>
      <c r="O25" s="51" t="s">
        <v>673</v>
      </c>
      <c r="P25" s="51" t="s">
        <v>674</v>
      </c>
      <c r="Q25" s="51" t="s">
        <v>675</v>
      </c>
      <c r="R25" s="65">
        <v>18</v>
      </c>
      <c r="S25" s="43" t="str">
        <f t="shared" si="0"/>
        <v>In KPI</v>
      </c>
      <c r="T25" s="65" t="s">
        <v>650</v>
      </c>
      <c r="U25" s="45" t="s">
        <v>680</v>
      </c>
      <c r="V25" s="60" t="s">
        <v>462</v>
      </c>
      <c r="W25" s="45" t="s">
        <v>405</v>
      </c>
      <c r="X25" s="61" t="s">
        <v>606</v>
      </c>
      <c r="Y25" s="58" t="s">
        <v>678</v>
      </c>
      <c r="Z25" s="59" t="s">
        <v>437</v>
      </c>
      <c r="AA25" s="54" t="s">
        <v>130</v>
      </c>
    </row>
    <row r="26" spans="1:27" s="7" customFormat="1" ht="27" hidden="1" customHeight="1" thickBot="1" x14ac:dyDescent="0.4">
      <c r="B26" s="9">
        <v>2025</v>
      </c>
      <c r="C26" s="20" t="s">
        <v>556</v>
      </c>
      <c r="D26" s="11" t="s">
        <v>438</v>
      </c>
      <c r="E26" s="12" t="s">
        <v>542</v>
      </c>
      <c r="F26" s="13" t="s">
        <v>681</v>
      </c>
      <c r="G26" s="12" t="s">
        <v>146</v>
      </c>
      <c r="H26" s="12" t="s">
        <v>156</v>
      </c>
      <c r="I26" s="12" t="s">
        <v>213</v>
      </c>
      <c r="J26" s="11" t="s">
        <v>466</v>
      </c>
      <c r="K26" s="12" t="s">
        <v>682</v>
      </c>
      <c r="L26" s="23" t="s">
        <v>482</v>
      </c>
      <c r="M26" s="16" t="s">
        <v>441</v>
      </c>
      <c r="N26" s="17" t="s">
        <v>459</v>
      </c>
      <c r="O26" s="18" t="s">
        <v>683</v>
      </c>
      <c r="P26" s="18" t="s">
        <v>668</v>
      </c>
      <c r="Q26" s="18" t="s">
        <v>684</v>
      </c>
      <c r="R26" s="9">
        <v>0</v>
      </c>
      <c r="S26" s="20" t="str">
        <f t="shared" si="0"/>
        <v>In KPI</v>
      </c>
      <c r="T26" s="19" t="s">
        <v>421</v>
      </c>
      <c r="U26" s="12" t="s">
        <v>685</v>
      </c>
      <c r="V26" s="24" t="s">
        <v>117</v>
      </c>
      <c r="W26" s="12" t="s">
        <v>405</v>
      </c>
      <c r="X26" s="18" t="s">
        <v>613</v>
      </c>
      <c r="Y26" s="12"/>
      <c r="Z26" s="15" t="s">
        <v>437</v>
      </c>
      <c r="AA26" s="22" t="s">
        <v>130</v>
      </c>
    </row>
    <row r="27" spans="1:27" s="7" customFormat="1" ht="27" hidden="1" customHeight="1" thickBot="1" x14ac:dyDescent="0.4">
      <c r="B27" s="9">
        <v>2025</v>
      </c>
      <c r="C27" s="20" t="s">
        <v>422</v>
      </c>
      <c r="D27" s="11" t="s">
        <v>438</v>
      </c>
      <c r="E27" s="12" t="s">
        <v>542</v>
      </c>
      <c r="F27" s="13" t="s">
        <v>681</v>
      </c>
      <c r="G27" s="12" t="s">
        <v>149</v>
      </c>
      <c r="H27" s="12" t="s">
        <v>159</v>
      </c>
      <c r="I27" s="12" t="s">
        <v>257</v>
      </c>
      <c r="J27" s="11" t="s">
        <v>466</v>
      </c>
      <c r="K27" s="12" t="s">
        <v>686</v>
      </c>
      <c r="L27" s="23" t="s">
        <v>482</v>
      </c>
      <c r="M27" s="16" t="s">
        <v>441</v>
      </c>
      <c r="N27" s="17" t="s">
        <v>459</v>
      </c>
      <c r="O27" s="18" t="s">
        <v>687</v>
      </c>
      <c r="P27" s="18" t="s">
        <v>566</v>
      </c>
      <c r="Q27" s="18" t="s">
        <v>688</v>
      </c>
      <c r="R27" s="34">
        <v>15</v>
      </c>
      <c r="S27" s="20" t="str">
        <f t="shared" si="0"/>
        <v>In KPI</v>
      </c>
      <c r="T27" s="34" t="s">
        <v>650</v>
      </c>
      <c r="U27" s="12" t="s">
        <v>689</v>
      </c>
      <c r="V27" s="26" t="s">
        <v>568</v>
      </c>
      <c r="W27" s="12" t="s">
        <v>405</v>
      </c>
      <c r="X27" s="18" t="s">
        <v>690</v>
      </c>
      <c r="Y27" s="12"/>
      <c r="Z27" s="15" t="s">
        <v>437</v>
      </c>
      <c r="AA27" s="22" t="s">
        <v>130</v>
      </c>
    </row>
    <row r="28" spans="1:27" s="7" customFormat="1" ht="27" hidden="1" customHeight="1" thickBot="1" x14ac:dyDescent="0.4">
      <c r="B28" s="9">
        <v>2025</v>
      </c>
      <c r="C28" s="20" t="s">
        <v>556</v>
      </c>
      <c r="D28" s="11" t="s">
        <v>438</v>
      </c>
      <c r="E28" s="12" t="s">
        <v>542</v>
      </c>
      <c r="F28" s="13" t="s">
        <v>261</v>
      </c>
      <c r="G28" s="12" t="s">
        <v>140</v>
      </c>
      <c r="H28" s="12" t="s">
        <v>162</v>
      </c>
      <c r="I28" s="12" t="s">
        <v>210</v>
      </c>
      <c r="J28" s="14" t="s">
        <v>414</v>
      </c>
      <c r="K28" s="12" t="s">
        <v>691</v>
      </c>
      <c r="L28" s="23" t="s">
        <v>482</v>
      </c>
      <c r="M28" s="16" t="s">
        <v>441</v>
      </c>
      <c r="N28" s="17" t="s">
        <v>459</v>
      </c>
      <c r="O28" s="18" t="s">
        <v>692</v>
      </c>
      <c r="P28" s="18" t="s">
        <v>434</v>
      </c>
      <c r="Q28" s="18" t="s">
        <v>693</v>
      </c>
      <c r="R28" s="10">
        <v>10</v>
      </c>
      <c r="S28" s="20" t="str">
        <f t="shared" si="0"/>
        <v>In KPI</v>
      </c>
      <c r="T28" s="10" t="s">
        <v>536</v>
      </c>
      <c r="U28" s="12" t="s">
        <v>694</v>
      </c>
      <c r="V28" s="21" t="s">
        <v>462</v>
      </c>
      <c r="W28" s="12" t="s">
        <v>405</v>
      </c>
      <c r="X28" s="18" t="s">
        <v>613</v>
      </c>
      <c r="Y28" s="12"/>
      <c r="Z28" s="15" t="s">
        <v>437</v>
      </c>
      <c r="AA28" s="22" t="s">
        <v>130</v>
      </c>
    </row>
    <row r="29" spans="1:27" s="7" customFormat="1" ht="27" hidden="1" customHeight="1" thickBot="1" x14ac:dyDescent="0.4">
      <c r="B29" s="9">
        <v>2025</v>
      </c>
      <c r="C29" s="20" t="s">
        <v>556</v>
      </c>
      <c r="D29" s="11" t="s">
        <v>438</v>
      </c>
      <c r="E29" s="12" t="s">
        <v>695</v>
      </c>
      <c r="F29" s="13" t="s">
        <v>695</v>
      </c>
      <c r="G29" s="12" t="s">
        <v>152</v>
      </c>
      <c r="H29" s="12" t="s">
        <v>177</v>
      </c>
      <c r="I29" s="12" t="s">
        <v>259</v>
      </c>
      <c r="J29" s="14" t="s">
        <v>414</v>
      </c>
      <c r="K29" s="12" t="s">
        <v>696</v>
      </c>
      <c r="L29" s="31" t="s">
        <v>415</v>
      </c>
      <c r="M29" s="16" t="s">
        <v>441</v>
      </c>
      <c r="N29" s="17" t="s">
        <v>459</v>
      </c>
      <c r="O29" s="18" t="s">
        <v>697</v>
      </c>
      <c r="P29" s="18" t="s">
        <v>434</v>
      </c>
      <c r="Q29" s="18" t="s">
        <v>427</v>
      </c>
      <c r="R29" s="25">
        <v>21</v>
      </c>
      <c r="S29" s="20" t="str">
        <f t="shared" si="0"/>
        <v>In KPI</v>
      </c>
      <c r="T29" s="25" t="s">
        <v>469</v>
      </c>
      <c r="U29" s="12" t="s">
        <v>698</v>
      </c>
      <c r="V29" s="21" t="s">
        <v>462</v>
      </c>
      <c r="W29" s="12" t="s">
        <v>405</v>
      </c>
      <c r="X29" s="18" t="s">
        <v>690</v>
      </c>
      <c r="Y29" s="12"/>
      <c r="Z29" s="23" t="s">
        <v>430</v>
      </c>
      <c r="AA29" s="22" t="s">
        <v>130</v>
      </c>
    </row>
    <row r="30" spans="1:27" ht="27" customHeight="1" thickBot="1" x14ac:dyDescent="0.3">
      <c r="A30" s="41" t="s">
        <v>929</v>
      </c>
      <c r="B30" s="63">
        <v>2025</v>
      </c>
      <c r="C30" s="43" t="s">
        <v>556</v>
      </c>
      <c r="D30" s="55" t="s">
        <v>411</v>
      </c>
      <c r="E30" s="68" t="s">
        <v>699</v>
      </c>
      <c r="F30" s="46" t="s">
        <v>699</v>
      </c>
      <c r="G30" s="45" t="s">
        <v>200</v>
      </c>
      <c r="H30" s="45" t="s">
        <v>294</v>
      </c>
      <c r="I30" s="45" t="s">
        <v>342</v>
      </c>
      <c r="J30" s="47" t="s">
        <v>414</v>
      </c>
      <c r="K30" s="45" t="s">
        <v>700</v>
      </c>
      <c r="L30" s="48" t="s">
        <v>482</v>
      </c>
      <c r="M30" s="49" t="s">
        <v>441</v>
      </c>
      <c r="N30" s="50" t="s">
        <v>459</v>
      </c>
      <c r="O30" s="51" t="s">
        <v>673</v>
      </c>
      <c r="P30" s="51" t="s">
        <v>674</v>
      </c>
      <c r="Q30" s="51" t="s">
        <v>655</v>
      </c>
      <c r="R30" s="52">
        <v>87</v>
      </c>
      <c r="S30" s="43" t="str">
        <f t="shared" si="0"/>
        <v>Over KPI</v>
      </c>
      <c r="T30" s="52" t="s">
        <v>421</v>
      </c>
      <c r="U30" s="64" t="s">
        <v>701</v>
      </c>
      <c r="V30" s="53" t="s">
        <v>117</v>
      </c>
      <c r="W30" s="45" t="s">
        <v>405</v>
      </c>
      <c r="X30" s="51" t="s">
        <v>702</v>
      </c>
      <c r="Y30" s="58" t="s">
        <v>703</v>
      </c>
      <c r="Z30" s="59" t="s">
        <v>437</v>
      </c>
      <c r="AA30" s="54" t="s">
        <v>130</v>
      </c>
    </row>
    <row r="31" spans="1:27" ht="27" hidden="1" customHeight="1" thickBot="1" x14ac:dyDescent="0.3">
      <c r="A31" s="41" t="s">
        <v>929</v>
      </c>
      <c r="B31" s="42">
        <v>2025</v>
      </c>
      <c r="C31" s="43" t="s">
        <v>556</v>
      </c>
      <c r="D31" s="55" t="s">
        <v>411</v>
      </c>
      <c r="E31" s="69" t="s">
        <v>704</v>
      </c>
      <c r="F31" s="46" t="s">
        <v>705</v>
      </c>
      <c r="G31" s="45" t="s">
        <v>173</v>
      </c>
      <c r="H31" s="45" t="s">
        <v>314</v>
      </c>
      <c r="I31" s="45" t="s">
        <v>341</v>
      </c>
      <c r="J31" s="47" t="s">
        <v>414</v>
      </c>
      <c r="K31" s="45" t="s">
        <v>706</v>
      </c>
      <c r="L31" s="48" t="s">
        <v>482</v>
      </c>
      <c r="M31" s="49" t="s">
        <v>441</v>
      </c>
      <c r="N31" s="50" t="s">
        <v>459</v>
      </c>
      <c r="O31" s="51" t="s">
        <v>673</v>
      </c>
      <c r="P31" s="51" t="s">
        <v>674</v>
      </c>
      <c r="Q31" s="51" t="s">
        <v>707</v>
      </c>
      <c r="R31" s="65">
        <v>19</v>
      </c>
      <c r="S31" s="43" t="str">
        <f t="shared" si="0"/>
        <v>In KPI</v>
      </c>
      <c r="T31" s="65" t="s">
        <v>650</v>
      </c>
      <c r="U31" s="45" t="s">
        <v>708</v>
      </c>
      <c r="V31" s="57" t="s">
        <v>598</v>
      </c>
      <c r="W31" s="45" t="s">
        <v>405</v>
      </c>
      <c r="X31" s="45"/>
      <c r="Y31" s="58" t="s">
        <v>709</v>
      </c>
      <c r="Z31" s="59" t="s">
        <v>437</v>
      </c>
      <c r="AA31" s="54" t="s">
        <v>130</v>
      </c>
    </row>
    <row r="32" spans="1:27" ht="27" customHeight="1" thickBot="1" x14ac:dyDescent="0.3">
      <c r="A32" s="41" t="s">
        <v>929</v>
      </c>
      <c r="B32" s="42">
        <v>2025</v>
      </c>
      <c r="C32" s="43" t="s">
        <v>556</v>
      </c>
      <c r="D32" s="55" t="s">
        <v>411</v>
      </c>
      <c r="E32" s="69" t="s">
        <v>343</v>
      </c>
      <c r="F32" s="46" t="s">
        <v>343</v>
      </c>
      <c r="G32" s="45" t="s">
        <v>173</v>
      </c>
      <c r="H32" s="45" t="s">
        <v>314</v>
      </c>
      <c r="I32" s="45" t="s">
        <v>368</v>
      </c>
      <c r="J32" s="47" t="s">
        <v>414</v>
      </c>
      <c r="K32" s="45" t="s">
        <v>710</v>
      </c>
      <c r="L32" s="48" t="s">
        <v>482</v>
      </c>
      <c r="M32" s="49" t="s">
        <v>441</v>
      </c>
      <c r="N32" s="50" t="s">
        <v>459</v>
      </c>
      <c r="O32" s="51" t="s">
        <v>673</v>
      </c>
      <c r="P32" s="51" t="s">
        <v>674</v>
      </c>
      <c r="Q32" s="51" t="s">
        <v>711</v>
      </c>
      <c r="R32" s="67">
        <v>21</v>
      </c>
      <c r="S32" s="43" t="str">
        <f t="shared" si="0"/>
        <v>In KPI</v>
      </c>
      <c r="T32" s="67" t="s">
        <v>469</v>
      </c>
      <c r="U32" s="64" t="s">
        <v>712</v>
      </c>
      <c r="V32" s="53" t="s">
        <v>117</v>
      </c>
      <c r="W32" s="45" t="s">
        <v>405</v>
      </c>
      <c r="X32" s="61" t="s">
        <v>713</v>
      </c>
      <c r="Y32" s="58" t="s">
        <v>497</v>
      </c>
      <c r="Z32" s="59" t="s">
        <v>437</v>
      </c>
      <c r="AA32" s="54" t="s">
        <v>130</v>
      </c>
    </row>
    <row r="33" spans="1:27" ht="27" hidden="1" customHeight="1" thickBot="1" x14ac:dyDescent="0.3">
      <c r="A33" s="41" t="s">
        <v>929</v>
      </c>
      <c r="B33" s="42">
        <v>2025</v>
      </c>
      <c r="C33" s="43" t="s">
        <v>556</v>
      </c>
      <c r="D33" s="55" t="s">
        <v>411</v>
      </c>
      <c r="E33" s="68" t="s">
        <v>714</v>
      </c>
      <c r="F33" s="46" t="s">
        <v>715</v>
      </c>
      <c r="G33" s="45" t="s">
        <v>188</v>
      </c>
      <c r="H33" s="45" t="s">
        <v>282</v>
      </c>
      <c r="I33" s="45" t="s">
        <v>344</v>
      </c>
      <c r="J33" s="47" t="s">
        <v>414</v>
      </c>
      <c r="K33" s="45" t="s">
        <v>716</v>
      </c>
      <c r="L33" s="59" t="s">
        <v>426</v>
      </c>
      <c r="M33" s="49" t="s">
        <v>441</v>
      </c>
      <c r="N33" s="50" t="s">
        <v>459</v>
      </c>
      <c r="O33" s="51" t="s">
        <v>673</v>
      </c>
      <c r="P33" s="51" t="s">
        <v>717</v>
      </c>
      <c r="Q33" s="51" t="s">
        <v>718</v>
      </c>
      <c r="R33" s="52">
        <v>84</v>
      </c>
      <c r="S33" s="43" t="str">
        <f t="shared" si="0"/>
        <v>Over KPI</v>
      </c>
      <c r="T33" s="52" t="s">
        <v>421</v>
      </c>
      <c r="U33" s="45" t="s">
        <v>719</v>
      </c>
      <c r="V33" s="60" t="s">
        <v>462</v>
      </c>
      <c r="W33" s="45" t="s">
        <v>405</v>
      </c>
      <c r="X33" s="45"/>
      <c r="Y33" s="58" t="s">
        <v>720</v>
      </c>
      <c r="Z33" s="48" t="s">
        <v>430</v>
      </c>
      <c r="AA33" s="54" t="s">
        <v>130</v>
      </c>
    </row>
    <row r="34" spans="1:27" ht="27" hidden="1" customHeight="1" thickBot="1" x14ac:dyDescent="0.3">
      <c r="A34" s="41" t="s">
        <v>929</v>
      </c>
      <c r="B34" s="42">
        <v>2025</v>
      </c>
      <c r="C34" s="43" t="s">
        <v>556</v>
      </c>
      <c r="D34" s="55" t="s">
        <v>411</v>
      </c>
      <c r="E34" s="45" t="s">
        <v>721</v>
      </c>
      <c r="F34" s="46" t="s">
        <v>722</v>
      </c>
      <c r="G34" s="45" t="s">
        <v>191</v>
      </c>
      <c r="H34" s="45" t="s">
        <v>246</v>
      </c>
      <c r="I34" s="45" t="s">
        <v>345</v>
      </c>
      <c r="J34" s="48" t="s">
        <v>425</v>
      </c>
      <c r="K34" s="45"/>
      <c r="L34" s="44" t="s">
        <v>415</v>
      </c>
      <c r="M34" s="49" t="s">
        <v>441</v>
      </c>
      <c r="N34" s="50" t="s">
        <v>459</v>
      </c>
      <c r="O34" s="51" t="s">
        <v>673</v>
      </c>
      <c r="P34" s="51" t="s">
        <v>674</v>
      </c>
      <c r="Q34" s="51" t="s">
        <v>723</v>
      </c>
      <c r="R34" s="67">
        <v>22</v>
      </c>
      <c r="S34" s="43" t="str">
        <f t="shared" si="0"/>
        <v>In KPI</v>
      </c>
      <c r="T34" s="67" t="s">
        <v>469</v>
      </c>
      <c r="U34" s="45" t="s">
        <v>724</v>
      </c>
      <c r="V34" s="60" t="s">
        <v>462</v>
      </c>
      <c r="W34" s="45" t="s">
        <v>405</v>
      </c>
      <c r="X34" s="51" t="s">
        <v>690</v>
      </c>
      <c r="Y34" s="58" t="s">
        <v>725</v>
      </c>
      <c r="Z34" s="48" t="s">
        <v>430</v>
      </c>
      <c r="AA34" s="54" t="s">
        <v>130</v>
      </c>
    </row>
    <row r="35" spans="1:27" ht="27" customHeight="1" thickBot="1" x14ac:dyDescent="0.3">
      <c r="A35" s="41" t="s">
        <v>929</v>
      </c>
      <c r="B35" s="42">
        <v>2025</v>
      </c>
      <c r="C35" s="43" t="s">
        <v>556</v>
      </c>
      <c r="D35" s="55" t="s">
        <v>411</v>
      </c>
      <c r="E35" s="45" t="s">
        <v>726</v>
      </c>
      <c r="F35" s="46" t="s">
        <v>726</v>
      </c>
      <c r="G35" s="45" t="s">
        <v>191</v>
      </c>
      <c r="H35" s="45" t="s">
        <v>246</v>
      </c>
      <c r="I35" s="45" t="s">
        <v>346</v>
      </c>
      <c r="J35" s="48" t="s">
        <v>425</v>
      </c>
      <c r="K35" s="45"/>
      <c r="L35" s="44" t="s">
        <v>415</v>
      </c>
      <c r="M35" s="49" t="s">
        <v>441</v>
      </c>
      <c r="N35" s="50" t="s">
        <v>459</v>
      </c>
      <c r="O35" s="51" t="s">
        <v>673</v>
      </c>
      <c r="P35" s="51" t="s">
        <v>674</v>
      </c>
      <c r="Q35" s="51" t="s">
        <v>632</v>
      </c>
      <c r="R35" s="67">
        <v>28</v>
      </c>
      <c r="S35" s="43" t="str">
        <f t="shared" si="0"/>
        <v>In KPI</v>
      </c>
      <c r="T35" s="67" t="s">
        <v>469</v>
      </c>
      <c r="U35" s="64" t="s">
        <v>727</v>
      </c>
      <c r="V35" s="53" t="s">
        <v>117</v>
      </c>
      <c r="W35" s="45" t="s">
        <v>405</v>
      </c>
      <c r="X35" s="45"/>
      <c r="Y35" s="58" t="s">
        <v>728</v>
      </c>
      <c r="Z35" s="70" t="s">
        <v>479</v>
      </c>
      <c r="AA35" s="54" t="s">
        <v>130</v>
      </c>
    </row>
    <row r="36" spans="1:27" ht="27" customHeight="1" thickBot="1" x14ac:dyDescent="0.3">
      <c r="A36" s="41" t="s">
        <v>929</v>
      </c>
      <c r="B36" s="42">
        <v>2025</v>
      </c>
      <c r="C36" s="43" t="s">
        <v>556</v>
      </c>
      <c r="D36" s="55" t="s">
        <v>411</v>
      </c>
      <c r="E36" s="45" t="s">
        <v>729</v>
      </c>
      <c r="F36" s="46" t="s">
        <v>730</v>
      </c>
      <c r="G36" s="45" t="s">
        <v>191</v>
      </c>
      <c r="H36" s="45" t="s">
        <v>248</v>
      </c>
      <c r="I36" s="45" t="s">
        <v>347</v>
      </c>
      <c r="J36" s="48" t="s">
        <v>425</v>
      </c>
      <c r="K36" s="45"/>
      <c r="L36" s="44" t="s">
        <v>415</v>
      </c>
      <c r="M36" s="49" t="s">
        <v>441</v>
      </c>
      <c r="N36" s="50" t="s">
        <v>459</v>
      </c>
      <c r="O36" s="51" t="s">
        <v>673</v>
      </c>
      <c r="P36" s="51" t="s">
        <v>674</v>
      </c>
      <c r="Q36" s="51" t="s">
        <v>707</v>
      </c>
      <c r="R36" s="65">
        <v>19</v>
      </c>
      <c r="S36" s="43" t="str">
        <f t="shared" si="0"/>
        <v>In KPI</v>
      </c>
      <c r="T36" s="65" t="s">
        <v>650</v>
      </c>
      <c r="U36" s="64" t="s">
        <v>731</v>
      </c>
      <c r="V36" s="53" t="s">
        <v>117</v>
      </c>
      <c r="W36" s="45" t="s">
        <v>405</v>
      </c>
      <c r="X36" s="45"/>
      <c r="Y36" s="58" t="s">
        <v>732</v>
      </c>
      <c r="Z36" s="59" t="s">
        <v>437</v>
      </c>
      <c r="AA36" s="54" t="s">
        <v>130</v>
      </c>
    </row>
    <row r="37" spans="1:27" ht="27" hidden="1" customHeight="1" thickBot="1" x14ac:dyDescent="0.3">
      <c r="A37" s="41" t="s">
        <v>929</v>
      </c>
      <c r="B37" s="42">
        <v>2025</v>
      </c>
      <c r="C37" s="43" t="s">
        <v>556</v>
      </c>
      <c r="D37" s="55" t="s">
        <v>411</v>
      </c>
      <c r="E37" s="45" t="s">
        <v>733</v>
      </c>
      <c r="F37" s="46" t="s">
        <v>733</v>
      </c>
      <c r="G37" s="45" t="s">
        <v>161</v>
      </c>
      <c r="H37" s="45" t="s">
        <v>230</v>
      </c>
      <c r="I37" s="45" t="s">
        <v>348</v>
      </c>
      <c r="J37" s="47" t="s">
        <v>414</v>
      </c>
      <c r="K37" s="45" t="s">
        <v>734</v>
      </c>
      <c r="L37" s="59" t="s">
        <v>426</v>
      </c>
      <c r="M37" s="49" t="s">
        <v>441</v>
      </c>
      <c r="N37" s="50" t="s">
        <v>459</v>
      </c>
      <c r="O37" s="51" t="s">
        <v>673</v>
      </c>
      <c r="P37" s="51" t="s">
        <v>717</v>
      </c>
      <c r="Q37" s="51" t="s">
        <v>529</v>
      </c>
      <c r="R37" s="52">
        <v>203</v>
      </c>
      <c r="S37" s="43" t="str">
        <f t="shared" si="0"/>
        <v>Over KPI</v>
      </c>
      <c r="T37" s="52" t="s">
        <v>421</v>
      </c>
      <c r="U37" s="45" t="s">
        <v>735</v>
      </c>
      <c r="V37" s="71" t="s">
        <v>124</v>
      </c>
      <c r="W37" s="45" t="s">
        <v>736</v>
      </c>
      <c r="X37" s="61" t="s">
        <v>477</v>
      </c>
      <c r="Y37" s="58" t="s">
        <v>737</v>
      </c>
      <c r="Z37" s="48" t="s">
        <v>430</v>
      </c>
      <c r="AA37" s="72" t="s">
        <v>130</v>
      </c>
    </row>
    <row r="38" spans="1:27" ht="27" customHeight="1" thickBot="1" x14ac:dyDescent="0.3">
      <c r="A38" s="41" t="s">
        <v>929</v>
      </c>
      <c r="B38" s="42">
        <v>2025</v>
      </c>
      <c r="C38" s="43" t="s">
        <v>556</v>
      </c>
      <c r="D38" s="44" t="s">
        <v>176</v>
      </c>
      <c r="E38" s="45" t="s">
        <v>349</v>
      </c>
      <c r="F38" s="46" t="s">
        <v>520</v>
      </c>
      <c r="G38" s="45" t="s">
        <v>176</v>
      </c>
      <c r="H38" s="45" t="s">
        <v>218</v>
      </c>
      <c r="I38" s="45" t="s">
        <v>349</v>
      </c>
      <c r="J38" s="47" t="s">
        <v>414</v>
      </c>
      <c r="K38" s="45" t="s">
        <v>738</v>
      </c>
      <c r="L38" s="44" t="s">
        <v>415</v>
      </c>
      <c r="M38" s="49" t="s">
        <v>441</v>
      </c>
      <c r="N38" s="50" t="s">
        <v>459</v>
      </c>
      <c r="O38" s="51" t="s">
        <v>692</v>
      </c>
      <c r="P38" s="51" t="s">
        <v>434</v>
      </c>
      <c r="Q38" s="51" t="s">
        <v>739</v>
      </c>
      <c r="R38" s="65">
        <v>17</v>
      </c>
      <c r="S38" s="43" t="str">
        <f t="shared" si="0"/>
        <v>In KPI</v>
      </c>
      <c r="T38" s="65" t="s">
        <v>650</v>
      </c>
      <c r="U38" s="45" t="s">
        <v>740</v>
      </c>
      <c r="V38" s="53" t="s">
        <v>117</v>
      </c>
      <c r="W38" s="45" t="s">
        <v>405</v>
      </c>
      <c r="X38" s="45"/>
      <c r="Y38" s="58" t="s">
        <v>741</v>
      </c>
      <c r="Z38" s="59" t="s">
        <v>437</v>
      </c>
      <c r="AA38" s="54" t="s">
        <v>130</v>
      </c>
    </row>
    <row r="39" spans="1:27" s="7" customFormat="1" ht="27" hidden="1" customHeight="1" thickBot="1" x14ac:dyDescent="0.4">
      <c r="B39" s="9">
        <v>2025</v>
      </c>
      <c r="C39" s="20" t="s">
        <v>556</v>
      </c>
      <c r="D39" s="11" t="s">
        <v>438</v>
      </c>
      <c r="E39" s="12" t="s">
        <v>542</v>
      </c>
      <c r="F39" s="13" t="s">
        <v>742</v>
      </c>
      <c r="G39" s="12" t="s">
        <v>152</v>
      </c>
      <c r="H39" s="12" t="s">
        <v>168</v>
      </c>
      <c r="I39" s="12" t="s">
        <v>313</v>
      </c>
      <c r="J39" s="11" t="s">
        <v>466</v>
      </c>
      <c r="K39" s="12" t="s">
        <v>743</v>
      </c>
      <c r="L39" s="23" t="s">
        <v>482</v>
      </c>
      <c r="M39" s="16" t="s">
        <v>441</v>
      </c>
      <c r="N39" s="17" t="s">
        <v>459</v>
      </c>
      <c r="O39" s="18" t="s">
        <v>692</v>
      </c>
      <c r="P39" s="18" t="s">
        <v>434</v>
      </c>
      <c r="Q39" s="18" t="s">
        <v>693</v>
      </c>
      <c r="R39" s="10">
        <v>10</v>
      </c>
      <c r="S39" s="20" t="str">
        <f t="shared" si="0"/>
        <v>In KPI</v>
      </c>
      <c r="T39" s="10" t="s">
        <v>536</v>
      </c>
      <c r="U39" s="12" t="s">
        <v>744</v>
      </c>
      <c r="V39" s="21" t="s">
        <v>462</v>
      </c>
      <c r="W39" s="12" t="s">
        <v>405</v>
      </c>
      <c r="X39" s="29" t="s">
        <v>613</v>
      </c>
      <c r="Y39" s="8" t="s">
        <v>745</v>
      </c>
      <c r="Z39" s="23" t="s">
        <v>430</v>
      </c>
      <c r="AA39" s="22" t="s">
        <v>130</v>
      </c>
    </row>
    <row r="40" spans="1:27" ht="27" hidden="1" customHeight="1" thickBot="1" x14ac:dyDescent="0.3">
      <c r="A40" s="41" t="s">
        <v>929</v>
      </c>
      <c r="B40" s="42">
        <v>2025</v>
      </c>
      <c r="C40" s="43" t="s">
        <v>422</v>
      </c>
      <c r="D40" s="55" t="s">
        <v>411</v>
      </c>
      <c r="E40" s="45" t="s">
        <v>746</v>
      </c>
      <c r="F40" s="46" t="s">
        <v>746</v>
      </c>
      <c r="G40" s="45" t="s">
        <v>191</v>
      </c>
      <c r="H40" s="45" t="s">
        <v>316</v>
      </c>
      <c r="I40" s="45" t="s">
        <v>351</v>
      </c>
      <c r="J40" s="47" t="s">
        <v>414</v>
      </c>
      <c r="K40" s="45"/>
      <c r="L40" s="48" t="s">
        <v>482</v>
      </c>
      <c r="M40" s="49" t="s">
        <v>441</v>
      </c>
      <c r="N40" s="50" t="s">
        <v>459</v>
      </c>
      <c r="O40" s="51" t="s">
        <v>427</v>
      </c>
      <c r="P40" s="51" t="s">
        <v>433</v>
      </c>
      <c r="Q40" s="51" t="s">
        <v>591</v>
      </c>
      <c r="R40" s="67">
        <v>22</v>
      </c>
      <c r="S40" s="43" t="str">
        <f t="shared" si="0"/>
        <v>In KPI</v>
      </c>
      <c r="T40" s="67" t="s">
        <v>469</v>
      </c>
      <c r="U40" s="45" t="s">
        <v>747</v>
      </c>
      <c r="V40" s="60" t="s">
        <v>462</v>
      </c>
      <c r="W40" s="45" t="s">
        <v>405</v>
      </c>
      <c r="X40" s="45"/>
      <c r="Y40" s="58" t="s">
        <v>748</v>
      </c>
      <c r="Z40" s="59" t="s">
        <v>437</v>
      </c>
      <c r="AA40" s="54" t="s">
        <v>130</v>
      </c>
    </row>
    <row r="41" spans="1:27" s="7" customFormat="1" ht="27" hidden="1" customHeight="1" thickBot="1" x14ac:dyDescent="0.4">
      <c r="B41" s="9">
        <v>2025</v>
      </c>
      <c r="C41" s="20" t="s">
        <v>422</v>
      </c>
      <c r="D41" s="11" t="s">
        <v>438</v>
      </c>
      <c r="E41" s="12" t="s">
        <v>542</v>
      </c>
      <c r="F41" s="13" t="s">
        <v>749</v>
      </c>
      <c r="G41" s="12" t="s">
        <v>137</v>
      </c>
      <c r="H41" s="12" t="s">
        <v>174</v>
      </c>
      <c r="I41" s="12" t="s">
        <v>320</v>
      </c>
      <c r="J41" s="14" t="s">
        <v>414</v>
      </c>
      <c r="K41" s="12" t="s">
        <v>750</v>
      </c>
      <c r="L41" s="23" t="s">
        <v>482</v>
      </c>
      <c r="M41" s="16" t="s">
        <v>441</v>
      </c>
      <c r="N41" s="17" t="s">
        <v>459</v>
      </c>
      <c r="O41" s="18" t="s">
        <v>427</v>
      </c>
      <c r="P41" s="18" t="s">
        <v>433</v>
      </c>
      <c r="Q41" s="18" t="s">
        <v>751</v>
      </c>
      <c r="R41" s="34">
        <v>11</v>
      </c>
      <c r="S41" s="20" t="str">
        <f t="shared" si="0"/>
        <v>In KPI</v>
      </c>
      <c r="T41" s="34" t="s">
        <v>650</v>
      </c>
      <c r="U41" s="12" t="s">
        <v>752</v>
      </c>
      <c r="V41" s="21" t="s">
        <v>462</v>
      </c>
      <c r="W41" s="12" t="s">
        <v>405</v>
      </c>
      <c r="X41" s="29" t="s">
        <v>713</v>
      </c>
      <c r="Y41" s="12"/>
      <c r="Z41" s="15" t="s">
        <v>437</v>
      </c>
      <c r="AA41" s="22" t="s">
        <v>130</v>
      </c>
    </row>
    <row r="42" spans="1:27" s="7" customFormat="1" ht="27" hidden="1" customHeight="1" thickBot="1" x14ac:dyDescent="0.4">
      <c r="B42" s="9">
        <v>2025</v>
      </c>
      <c r="C42" s="20" t="s">
        <v>422</v>
      </c>
      <c r="D42" s="11" t="s">
        <v>438</v>
      </c>
      <c r="E42" s="12" t="s">
        <v>453</v>
      </c>
      <c r="F42" s="13" t="s">
        <v>453</v>
      </c>
      <c r="G42" s="12" t="s">
        <v>164</v>
      </c>
      <c r="H42" s="12" t="s">
        <v>201</v>
      </c>
      <c r="I42" s="12" t="s">
        <v>309</v>
      </c>
      <c r="J42" s="14" t="s">
        <v>414</v>
      </c>
      <c r="K42" s="12" t="s">
        <v>753</v>
      </c>
      <c r="L42" s="15" t="s">
        <v>426</v>
      </c>
      <c r="M42" s="16" t="s">
        <v>441</v>
      </c>
      <c r="N42" s="17" t="s">
        <v>459</v>
      </c>
      <c r="O42" s="18" t="s">
        <v>427</v>
      </c>
      <c r="P42" s="18" t="s">
        <v>428</v>
      </c>
      <c r="Q42" s="18" t="s">
        <v>754</v>
      </c>
      <c r="R42" s="25">
        <v>40</v>
      </c>
      <c r="S42" s="20" t="str">
        <f t="shared" si="0"/>
        <v>In KPI</v>
      </c>
      <c r="T42" s="25" t="s">
        <v>469</v>
      </c>
      <c r="U42" s="12" t="s">
        <v>755</v>
      </c>
      <c r="V42" s="21" t="s">
        <v>462</v>
      </c>
      <c r="W42" s="12" t="s">
        <v>405</v>
      </c>
      <c r="X42" s="29" t="s">
        <v>756</v>
      </c>
      <c r="Y42" s="12"/>
      <c r="Z42" s="23" t="s">
        <v>430</v>
      </c>
      <c r="AA42" s="22" t="s">
        <v>130</v>
      </c>
    </row>
    <row r="43" spans="1:27" s="7" customFormat="1" ht="27" hidden="1" customHeight="1" thickBot="1" x14ac:dyDescent="0.4">
      <c r="B43" s="9">
        <v>2025</v>
      </c>
      <c r="C43" s="20" t="s">
        <v>422</v>
      </c>
      <c r="D43" s="11" t="s">
        <v>438</v>
      </c>
      <c r="E43" s="12" t="s">
        <v>757</v>
      </c>
      <c r="F43" s="13" t="s">
        <v>757</v>
      </c>
      <c r="G43" s="12" t="s">
        <v>134</v>
      </c>
      <c r="H43" s="12" t="s">
        <v>135</v>
      </c>
      <c r="I43" s="12" t="s">
        <v>253</v>
      </c>
      <c r="J43" s="14" t="s">
        <v>414</v>
      </c>
      <c r="K43" s="12" t="s">
        <v>758</v>
      </c>
      <c r="L43" s="31" t="s">
        <v>415</v>
      </c>
      <c r="M43" s="16" t="s">
        <v>441</v>
      </c>
      <c r="N43" s="17" t="s">
        <v>459</v>
      </c>
      <c r="O43" s="18" t="s">
        <v>427</v>
      </c>
      <c r="P43" s="18" t="s">
        <v>433</v>
      </c>
      <c r="Q43" s="18" t="s">
        <v>759</v>
      </c>
      <c r="R43" s="25">
        <v>23</v>
      </c>
      <c r="S43" s="20" t="str">
        <f t="shared" si="0"/>
        <v>In KPI</v>
      </c>
      <c r="T43" s="25" t="s">
        <v>469</v>
      </c>
      <c r="U43" s="12" t="s">
        <v>760</v>
      </c>
      <c r="V43" s="21" t="s">
        <v>462</v>
      </c>
      <c r="W43" s="12" t="s">
        <v>405</v>
      </c>
      <c r="X43" s="12"/>
      <c r="Y43" s="12"/>
      <c r="Z43" s="23" t="s">
        <v>430</v>
      </c>
      <c r="AA43" s="22" t="s">
        <v>130</v>
      </c>
    </row>
    <row r="44" spans="1:27" ht="27" customHeight="1" thickBot="1" x14ac:dyDescent="0.3">
      <c r="A44" s="41" t="s">
        <v>929</v>
      </c>
      <c r="B44" s="42">
        <v>2025</v>
      </c>
      <c r="C44" s="43" t="s">
        <v>422</v>
      </c>
      <c r="D44" s="55" t="s">
        <v>411</v>
      </c>
      <c r="E44" s="45" t="s">
        <v>542</v>
      </c>
      <c r="F44" s="46" t="s">
        <v>749</v>
      </c>
      <c r="G44" s="45" t="s">
        <v>137</v>
      </c>
      <c r="H44" s="45" t="s">
        <v>174</v>
      </c>
      <c r="I44" s="45" t="s">
        <v>352</v>
      </c>
      <c r="J44" s="56" t="s">
        <v>466</v>
      </c>
      <c r="K44" s="73" t="s">
        <v>761</v>
      </c>
      <c r="L44" s="48" t="s">
        <v>482</v>
      </c>
      <c r="M44" s="49" t="s">
        <v>441</v>
      </c>
      <c r="N44" s="50" t="s">
        <v>459</v>
      </c>
      <c r="O44" s="51" t="s">
        <v>427</v>
      </c>
      <c r="P44" s="51" t="s">
        <v>433</v>
      </c>
      <c r="Q44" s="51" t="s">
        <v>506</v>
      </c>
      <c r="R44" s="52">
        <v>86</v>
      </c>
      <c r="S44" s="43" t="str">
        <f t="shared" si="0"/>
        <v>Over KPI</v>
      </c>
      <c r="T44" s="52" t="s">
        <v>421</v>
      </c>
      <c r="U44" s="45" t="s">
        <v>762</v>
      </c>
      <c r="V44" s="53" t="s">
        <v>117</v>
      </c>
      <c r="W44" s="45" t="s">
        <v>405</v>
      </c>
      <c r="X44" s="45"/>
      <c r="Y44" s="58" t="s">
        <v>763</v>
      </c>
      <c r="Z44" s="59" t="s">
        <v>437</v>
      </c>
      <c r="AA44" s="54" t="s">
        <v>130</v>
      </c>
    </row>
    <row r="45" spans="1:27" ht="27" hidden="1" customHeight="1" thickBot="1" x14ac:dyDescent="0.3">
      <c r="A45" s="41" t="s">
        <v>929</v>
      </c>
      <c r="B45" s="42">
        <v>2025</v>
      </c>
      <c r="C45" s="43" t="s">
        <v>422</v>
      </c>
      <c r="D45" s="55" t="s">
        <v>411</v>
      </c>
      <c r="E45" s="68" t="s">
        <v>764</v>
      </c>
      <c r="F45" s="46" t="s">
        <v>765</v>
      </c>
      <c r="G45" s="45" t="s">
        <v>179</v>
      </c>
      <c r="H45" s="45" t="s">
        <v>220</v>
      </c>
      <c r="I45" s="45" t="s">
        <v>353</v>
      </c>
      <c r="J45" s="47" t="s">
        <v>414</v>
      </c>
      <c r="K45" s="45" t="s">
        <v>766</v>
      </c>
      <c r="L45" s="48" t="s">
        <v>482</v>
      </c>
      <c r="M45" s="49" t="s">
        <v>441</v>
      </c>
      <c r="N45" s="50" t="s">
        <v>459</v>
      </c>
      <c r="O45" s="51" t="s">
        <v>427</v>
      </c>
      <c r="P45" s="51" t="s">
        <v>433</v>
      </c>
      <c r="Q45" s="51" t="s">
        <v>767</v>
      </c>
      <c r="R45" s="52">
        <v>58</v>
      </c>
      <c r="S45" s="43" t="str">
        <f t="shared" si="0"/>
        <v>Over KPI</v>
      </c>
      <c r="T45" s="52" t="s">
        <v>421</v>
      </c>
      <c r="U45" s="45" t="s">
        <v>768</v>
      </c>
      <c r="V45" s="57" t="s">
        <v>598</v>
      </c>
      <c r="W45" s="45" t="s">
        <v>405</v>
      </c>
      <c r="X45" s="61" t="s">
        <v>599</v>
      </c>
      <c r="Y45" s="58" t="s">
        <v>769</v>
      </c>
      <c r="Z45" s="59" t="s">
        <v>437</v>
      </c>
      <c r="AA45" s="54" t="s">
        <v>130</v>
      </c>
    </row>
    <row r="46" spans="1:27" ht="27" hidden="1" customHeight="1" thickBot="1" x14ac:dyDescent="0.3">
      <c r="A46" s="41" t="s">
        <v>929</v>
      </c>
      <c r="B46" s="63">
        <v>2025</v>
      </c>
      <c r="C46" s="43" t="s">
        <v>422</v>
      </c>
      <c r="D46" s="55" t="s">
        <v>411</v>
      </c>
      <c r="E46" s="45" t="s">
        <v>542</v>
      </c>
      <c r="F46" s="46" t="s">
        <v>770</v>
      </c>
      <c r="G46" s="45" t="s">
        <v>182</v>
      </c>
      <c r="H46" s="45" t="s">
        <v>276</v>
      </c>
      <c r="I46" s="45" t="s">
        <v>354</v>
      </c>
      <c r="J46" s="47" t="s">
        <v>414</v>
      </c>
      <c r="K46" s="45" t="s">
        <v>771</v>
      </c>
      <c r="L46" s="48" t="s">
        <v>482</v>
      </c>
      <c r="M46" s="49" t="s">
        <v>441</v>
      </c>
      <c r="N46" s="50" t="s">
        <v>459</v>
      </c>
      <c r="O46" s="51" t="s">
        <v>427</v>
      </c>
      <c r="P46" s="51" t="s">
        <v>433</v>
      </c>
      <c r="Q46" s="51" t="s">
        <v>772</v>
      </c>
      <c r="R46" s="67">
        <v>32</v>
      </c>
      <c r="S46" s="43" t="str">
        <f t="shared" si="0"/>
        <v>Over KPI</v>
      </c>
      <c r="T46" s="67" t="s">
        <v>469</v>
      </c>
      <c r="U46" s="45" t="s">
        <v>773</v>
      </c>
      <c r="V46" s="60" t="s">
        <v>462</v>
      </c>
      <c r="W46" s="45" t="s">
        <v>405</v>
      </c>
      <c r="X46" s="45"/>
      <c r="Y46" s="58" t="s">
        <v>774</v>
      </c>
      <c r="Z46" s="59" t="s">
        <v>437</v>
      </c>
      <c r="AA46" s="54" t="s">
        <v>130</v>
      </c>
    </row>
    <row r="47" spans="1:27" s="7" customFormat="1" ht="27" hidden="1" customHeight="1" thickBot="1" x14ac:dyDescent="0.4">
      <c r="B47" s="9">
        <v>2025</v>
      </c>
      <c r="C47" s="20" t="s">
        <v>422</v>
      </c>
      <c r="D47" s="31" t="s">
        <v>176</v>
      </c>
      <c r="E47" s="30" t="s">
        <v>423</v>
      </c>
      <c r="F47" s="13" t="s">
        <v>424</v>
      </c>
      <c r="G47" s="12" t="s">
        <v>176</v>
      </c>
      <c r="H47" s="12" t="s">
        <v>216</v>
      </c>
      <c r="I47" s="12"/>
      <c r="J47" s="23" t="s">
        <v>425</v>
      </c>
      <c r="K47" s="12"/>
      <c r="L47" s="15" t="s">
        <v>426</v>
      </c>
      <c r="M47" s="12" t="s">
        <v>416</v>
      </c>
      <c r="N47" s="33" t="s">
        <v>417</v>
      </c>
      <c r="O47" s="18" t="s">
        <v>427</v>
      </c>
      <c r="P47" s="18" t="s">
        <v>428</v>
      </c>
      <c r="Q47" s="12"/>
      <c r="R47" s="19">
        <v>193</v>
      </c>
      <c r="S47" s="20" t="str">
        <f t="shared" si="0"/>
        <v>Over KPI</v>
      </c>
      <c r="T47" s="19" t="s">
        <v>421</v>
      </c>
      <c r="U47" s="12"/>
      <c r="V47" s="12"/>
      <c r="W47" s="12"/>
      <c r="X47" s="12"/>
      <c r="Y47" s="8" t="s">
        <v>429</v>
      </c>
      <c r="Z47" s="23" t="s">
        <v>430</v>
      </c>
      <c r="AA47" s="9" t="s">
        <v>416</v>
      </c>
    </row>
    <row r="48" spans="1:27" ht="27" hidden="1" customHeight="1" thickBot="1" x14ac:dyDescent="0.3">
      <c r="A48" s="41" t="s">
        <v>929</v>
      </c>
      <c r="B48" s="42">
        <v>2025</v>
      </c>
      <c r="C48" s="43" t="s">
        <v>422</v>
      </c>
      <c r="D48" s="55" t="s">
        <v>411</v>
      </c>
      <c r="E48" s="45" t="s">
        <v>343</v>
      </c>
      <c r="F48" s="46" t="s">
        <v>775</v>
      </c>
      <c r="G48" s="45" t="s">
        <v>173</v>
      </c>
      <c r="H48" s="45" t="s">
        <v>314</v>
      </c>
      <c r="I48" s="45" t="s">
        <v>368</v>
      </c>
      <c r="J48" s="47" t="s">
        <v>414</v>
      </c>
      <c r="K48" s="45" t="s">
        <v>776</v>
      </c>
      <c r="L48" s="48" t="s">
        <v>482</v>
      </c>
      <c r="M48" s="49" t="s">
        <v>441</v>
      </c>
      <c r="N48" s="50" t="s">
        <v>459</v>
      </c>
      <c r="O48" s="51" t="s">
        <v>427</v>
      </c>
      <c r="P48" s="51" t="s">
        <v>433</v>
      </c>
      <c r="Q48" s="51" t="s">
        <v>442</v>
      </c>
      <c r="R48" s="62">
        <v>1</v>
      </c>
      <c r="S48" s="43" t="str">
        <f t="shared" si="0"/>
        <v>In KPI</v>
      </c>
      <c r="T48" s="62" t="s">
        <v>536</v>
      </c>
      <c r="U48" s="45" t="s">
        <v>777</v>
      </c>
      <c r="V48" s="60" t="s">
        <v>462</v>
      </c>
      <c r="W48" s="45" t="s">
        <v>405</v>
      </c>
      <c r="X48" s="45"/>
      <c r="Y48" s="58" t="s">
        <v>778</v>
      </c>
      <c r="Z48" s="59" t="s">
        <v>437</v>
      </c>
      <c r="AA48" s="54" t="s">
        <v>130</v>
      </c>
    </row>
    <row r="49" spans="1:27" ht="27" customHeight="1" thickBot="1" x14ac:dyDescent="0.3">
      <c r="A49" s="41" t="s">
        <v>929</v>
      </c>
      <c r="B49" s="42">
        <v>2025</v>
      </c>
      <c r="C49" s="43" t="s">
        <v>422</v>
      </c>
      <c r="D49" s="55" t="s">
        <v>411</v>
      </c>
      <c r="E49" s="68" t="s">
        <v>779</v>
      </c>
      <c r="F49" s="46" t="s">
        <v>779</v>
      </c>
      <c r="G49" s="45" t="s">
        <v>164</v>
      </c>
      <c r="H49" s="45" t="s">
        <v>312</v>
      </c>
      <c r="I49" s="45" t="s">
        <v>356</v>
      </c>
      <c r="J49" s="47" t="s">
        <v>414</v>
      </c>
      <c r="K49" s="45" t="s">
        <v>780</v>
      </c>
      <c r="L49" s="59" t="s">
        <v>426</v>
      </c>
      <c r="M49" s="49" t="s">
        <v>441</v>
      </c>
      <c r="N49" s="50" t="s">
        <v>459</v>
      </c>
      <c r="O49" s="51" t="s">
        <v>427</v>
      </c>
      <c r="P49" s="51" t="s">
        <v>428</v>
      </c>
      <c r="Q49" s="51" t="s">
        <v>443</v>
      </c>
      <c r="R49" s="67">
        <v>31</v>
      </c>
      <c r="S49" s="43" t="str">
        <f t="shared" si="0"/>
        <v>In KPI</v>
      </c>
      <c r="T49" s="67" t="s">
        <v>469</v>
      </c>
      <c r="U49" s="64" t="s">
        <v>781</v>
      </c>
      <c r="V49" s="53" t="s">
        <v>117</v>
      </c>
      <c r="W49" s="45" t="s">
        <v>405</v>
      </c>
      <c r="X49" s="45"/>
      <c r="Y49" s="58" t="s">
        <v>782</v>
      </c>
      <c r="Z49" s="59" t="s">
        <v>437</v>
      </c>
      <c r="AA49" s="54" t="s">
        <v>130</v>
      </c>
    </row>
    <row r="50" spans="1:27" s="7" customFormat="1" ht="15.6" hidden="1" thickBot="1" x14ac:dyDescent="0.4">
      <c r="B50" s="9">
        <v>2025</v>
      </c>
      <c r="C50" s="20" t="s">
        <v>422</v>
      </c>
      <c r="D50" s="27" t="s">
        <v>411</v>
      </c>
      <c r="E50" s="12" t="s">
        <v>431</v>
      </c>
      <c r="F50" s="13" t="s">
        <v>431</v>
      </c>
      <c r="G50" s="12" t="s">
        <v>197</v>
      </c>
      <c r="H50" s="12" t="s">
        <v>290</v>
      </c>
      <c r="I50" s="12" t="s">
        <v>357</v>
      </c>
      <c r="J50" s="14" t="s">
        <v>414</v>
      </c>
      <c r="K50" s="12" t="s">
        <v>432</v>
      </c>
      <c r="L50" s="31" t="s">
        <v>415</v>
      </c>
      <c r="M50" s="12" t="s">
        <v>416</v>
      </c>
      <c r="N50" s="33" t="s">
        <v>417</v>
      </c>
      <c r="O50" s="18" t="s">
        <v>427</v>
      </c>
      <c r="P50" s="18" t="s">
        <v>433</v>
      </c>
      <c r="Q50" s="18" t="s">
        <v>434</v>
      </c>
      <c r="R50" s="19">
        <v>193</v>
      </c>
      <c r="S50" s="20" t="str">
        <f t="shared" si="0"/>
        <v>Over KPI</v>
      </c>
      <c r="T50" s="19" t="s">
        <v>421</v>
      </c>
      <c r="U50" s="12"/>
      <c r="V50" s="24" t="s">
        <v>117</v>
      </c>
      <c r="W50" s="14" t="s">
        <v>435</v>
      </c>
      <c r="X50" s="12"/>
      <c r="Y50" s="8" t="s">
        <v>436</v>
      </c>
      <c r="Z50" s="15" t="s">
        <v>437</v>
      </c>
      <c r="AA50" s="9" t="s">
        <v>416</v>
      </c>
    </row>
    <row r="51" spans="1:27" ht="27" customHeight="1" thickBot="1" x14ac:dyDescent="0.3">
      <c r="A51" s="41" t="s">
        <v>929</v>
      </c>
      <c r="B51" s="63">
        <v>2025</v>
      </c>
      <c r="C51" s="43" t="s">
        <v>548</v>
      </c>
      <c r="D51" s="55" t="s">
        <v>411</v>
      </c>
      <c r="E51" s="45" t="s">
        <v>542</v>
      </c>
      <c r="F51" s="46" t="s">
        <v>783</v>
      </c>
      <c r="G51" s="45" t="s">
        <v>182</v>
      </c>
      <c r="H51" s="45" t="s">
        <v>318</v>
      </c>
      <c r="I51" s="45" t="s">
        <v>370</v>
      </c>
      <c r="J51" s="56" t="s">
        <v>466</v>
      </c>
      <c r="K51" s="45" t="s">
        <v>784</v>
      </c>
      <c r="L51" s="48" t="s">
        <v>482</v>
      </c>
      <c r="M51" s="49" t="s">
        <v>441</v>
      </c>
      <c r="N51" s="50" t="s">
        <v>459</v>
      </c>
      <c r="O51" s="51" t="s">
        <v>785</v>
      </c>
      <c r="P51" s="51" t="s">
        <v>786</v>
      </c>
      <c r="Q51" s="51" t="s">
        <v>553</v>
      </c>
      <c r="R51" s="67">
        <v>27</v>
      </c>
      <c r="S51" s="43" t="str">
        <f t="shared" si="0"/>
        <v>In KPI</v>
      </c>
      <c r="T51" s="67" t="s">
        <v>469</v>
      </c>
      <c r="U51" s="45" t="s">
        <v>787</v>
      </c>
      <c r="V51" s="53" t="s">
        <v>117</v>
      </c>
      <c r="W51" s="45" t="s">
        <v>405</v>
      </c>
      <c r="X51" s="61" t="s">
        <v>626</v>
      </c>
      <c r="Y51" s="58" t="s">
        <v>788</v>
      </c>
      <c r="Z51" s="59" t="s">
        <v>437</v>
      </c>
      <c r="AA51" s="54" t="s">
        <v>130</v>
      </c>
    </row>
    <row r="52" spans="1:27" ht="28.2" thickBot="1" x14ac:dyDescent="0.3">
      <c r="A52" s="41" t="s">
        <v>929</v>
      </c>
      <c r="B52" s="42">
        <v>2025</v>
      </c>
      <c r="C52" s="43" t="s">
        <v>422</v>
      </c>
      <c r="D52" s="55" t="s">
        <v>411</v>
      </c>
      <c r="E52" s="45" t="s">
        <v>789</v>
      </c>
      <c r="F52" s="46" t="s">
        <v>790</v>
      </c>
      <c r="G52" s="45" t="s">
        <v>170</v>
      </c>
      <c r="H52" s="45" t="s">
        <v>226</v>
      </c>
      <c r="I52" s="45" t="s">
        <v>360</v>
      </c>
      <c r="J52" s="47" t="s">
        <v>414</v>
      </c>
      <c r="K52" s="45" t="s">
        <v>791</v>
      </c>
      <c r="L52" s="44" t="s">
        <v>415</v>
      </c>
      <c r="M52" s="49" t="s">
        <v>441</v>
      </c>
      <c r="N52" s="50" t="s">
        <v>459</v>
      </c>
      <c r="O52" s="51" t="s">
        <v>427</v>
      </c>
      <c r="P52" s="51" t="s">
        <v>433</v>
      </c>
      <c r="Q52" s="51" t="s">
        <v>560</v>
      </c>
      <c r="R52" s="62">
        <v>2</v>
      </c>
      <c r="S52" s="43" t="str">
        <f t="shared" si="0"/>
        <v>In KPI</v>
      </c>
      <c r="T52" s="62" t="s">
        <v>536</v>
      </c>
      <c r="U52" s="64" t="s">
        <v>792</v>
      </c>
      <c r="V52" s="53" t="s">
        <v>117</v>
      </c>
      <c r="W52" s="45" t="s">
        <v>405</v>
      </c>
      <c r="X52" s="45"/>
      <c r="Y52" s="58" t="s">
        <v>793</v>
      </c>
      <c r="Z52" s="59" t="s">
        <v>437</v>
      </c>
      <c r="AA52" s="54" t="s">
        <v>130</v>
      </c>
    </row>
    <row r="53" spans="1:27" s="7" customFormat="1" ht="15.6" hidden="1" thickBot="1" x14ac:dyDescent="0.4">
      <c r="B53" s="9">
        <v>2025</v>
      </c>
      <c r="C53" s="20" t="s">
        <v>422</v>
      </c>
      <c r="D53" s="11" t="s">
        <v>438</v>
      </c>
      <c r="E53" s="12" t="s">
        <v>439</v>
      </c>
      <c r="F53" s="13" t="s">
        <v>439</v>
      </c>
      <c r="G53" s="12" t="s">
        <v>137</v>
      </c>
      <c r="H53" s="12" t="s">
        <v>174</v>
      </c>
      <c r="I53" s="12" t="s">
        <v>175</v>
      </c>
      <c r="J53" s="23" t="s">
        <v>425</v>
      </c>
      <c r="K53" s="12" t="s">
        <v>440</v>
      </c>
      <c r="L53" s="31" t="s">
        <v>415</v>
      </c>
      <c r="M53" s="16" t="s">
        <v>441</v>
      </c>
      <c r="N53" s="33" t="s">
        <v>417</v>
      </c>
      <c r="O53" s="18" t="s">
        <v>442</v>
      </c>
      <c r="P53" s="18" t="s">
        <v>443</v>
      </c>
      <c r="Q53" s="18" t="s">
        <v>433</v>
      </c>
      <c r="R53" s="19">
        <v>192</v>
      </c>
      <c r="S53" s="20" t="str">
        <f t="shared" si="0"/>
        <v>Over KPI</v>
      </c>
      <c r="T53" s="19" t="s">
        <v>421</v>
      </c>
      <c r="U53" s="12" t="s">
        <v>416</v>
      </c>
      <c r="V53" s="12"/>
      <c r="W53" s="14" t="s">
        <v>435</v>
      </c>
      <c r="X53" s="12"/>
      <c r="Y53" s="12"/>
      <c r="Z53" s="23" t="s">
        <v>430</v>
      </c>
      <c r="AA53" s="9" t="s">
        <v>416</v>
      </c>
    </row>
    <row r="54" spans="1:27" ht="14.4" hidden="1" thickBot="1" x14ac:dyDescent="0.3">
      <c r="A54" s="41" t="s">
        <v>929</v>
      </c>
      <c r="B54" s="42">
        <v>2025</v>
      </c>
      <c r="C54" s="43" t="s">
        <v>422</v>
      </c>
      <c r="D54" s="55" t="s">
        <v>411</v>
      </c>
      <c r="E54" s="45" t="s">
        <v>439</v>
      </c>
      <c r="F54" s="46" t="s">
        <v>439</v>
      </c>
      <c r="G54" s="45" t="s">
        <v>137</v>
      </c>
      <c r="H54" s="45" t="s">
        <v>174</v>
      </c>
      <c r="I54" s="45" t="s">
        <v>352</v>
      </c>
      <c r="J54" s="48" t="s">
        <v>425</v>
      </c>
      <c r="K54" s="45" t="s">
        <v>440</v>
      </c>
      <c r="L54" s="44" t="s">
        <v>415</v>
      </c>
      <c r="M54" s="49" t="s">
        <v>441</v>
      </c>
      <c r="N54" s="50" t="s">
        <v>459</v>
      </c>
      <c r="O54" s="51" t="s">
        <v>560</v>
      </c>
      <c r="P54" s="51" t="s">
        <v>794</v>
      </c>
      <c r="Q54" s="51" t="s">
        <v>433</v>
      </c>
      <c r="R54" s="67">
        <v>28</v>
      </c>
      <c r="S54" s="43" t="str">
        <f>IF(
    OR(L54="S-General",L54="O-General"),
       IF(R54&lt;=30,"In KPI","Over KPI"),
       IF(OR(L54="S-Specific",L54="O-Specific"),
            IF(R54&lt;=45,"In KPI","Over KPI"),
       "")
)</f>
        <v>In KPI</v>
      </c>
      <c r="T54" s="67" t="s">
        <v>469</v>
      </c>
      <c r="U54" s="45" t="s">
        <v>795</v>
      </c>
      <c r="V54" s="71" t="s">
        <v>124</v>
      </c>
      <c r="W54" s="45" t="s">
        <v>796</v>
      </c>
      <c r="X54" s="45"/>
      <c r="Y54" s="45"/>
      <c r="Z54" s="48" t="s">
        <v>430</v>
      </c>
      <c r="AA54" s="72" t="s">
        <v>129</v>
      </c>
    </row>
    <row r="55" spans="1:27" s="7" customFormat="1" ht="15.6" hidden="1" thickBot="1" x14ac:dyDescent="0.4">
      <c r="B55" s="9">
        <v>2025</v>
      </c>
      <c r="C55" s="20" t="s">
        <v>444</v>
      </c>
      <c r="D55" s="11" t="s">
        <v>438</v>
      </c>
      <c r="E55" s="12" t="s">
        <v>542</v>
      </c>
      <c r="F55" s="13" t="s">
        <v>557</v>
      </c>
      <c r="G55" s="12" t="s">
        <v>152</v>
      </c>
      <c r="H55" s="12" t="s">
        <v>168</v>
      </c>
      <c r="I55" s="12" t="s">
        <v>285</v>
      </c>
      <c r="J55" s="11" t="s">
        <v>466</v>
      </c>
      <c r="K55" s="12" t="s">
        <v>797</v>
      </c>
      <c r="L55" s="23" t="s">
        <v>482</v>
      </c>
      <c r="M55" s="16" t="s">
        <v>441</v>
      </c>
      <c r="N55" s="17" t="s">
        <v>459</v>
      </c>
      <c r="O55" s="18" t="s">
        <v>798</v>
      </c>
      <c r="P55" s="18" t="s">
        <v>428</v>
      </c>
      <c r="Q55" s="18" t="s">
        <v>799</v>
      </c>
      <c r="R55" s="34">
        <v>19</v>
      </c>
      <c r="S55" s="20" t="str">
        <f t="shared" si="0"/>
        <v>In KPI</v>
      </c>
      <c r="T55" s="34" t="s">
        <v>650</v>
      </c>
      <c r="U55" s="12" t="s">
        <v>800</v>
      </c>
      <c r="V55" s="26" t="s">
        <v>568</v>
      </c>
      <c r="W55" s="12" t="s">
        <v>405</v>
      </c>
      <c r="X55" s="12"/>
      <c r="Y55" s="12"/>
      <c r="Z55" s="15" t="s">
        <v>437</v>
      </c>
      <c r="AA55" s="22" t="s">
        <v>130</v>
      </c>
    </row>
    <row r="56" spans="1:27" s="7" customFormat="1" ht="30.6" hidden="1" thickBot="1" x14ac:dyDescent="0.4">
      <c r="A56" s="7" t="s">
        <v>929</v>
      </c>
      <c r="B56" s="9">
        <v>2025</v>
      </c>
      <c r="C56" s="20" t="s">
        <v>444</v>
      </c>
      <c r="D56" s="27" t="s">
        <v>411</v>
      </c>
      <c r="E56" s="12" t="s">
        <v>439</v>
      </c>
      <c r="F56" s="13" t="s">
        <v>439</v>
      </c>
      <c r="G56" s="12" t="s">
        <v>185</v>
      </c>
      <c r="H56" s="12" t="s">
        <v>224</v>
      </c>
      <c r="I56" s="12" t="s">
        <v>361</v>
      </c>
      <c r="J56" s="31" t="s">
        <v>445</v>
      </c>
      <c r="K56" s="12" t="s">
        <v>446</v>
      </c>
      <c r="L56" s="31" t="s">
        <v>415</v>
      </c>
      <c r="M56" s="49" t="s">
        <v>441</v>
      </c>
      <c r="N56" s="33" t="s">
        <v>417</v>
      </c>
      <c r="O56" s="18" t="s">
        <v>447</v>
      </c>
      <c r="P56" s="18" t="s">
        <v>448</v>
      </c>
      <c r="Q56" s="18" t="s">
        <v>433</v>
      </c>
      <c r="R56" s="19">
        <v>177</v>
      </c>
      <c r="S56" s="20" t="str">
        <f t="shared" si="0"/>
        <v>Over KPI</v>
      </c>
      <c r="T56" s="19" t="s">
        <v>421</v>
      </c>
      <c r="U56" s="12" t="s">
        <v>416</v>
      </c>
      <c r="V56" s="12"/>
      <c r="W56" s="14" t="s">
        <v>435</v>
      </c>
      <c r="X56" s="12"/>
      <c r="Y56" s="12"/>
      <c r="Z56" s="23" t="s">
        <v>430</v>
      </c>
      <c r="AA56" s="9" t="s">
        <v>416</v>
      </c>
    </row>
    <row r="57" spans="1:27" s="7" customFormat="1" ht="15.6" hidden="1" thickBot="1" x14ac:dyDescent="0.4">
      <c r="B57" s="9">
        <v>2025</v>
      </c>
      <c r="C57" s="20" t="s">
        <v>444</v>
      </c>
      <c r="D57" s="27" t="s">
        <v>411</v>
      </c>
      <c r="E57" s="12" t="s">
        <v>439</v>
      </c>
      <c r="F57" s="13" t="s">
        <v>439</v>
      </c>
      <c r="G57" s="12" t="s">
        <v>137</v>
      </c>
      <c r="H57" s="12" t="s">
        <v>174</v>
      </c>
      <c r="I57" s="12" t="s">
        <v>933</v>
      </c>
      <c r="J57" s="31" t="s">
        <v>425</v>
      </c>
      <c r="K57" s="12"/>
      <c r="L57" s="31" t="s">
        <v>415</v>
      </c>
      <c r="M57" s="49" t="s">
        <v>441</v>
      </c>
      <c r="N57" s="33" t="s">
        <v>417</v>
      </c>
      <c r="O57" s="18"/>
      <c r="P57" s="18"/>
      <c r="Q57" s="18"/>
      <c r="R57" s="19">
        <v>2</v>
      </c>
      <c r="S57" s="20" t="str">
        <f t="shared" si="0"/>
        <v>In KPI</v>
      </c>
      <c r="T57" s="19"/>
      <c r="U57" s="12"/>
      <c r="V57" s="12"/>
      <c r="W57" s="14"/>
      <c r="X57" s="12"/>
      <c r="Y57" s="12"/>
      <c r="Z57" s="23"/>
      <c r="AA57" s="9" t="s">
        <v>128</v>
      </c>
    </row>
    <row r="58" spans="1:27" s="7" customFormat="1" ht="15.6" hidden="1" thickBot="1" x14ac:dyDescent="0.4">
      <c r="B58" s="9">
        <v>2025</v>
      </c>
      <c r="C58" s="20" t="s">
        <v>444</v>
      </c>
      <c r="D58" s="27" t="s">
        <v>411</v>
      </c>
      <c r="E58" s="12" t="s">
        <v>439</v>
      </c>
      <c r="F58" s="13" t="s">
        <v>439</v>
      </c>
      <c r="G58" s="12" t="s">
        <v>137</v>
      </c>
      <c r="H58" s="12" t="s">
        <v>174</v>
      </c>
      <c r="I58" s="12" t="s">
        <v>352</v>
      </c>
      <c r="J58" s="31" t="s">
        <v>425</v>
      </c>
      <c r="K58" s="12"/>
      <c r="L58" s="31" t="s">
        <v>415</v>
      </c>
      <c r="M58" s="49" t="s">
        <v>441</v>
      </c>
      <c r="N58" s="33" t="s">
        <v>417</v>
      </c>
      <c r="O58" s="18"/>
      <c r="P58" s="18"/>
      <c r="Q58" s="18"/>
      <c r="R58" s="19">
        <v>2</v>
      </c>
      <c r="S58" s="20" t="str">
        <f t="shared" si="0"/>
        <v>In KPI</v>
      </c>
      <c r="T58" s="19"/>
      <c r="U58" s="12"/>
      <c r="V58" s="12"/>
      <c r="W58" s="14"/>
      <c r="X58" s="12"/>
      <c r="Y58" s="12"/>
      <c r="Z58" s="23"/>
      <c r="AA58" s="9" t="s">
        <v>128</v>
      </c>
    </row>
    <row r="59" spans="1:27" s="7" customFormat="1" ht="30.6" hidden="1" thickBot="1" x14ac:dyDescent="0.4">
      <c r="A59" s="7" t="s">
        <v>929</v>
      </c>
      <c r="B59" s="9">
        <v>2025</v>
      </c>
      <c r="C59" s="20" t="s">
        <v>444</v>
      </c>
      <c r="D59" s="27" t="s">
        <v>411</v>
      </c>
      <c r="E59" s="12" t="s">
        <v>439</v>
      </c>
      <c r="F59" s="13" t="s">
        <v>439</v>
      </c>
      <c r="G59" s="12" t="s">
        <v>185</v>
      </c>
      <c r="H59" s="12" t="s">
        <v>268</v>
      </c>
      <c r="I59" s="12" t="s">
        <v>362</v>
      </c>
      <c r="J59" s="31" t="s">
        <v>445</v>
      </c>
      <c r="K59" s="12" t="s">
        <v>449</v>
      </c>
      <c r="L59" s="31" t="s">
        <v>415</v>
      </c>
      <c r="M59" s="49" t="s">
        <v>441</v>
      </c>
      <c r="N59" s="33" t="s">
        <v>417</v>
      </c>
      <c r="O59" s="18" t="s">
        <v>450</v>
      </c>
      <c r="P59" s="18" t="s">
        <v>451</v>
      </c>
      <c r="Q59" s="18" t="s">
        <v>433</v>
      </c>
      <c r="R59" s="19">
        <v>176</v>
      </c>
      <c r="S59" s="20" t="str">
        <f t="shared" si="0"/>
        <v>Over KPI</v>
      </c>
      <c r="T59" s="19" t="s">
        <v>421</v>
      </c>
      <c r="U59" s="12" t="s">
        <v>416</v>
      </c>
      <c r="V59" s="12"/>
      <c r="W59" s="14" t="s">
        <v>435</v>
      </c>
      <c r="X59" s="12"/>
      <c r="Y59" s="12"/>
      <c r="Z59" s="23" t="s">
        <v>430</v>
      </c>
      <c r="AA59" s="9" t="s">
        <v>416</v>
      </c>
    </row>
    <row r="60" spans="1:27" s="7" customFormat="1" ht="30.6" hidden="1" thickBot="1" x14ac:dyDescent="0.4">
      <c r="B60" s="9">
        <v>2025</v>
      </c>
      <c r="C60" s="20" t="s">
        <v>444</v>
      </c>
      <c r="D60" s="11" t="s">
        <v>438</v>
      </c>
      <c r="E60" s="12" t="s">
        <v>542</v>
      </c>
      <c r="F60" s="13" t="s">
        <v>742</v>
      </c>
      <c r="G60" s="12" t="s">
        <v>152</v>
      </c>
      <c r="H60" s="12" t="s">
        <v>180</v>
      </c>
      <c r="I60" s="12" t="s">
        <v>293</v>
      </c>
      <c r="J60" s="11" t="s">
        <v>466</v>
      </c>
      <c r="K60" s="12" t="s">
        <v>801</v>
      </c>
      <c r="L60" s="23" t="s">
        <v>482</v>
      </c>
      <c r="M60" s="16" t="s">
        <v>441</v>
      </c>
      <c r="N60" s="17" t="s">
        <v>459</v>
      </c>
      <c r="O60" s="18" t="s">
        <v>798</v>
      </c>
      <c r="P60" s="18" t="s">
        <v>428</v>
      </c>
      <c r="Q60" s="18" t="s">
        <v>799</v>
      </c>
      <c r="R60" s="34">
        <v>19</v>
      </c>
      <c r="S60" s="20" t="str">
        <f t="shared" si="0"/>
        <v>In KPI</v>
      </c>
      <c r="T60" s="34" t="s">
        <v>650</v>
      </c>
      <c r="U60" s="12" t="s">
        <v>802</v>
      </c>
      <c r="V60" s="26" t="s">
        <v>568</v>
      </c>
      <c r="W60" s="12" t="s">
        <v>405</v>
      </c>
      <c r="X60" s="12"/>
      <c r="Y60" s="12"/>
      <c r="Z60" s="23" t="s">
        <v>430</v>
      </c>
      <c r="AA60" s="22" t="s">
        <v>130</v>
      </c>
    </row>
    <row r="61" spans="1:27" ht="14.4" hidden="1" thickBot="1" x14ac:dyDescent="0.3">
      <c r="A61" s="41" t="s">
        <v>929</v>
      </c>
      <c r="B61" s="67">
        <v>2025</v>
      </c>
      <c r="C61" s="43" t="s">
        <v>444</v>
      </c>
      <c r="D61" s="55" t="s">
        <v>411</v>
      </c>
      <c r="E61" s="45" t="s">
        <v>665</v>
      </c>
      <c r="F61" s="46" t="s">
        <v>665</v>
      </c>
      <c r="G61" s="45" t="s">
        <v>164</v>
      </c>
      <c r="H61" s="45" t="s">
        <v>240</v>
      </c>
      <c r="I61" s="45" t="s">
        <v>366</v>
      </c>
      <c r="J61" s="47" t="s">
        <v>414</v>
      </c>
      <c r="K61" s="45" t="s">
        <v>803</v>
      </c>
      <c r="L61" s="59" t="s">
        <v>426</v>
      </c>
      <c r="M61" s="49" t="s">
        <v>441</v>
      </c>
      <c r="N61" s="50" t="s">
        <v>459</v>
      </c>
      <c r="O61" s="51" t="s">
        <v>798</v>
      </c>
      <c r="P61" s="51" t="s">
        <v>718</v>
      </c>
      <c r="Q61" s="51" t="s">
        <v>804</v>
      </c>
      <c r="R61" s="65">
        <v>19</v>
      </c>
      <c r="S61" s="43" t="str">
        <f t="shared" si="0"/>
        <v>In KPI</v>
      </c>
      <c r="T61" s="65" t="s">
        <v>650</v>
      </c>
      <c r="U61" s="74" t="s">
        <v>805</v>
      </c>
      <c r="V61" s="75" t="s">
        <v>488</v>
      </c>
      <c r="W61" s="45" t="s">
        <v>405</v>
      </c>
      <c r="X61" s="61" t="s">
        <v>806</v>
      </c>
      <c r="Y61" s="58" t="s">
        <v>807</v>
      </c>
      <c r="Z61" s="59" t="s">
        <v>437</v>
      </c>
      <c r="AA61" s="54" t="s">
        <v>130</v>
      </c>
    </row>
    <row r="62" spans="1:27" ht="27" hidden="1" customHeight="1" thickBot="1" x14ac:dyDescent="0.3">
      <c r="A62" s="41" t="s">
        <v>929</v>
      </c>
      <c r="B62" s="63">
        <v>2025</v>
      </c>
      <c r="C62" s="43" t="s">
        <v>444</v>
      </c>
      <c r="D62" s="55" t="s">
        <v>411</v>
      </c>
      <c r="E62" s="45" t="s">
        <v>722</v>
      </c>
      <c r="F62" s="46" t="s">
        <v>808</v>
      </c>
      <c r="G62" s="45" t="s">
        <v>182</v>
      </c>
      <c r="H62" s="45" t="s">
        <v>222</v>
      </c>
      <c r="I62" s="45" t="s">
        <v>367</v>
      </c>
      <c r="J62" s="47" t="s">
        <v>414</v>
      </c>
      <c r="K62" s="45" t="s">
        <v>809</v>
      </c>
      <c r="L62" s="44" t="s">
        <v>415</v>
      </c>
      <c r="M62" s="49" t="s">
        <v>441</v>
      </c>
      <c r="N62" s="50" t="s">
        <v>459</v>
      </c>
      <c r="O62" s="51" t="s">
        <v>798</v>
      </c>
      <c r="P62" s="51" t="s">
        <v>428</v>
      </c>
      <c r="Q62" s="51" t="s">
        <v>553</v>
      </c>
      <c r="R62" s="52">
        <v>48</v>
      </c>
      <c r="S62" s="43" t="str">
        <f t="shared" si="0"/>
        <v>Over KPI</v>
      </c>
      <c r="T62" s="52" t="s">
        <v>421</v>
      </c>
      <c r="U62" s="45" t="s">
        <v>810</v>
      </c>
      <c r="V62" s="75" t="s">
        <v>488</v>
      </c>
      <c r="W62" s="45" t="s">
        <v>405</v>
      </c>
      <c r="X62" s="61" t="s">
        <v>811</v>
      </c>
      <c r="Y62" s="58" t="s">
        <v>812</v>
      </c>
      <c r="Z62" s="59" t="s">
        <v>437</v>
      </c>
      <c r="AA62" s="54" t="s">
        <v>130</v>
      </c>
    </row>
    <row r="63" spans="1:27" ht="27" hidden="1" customHeight="1" thickBot="1" x14ac:dyDescent="0.3">
      <c r="A63" s="41" t="s">
        <v>929</v>
      </c>
      <c r="B63" s="42">
        <v>2025</v>
      </c>
      <c r="C63" s="43" t="s">
        <v>444</v>
      </c>
      <c r="D63" s="55" t="s">
        <v>411</v>
      </c>
      <c r="E63" s="45" t="s">
        <v>813</v>
      </c>
      <c r="F63" s="46" t="s">
        <v>343</v>
      </c>
      <c r="G63" s="45" t="s">
        <v>170</v>
      </c>
      <c r="H63" s="45" t="s">
        <v>236</v>
      </c>
      <c r="I63" s="45"/>
      <c r="J63" s="56" t="s">
        <v>466</v>
      </c>
      <c r="K63" s="45" t="s">
        <v>814</v>
      </c>
      <c r="L63" s="48" t="s">
        <v>482</v>
      </c>
      <c r="M63" s="49" t="s">
        <v>441</v>
      </c>
      <c r="N63" s="50" t="s">
        <v>459</v>
      </c>
      <c r="O63" s="51" t="s">
        <v>717</v>
      </c>
      <c r="P63" s="51" t="s">
        <v>815</v>
      </c>
      <c r="Q63" s="51" t="s">
        <v>816</v>
      </c>
      <c r="R63" s="65">
        <v>20</v>
      </c>
      <c r="S63" s="43" t="str">
        <f t="shared" si="0"/>
        <v>In KPI</v>
      </c>
      <c r="T63" s="65" t="s">
        <v>650</v>
      </c>
      <c r="U63" s="45" t="s">
        <v>817</v>
      </c>
      <c r="V63" s="75" t="s">
        <v>488</v>
      </c>
      <c r="W63" s="45" t="s">
        <v>405</v>
      </c>
      <c r="X63" s="45"/>
      <c r="Y63" s="58" t="s">
        <v>818</v>
      </c>
      <c r="Z63" s="45"/>
      <c r="AA63" s="54" t="s">
        <v>130</v>
      </c>
    </row>
    <row r="64" spans="1:27" s="7" customFormat="1" ht="27" hidden="1" customHeight="1" thickBot="1" x14ac:dyDescent="0.4">
      <c r="B64" s="9">
        <v>2025</v>
      </c>
      <c r="C64" s="20" t="s">
        <v>548</v>
      </c>
      <c r="D64" s="11" t="s">
        <v>438</v>
      </c>
      <c r="E64" s="12" t="s">
        <v>819</v>
      </c>
      <c r="F64" s="13" t="s">
        <v>819</v>
      </c>
      <c r="G64" s="12" t="s">
        <v>143</v>
      </c>
      <c r="H64" s="12" t="s">
        <v>138</v>
      </c>
      <c r="I64" s="12" t="s">
        <v>235</v>
      </c>
      <c r="J64" s="31" t="s">
        <v>445</v>
      </c>
      <c r="K64" s="12" t="s">
        <v>820</v>
      </c>
      <c r="L64" s="23" t="s">
        <v>482</v>
      </c>
      <c r="M64" s="16" t="s">
        <v>441</v>
      </c>
      <c r="N64" s="17" t="s">
        <v>459</v>
      </c>
      <c r="O64" s="18" t="s">
        <v>785</v>
      </c>
      <c r="P64" s="18" t="s">
        <v>786</v>
      </c>
      <c r="Q64" s="18" t="s">
        <v>821</v>
      </c>
      <c r="R64" s="34">
        <v>16</v>
      </c>
      <c r="S64" s="20" t="str">
        <f t="shared" si="0"/>
        <v>In KPI</v>
      </c>
      <c r="T64" s="34" t="s">
        <v>650</v>
      </c>
      <c r="U64" s="12" t="s">
        <v>822</v>
      </c>
      <c r="V64" s="21" t="s">
        <v>462</v>
      </c>
      <c r="W64" s="12" t="s">
        <v>405</v>
      </c>
      <c r="X64" s="12"/>
      <c r="Y64" s="12"/>
      <c r="Z64" s="23" t="s">
        <v>430</v>
      </c>
      <c r="AA64" s="22" t="s">
        <v>130</v>
      </c>
    </row>
    <row r="65" spans="1:27" s="7" customFormat="1" ht="27" hidden="1" customHeight="1" thickBot="1" x14ac:dyDescent="0.4">
      <c r="B65" s="9">
        <v>2025</v>
      </c>
      <c r="C65" s="20" t="s">
        <v>548</v>
      </c>
      <c r="D65" s="11" t="s">
        <v>438</v>
      </c>
      <c r="E65" s="12" t="s">
        <v>542</v>
      </c>
      <c r="F65" s="13" t="s">
        <v>681</v>
      </c>
      <c r="G65" s="12" t="s">
        <v>146</v>
      </c>
      <c r="H65" s="12" t="s">
        <v>156</v>
      </c>
      <c r="I65" s="12" t="s">
        <v>145</v>
      </c>
      <c r="J65" s="14" t="s">
        <v>414</v>
      </c>
      <c r="K65" s="12" t="s">
        <v>823</v>
      </c>
      <c r="L65" s="23" t="s">
        <v>482</v>
      </c>
      <c r="M65" s="16" t="s">
        <v>441</v>
      </c>
      <c r="N65" s="17" t="s">
        <v>459</v>
      </c>
      <c r="O65" s="18" t="s">
        <v>785</v>
      </c>
      <c r="P65" s="18" t="s">
        <v>786</v>
      </c>
      <c r="Q65" s="18" t="s">
        <v>785</v>
      </c>
      <c r="R65" s="9">
        <v>0</v>
      </c>
      <c r="S65" s="20" t="str">
        <f t="shared" si="0"/>
        <v>In KPI</v>
      </c>
      <c r="T65" s="19" t="s">
        <v>421</v>
      </c>
      <c r="U65" s="12" t="s">
        <v>824</v>
      </c>
      <c r="V65" s="24" t="s">
        <v>117</v>
      </c>
      <c r="W65" s="12" t="s">
        <v>405</v>
      </c>
      <c r="X65" s="12"/>
      <c r="Y65" s="12"/>
      <c r="Z65" s="15" t="s">
        <v>437</v>
      </c>
      <c r="AA65" s="22" t="s">
        <v>130</v>
      </c>
    </row>
    <row r="66" spans="1:27" s="7" customFormat="1" ht="27" hidden="1" customHeight="1" thickBot="1" x14ac:dyDescent="0.4">
      <c r="B66" s="9">
        <v>2025</v>
      </c>
      <c r="C66" s="20" t="s">
        <v>548</v>
      </c>
      <c r="D66" s="11" t="s">
        <v>438</v>
      </c>
      <c r="E66" s="12" t="s">
        <v>542</v>
      </c>
      <c r="F66" s="13" t="s">
        <v>825</v>
      </c>
      <c r="G66" s="12" t="s">
        <v>152</v>
      </c>
      <c r="H66" s="12" t="s">
        <v>141</v>
      </c>
      <c r="I66" s="12" t="s">
        <v>369</v>
      </c>
      <c r="J66" s="11" t="s">
        <v>466</v>
      </c>
      <c r="K66" s="12" t="s">
        <v>826</v>
      </c>
      <c r="L66" s="23" t="s">
        <v>482</v>
      </c>
      <c r="M66" s="16" t="s">
        <v>441</v>
      </c>
      <c r="N66" s="17" t="s">
        <v>459</v>
      </c>
      <c r="O66" s="18" t="s">
        <v>785</v>
      </c>
      <c r="P66" s="18" t="s">
        <v>786</v>
      </c>
      <c r="Q66" s="18" t="s">
        <v>827</v>
      </c>
      <c r="R66" s="25">
        <v>45</v>
      </c>
      <c r="S66" s="20" t="str">
        <f t="shared" si="0"/>
        <v>Over KPI</v>
      </c>
      <c r="T66" s="25" t="s">
        <v>469</v>
      </c>
      <c r="U66" s="12" t="s">
        <v>828</v>
      </c>
      <c r="V66" s="32" t="s">
        <v>598</v>
      </c>
      <c r="W66" s="12" t="s">
        <v>405</v>
      </c>
      <c r="X66" s="12"/>
      <c r="Y66" s="12"/>
      <c r="Z66" s="15" t="s">
        <v>437</v>
      </c>
      <c r="AA66" s="22" t="s">
        <v>130</v>
      </c>
    </row>
    <row r="67" spans="1:27" ht="27" hidden="1" customHeight="1" thickBot="1" x14ac:dyDescent="0.3">
      <c r="A67" s="41" t="s">
        <v>929</v>
      </c>
      <c r="B67" s="67">
        <v>2025</v>
      </c>
      <c r="C67" s="43" t="s">
        <v>548</v>
      </c>
      <c r="D67" s="55" t="s">
        <v>411</v>
      </c>
      <c r="E67" s="68" t="s">
        <v>829</v>
      </c>
      <c r="F67" s="46" t="s">
        <v>830</v>
      </c>
      <c r="G67" s="45" t="s">
        <v>170</v>
      </c>
      <c r="H67" s="45" t="s">
        <v>278</v>
      </c>
      <c r="I67" s="45" t="s">
        <v>367</v>
      </c>
      <c r="J67" s="47" t="s">
        <v>414</v>
      </c>
      <c r="K67" s="45" t="s">
        <v>831</v>
      </c>
      <c r="L67" s="48" t="s">
        <v>482</v>
      </c>
      <c r="M67" s="49" t="s">
        <v>441</v>
      </c>
      <c r="N67" s="50" t="s">
        <v>459</v>
      </c>
      <c r="O67" s="51" t="s">
        <v>785</v>
      </c>
      <c r="P67" s="51" t="s">
        <v>786</v>
      </c>
      <c r="Q67" s="51" t="s">
        <v>832</v>
      </c>
      <c r="R67" s="52">
        <v>85</v>
      </c>
      <c r="S67" s="43" t="str">
        <f t="shared" si="0"/>
        <v>Over KPI</v>
      </c>
      <c r="T67" s="52" t="s">
        <v>421</v>
      </c>
      <c r="U67" s="45" t="s">
        <v>833</v>
      </c>
      <c r="V67" s="60" t="s">
        <v>462</v>
      </c>
      <c r="W67" s="45" t="s">
        <v>405</v>
      </c>
      <c r="X67" s="61" t="s">
        <v>642</v>
      </c>
      <c r="Y67" s="58" t="s">
        <v>834</v>
      </c>
      <c r="Z67" s="59" t="s">
        <v>437</v>
      </c>
      <c r="AA67" s="54" t="s">
        <v>130</v>
      </c>
    </row>
    <row r="68" spans="1:27" ht="27" customHeight="1" thickBot="1" x14ac:dyDescent="0.3">
      <c r="A68" s="41" t="s">
        <v>929</v>
      </c>
      <c r="B68" s="42">
        <v>2025</v>
      </c>
      <c r="C68" s="43" t="s">
        <v>548</v>
      </c>
      <c r="D68" s="55" t="s">
        <v>411</v>
      </c>
      <c r="E68" s="45" t="s">
        <v>835</v>
      </c>
      <c r="F68" s="46" t="s">
        <v>836</v>
      </c>
      <c r="G68" s="45" t="s">
        <v>170</v>
      </c>
      <c r="H68" s="45" t="s">
        <v>226</v>
      </c>
      <c r="I68" s="45" t="s">
        <v>365</v>
      </c>
      <c r="J68" s="47" t="s">
        <v>414</v>
      </c>
      <c r="K68" s="45" t="s">
        <v>837</v>
      </c>
      <c r="L68" s="44" t="s">
        <v>415</v>
      </c>
      <c r="M68" s="49" t="s">
        <v>441</v>
      </c>
      <c r="N68" s="50" t="s">
        <v>459</v>
      </c>
      <c r="O68" s="51" t="s">
        <v>785</v>
      </c>
      <c r="P68" s="51" t="s">
        <v>786</v>
      </c>
      <c r="Q68" s="51" t="s">
        <v>838</v>
      </c>
      <c r="R68" s="67">
        <v>32</v>
      </c>
      <c r="S68" s="43" t="str">
        <f t="shared" si="0"/>
        <v>Over KPI</v>
      </c>
      <c r="T68" s="67" t="s">
        <v>469</v>
      </c>
      <c r="U68" s="64" t="s">
        <v>839</v>
      </c>
      <c r="V68" s="53" t="s">
        <v>117</v>
      </c>
      <c r="W68" s="45" t="s">
        <v>405</v>
      </c>
      <c r="X68" s="45"/>
      <c r="Y68" s="58" t="s">
        <v>840</v>
      </c>
      <c r="Z68" s="59" t="s">
        <v>437</v>
      </c>
      <c r="AA68" s="54" t="s">
        <v>130</v>
      </c>
    </row>
    <row r="69" spans="1:27" ht="27" hidden="1" customHeight="1" thickBot="1" x14ac:dyDescent="0.3">
      <c r="A69" s="41" t="s">
        <v>929</v>
      </c>
      <c r="B69" s="42">
        <v>2025</v>
      </c>
      <c r="C69" s="43" t="s">
        <v>548</v>
      </c>
      <c r="D69" s="55" t="s">
        <v>411</v>
      </c>
      <c r="E69" s="45" t="s">
        <v>733</v>
      </c>
      <c r="F69" s="46" t="s">
        <v>733</v>
      </c>
      <c r="G69" s="45" t="s">
        <v>161</v>
      </c>
      <c r="H69" s="45" t="s">
        <v>230</v>
      </c>
      <c r="I69" s="45" t="s">
        <v>379</v>
      </c>
      <c r="J69" s="56" t="s">
        <v>466</v>
      </c>
      <c r="K69" s="45" t="s">
        <v>841</v>
      </c>
      <c r="L69" s="59" t="s">
        <v>426</v>
      </c>
      <c r="M69" s="49" t="s">
        <v>441</v>
      </c>
      <c r="N69" s="50" t="s">
        <v>459</v>
      </c>
      <c r="O69" s="51" t="s">
        <v>785</v>
      </c>
      <c r="P69" s="51" t="s">
        <v>827</v>
      </c>
      <c r="Q69" s="51" t="s">
        <v>842</v>
      </c>
      <c r="R69" s="52">
        <v>56</v>
      </c>
      <c r="S69" s="43" t="str">
        <f t="shared" ref="S69:S102" si="1">IF(
    OR(L69="S-General",L69="O-General"),
       IF(R69&lt;=30,"In KPI","Over KPI"),
       IF(OR(L69="S-Specific",L69="O-Specific"),
            IF(R69&lt;=45,"In KPI","Over KPI"),
       "")
)</f>
        <v>Over KPI</v>
      </c>
      <c r="T69" s="52" t="s">
        <v>421</v>
      </c>
      <c r="U69" s="45" t="s">
        <v>843</v>
      </c>
      <c r="V69" s="60" t="s">
        <v>462</v>
      </c>
      <c r="W69" s="45" t="s">
        <v>405</v>
      </c>
      <c r="X69" s="61" t="s">
        <v>702</v>
      </c>
      <c r="Y69" s="58" t="s">
        <v>844</v>
      </c>
      <c r="Z69" s="59" t="s">
        <v>437</v>
      </c>
      <c r="AA69" s="54" t="s">
        <v>130</v>
      </c>
    </row>
    <row r="70" spans="1:27" ht="27" customHeight="1" thickBot="1" x14ac:dyDescent="0.3">
      <c r="A70" s="41" t="s">
        <v>929</v>
      </c>
      <c r="B70" s="42">
        <v>2025</v>
      </c>
      <c r="C70" s="43" t="s">
        <v>548</v>
      </c>
      <c r="D70" s="55" t="s">
        <v>411</v>
      </c>
      <c r="E70" s="45" t="s">
        <v>845</v>
      </c>
      <c r="F70" s="46" t="s">
        <v>846</v>
      </c>
      <c r="G70" s="45" t="s">
        <v>182</v>
      </c>
      <c r="H70" s="45" t="s">
        <v>222</v>
      </c>
      <c r="I70" s="45" t="s">
        <v>367</v>
      </c>
      <c r="J70" s="47" t="s">
        <v>414</v>
      </c>
      <c r="K70" s="45" t="s">
        <v>847</v>
      </c>
      <c r="L70" s="44" t="s">
        <v>415</v>
      </c>
      <c r="M70" s="49" t="s">
        <v>441</v>
      </c>
      <c r="N70" s="50" t="s">
        <v>459</v>
      </c>
      <c r="O70" s="51" t="s">
        <v>785</v>
      </c>
      <c r="P70" s="51" t="s">
        <v>786</v>
      </c>
      <c r="Q70" s="51" t="s">
        <v>848</v>
      </c>
      <c r="R70" s="52">
        <v>47</v>
      </c>
      <c r="S70" s="43" t="str">
        <f t="shared" si="1"/>
        <v>Over KPI</v>
      </c>
      <c r="T70" s="52" t="s">
        <v>421</v>
      </c>
      <c r="U70" s="64" t="s">
        <v>849</v>
      </c>
      <c r="V70" s="53" t="s">
        <v>117</v>
      </c>
      <c r="W70" s="45" t="s">
        <v>405</v>
      </c>
      <c r="X70" s="45"/>
      <c r="Y70" s="58" t="s">
        <v>850</v>
      </c>
      <c r="Z70" s="59" t="s">
        <v>437</v>
      </c>
      <c r="AA70" s="54" t="s">
        <v>130</v>
      </c>
    </row>
    <row r="71" spans="1:27" s="7" customFormat="1" ht="27" hidden="1" customHeight="1" thickBot="1" x14ac:dyDescent="0.4">
      <c r="B71" s="9">
        <v>2025</v>
      </c>
      <c r="C71" s="20" t="s">
        <v>452</v>
      </c>
      <c r="D71" s="11" t="s">
        <v>438</v>
      </c>
      <c r="E71" s="12" t="s">
        <v>453</v>
      </c>
      <c r="F71" s="13" t="s">
        <v>453</v>
      </c>
      <c r="G71" s="12" t="s">
        <v>164</v>
      </c>
      <c r="H71" s="12" t="s">
        <v>201</v>
      </c>
      <c r="I71" s="12" t="s">
        <v>309</v>
      </c>
      <c r="J71" s="14" t="s">
        <v>414</v>
      </c>
      <c r="K71" s="12" t="s">
        <v>851</v>
      </c>
      <c r="L71" s="15" t="s">
        <v>426</v>
      </c>
      <c r="M71" s="16" t="s">
        <v>441</v>
      </c>
      <c r="N71" s="17" t="s">
        <v>459</v>
      </c>
      <c r="O71" s="18" t="s">
        <v>455</v>
      </c>
      <c r="P71" s="18" t="s">
        <v>456</v>
      </c>
      <c r="Q71" s="18" t="s">
        <v>852</v>
      </c>
      <c r="R71" s="10">
        <v>3</v>
      </c>
      <c r="S71" s="20" t="str">
        <f t="shared" si="1"/>
        <v>In KPI</v>
      </c>
      <c r="T71" s="10" t="s">
        <v>536</v>
      </c>
      <c r="U71" s="36" t="s">
        <v>853</v>
      </c>
      <c r="V71" s="21" t="s">
        <v>462</v>
      </c>
      <c r="W71" s="12" t="s">
        <v>405</v>
      </c>
      <c r="X71" s="29" t="s">
        <v>555</v>
      </c>
      <c r="Y71" s="12"/>
      <c r="Z71" s="23" t="s">
        <v>430</v>
      </c>
      <c r="AA71" s="22" t="s">
        <v>130</v>
      </c>
    </row>
    <row r="72" spans="1:27" s="7" customFormat="1" ht="15.6" hidden="1" thickBot="1" x14ac:dyDescent="0.4">
      <c r="B72" s="9">
        <v>2025</v>
      </c>
      <c r="C72" s="20" t="s">
        <v>452</v>
      </c>
      <c r="D72" s="11" t="s">
        <v>438</v>
      </c>
      <c r="E72" s="12" t="s">
        <v>453</v>
      </c>
      <c r="F72" s="13" t="s">
        <v>453</v>
      </c>
      <c r="G72" s="12" t="s">
        <v>164</v>
      </c>
      <c r="H72" s="12" t="s">
        <v>201</v>
      </c>
      <c r="I72" s="12" t="s">
        <v>309</v>
      </c>
      <c r="J72" s="14" t="s">
        <v>414</v>
      </c>
      <c r="K72" s="36" t="s">
        <v>454</v>
      </c>
      <c r="L72" s="15" t="s">
        <v>426</v>
      </c>
      <c r="M72" s="16" t="s">
        <v>441</v>
      </c>
      <c r="N72" s="33" t="s">
        <v>417</v>
      </c>
      <c r="O72" s="18" t="s">
        <v>455</v>
      </c>
      <c r="P72" s="18" t="s">
        <v>456</v>
      </c>
      <c r="Q72" s="12"/>
      <c r="R72" s="19">
        <v>145</v>
      </c>
      <c r="S72" s="20" t="str">
        <f t="shared" si="1"/>
        <v>Over KPI</v>
      </c>
      <c r="T72" s="19" t="s">
        <v>421</v>
      </c>
      <c r="U72" s="12"/>
      <c r="V72" s="12"/>
      <c r="W72" s="12"/>
      <c r="X72" s="12"/>
      <c r="Y72" s="12"/>
      <c r="Z72" s="23" t="s">
        <v>430</v>
      </c>
      <c r="AA72" s="37" t="s">
        <v>127</v>
      </c>
    </row>
    <row r="73" spans="1:27" ht="27" hidden="1" customHeight="1" thickBot="1" x14ac:dyDescent="0.3">
      <c r="A73" s="41" t="s">
        <v>929</v>
      </c>
      <c r="B73" s="42">
        <v>2025</v>
      </c>
      <c r="C73" s="43" t="s">
        <v>854</v>
      </c>
      <c r="D73" s="55" t="s">
        <v>411</v>
      </c>
      <c r="E73" s="68" t="s">
        <v>343</v>
      </c>
      <c r="F73" s="46" t="s">
        <v>343</v>
      </c>
      <c r="G73" s="45" t="s">
        <v>173</v>
      </c>
      <c r="H73" s="45" t="s">
        <v>314</v>
      </c>
      <c r="I73" s="45" t="s">
        <v>368</v>
      </c>
      <c r="J73" s="55" t="s">
        <v>491</v>
      </c>
      <c r="K73" s="45" t="s">
        <v>855</v>
      </c>
      <c r="L73" s="48" t="s">
        <v>482</v>
      </c>
      <c r="M73" s="49" t="s">
        <v>441</v>
      </c>
      <c r="N73" s="50" t="s">
        <v>459</v>
      </c>
      <c r="O73" s="51" t="s">
        <v>856</v>
      </c>
      <c r="P73" s="51" t="s">
        <v>474</v>
      </c>
      <c r="Q73" s="51" t="s">
        <v>495</v>
      </c>
      <c r="R73" s="52">
        <v>83</v>
      </c>
      <c r="S73" s="43" t="str">
        <f t="shared" si="1"/>
        <v>Over KPI</v>
      </c>
      <c r="T73" s="52" t="s">
        <v>421</v>
      </c>
      <c r="U73" s="45" t="s">
        <v>857</v>
      </c>
      <c r="V73" s="75" t="s">
        <v>488</v>
      </c>
      <c r="W73" s="45" t="s">
        <v>405</v>
      </c>
      <c r="X73" s="61" t="s">
        <v>806</v>
      </c>
      <c r="Y73" s="58" t="s">
        <v>497</v>
      </c>
      <c r="Z73" s="59" t="s">
        <v>437</v>
      </c>
      <c r="AA73" s="54" t="s">
        <v>130</v>
      </c>
    </row>
    <row r="74" spans="1:27" ht="27" hidden="1" customHeight="1" thickBot="1" x14ac:dyDescent="0.3">
      <c r="A74" s="41" t="s">
        <v>929</v>
      </c>
      <c r="B74" s="67">
        <v>2025</v>
      </c>
      <c r="C74" s="43" t="s">
        <v>452</v>
      </c>
      <c r="D74" s="55" t="s">
        <v>411</v>
      </c>
      <c r="E74" s="68" t="s">
        <v>457</v>
      </c>
      <c r="F74" s="46" t="s">
        <v>371</v>
      </c>
      <c r="G74" s="45" t="s">
        <v>191</v>
      </c>
      <c r="H74" s="45" t="s">
        <v>244</v>
      </c>
      <c r="I74" s="45" t="s">
        <v>371</v>
      </c>
      <c r="J74" s="47" t="s">
        <v>414</v>
      </c>
      <c r="K74" s="45" t="s">
        <v>458</v>
      </c>
      <c r="L74" s="59" t="s">
        <v>426</v>
      </c>
      <c r="M74" s="49" t="s">
        <v>441</v>
      </c>
      <c r="N74" s="50" t="s">
        <v>459</v>
      </c>
      <c r="O74" s="51" t="s">
        <v>455</v>
      </c>
      <c r="P74" s="51" t="s">
        <v>456</v>
      </c>
      <c r="Q74" s="51" t="s">
        <v>460</v>
      </c>
      <c r="R74" s="52">
        <v>119</v>
      </c>
      <c r="S74" s="43" t="str">
        <f t="shared" si="1"/>
        <v>Over KPI</v>
      </c>
      <c r="T74" s="52" t="s">
        <v>421</v>
      </c>
      <c r="U74" s="45" t="s">
        <v>461</v>
      </c>
      <c r="V74" s="60" t="s">
        <v>462</v>
      </c>
      <c r="W74" s="45"/>
      <c r="X74" s="45"/>
      <c r="Y74" s="58" t="s">
        <v>463</v>
      </c>
      <c r="Z74" s="59" t="s">
        <v>437</v>
      </c>
      <c r="AA74" s="72" t="s">
        <v>129</v>
      </c>
    </row>
    <row r="75" spans="1:27" ht="27" customHeight="1" thickBot="1" x14ac:dyDescent="0.3">
      <c r="A75" s="41" t="s">
        <v>929</v>
      </c>
      <c r="B75" s="42">
        <v>2025</v>
      </c>
      <c r="C75" s="43" t="s">
        <v>452</v>
      </c>
      <c r="D75" s="55" t="s">
        <v>411</v>
      </c>
      <c r="E75" s="68" t="s">
        <v>858</v>
      </c>
      <c r="F75" s="46" t="s">
        <v>858</v>
      </c>
      <c r="G75" s="45" t="s">
        <v>182</v>
      </c>
      <c r="H75" s="45" t="s">
        <v>272</v>
      </c>
      <c r="I75" s="45" t="s">
        <v>372</v>
      </c>
      <c r="J75" s="55" t="s">
        <v>491</v>
      </c>
      <c r="K75" s="45" t="s">
        <v>859</v>
      </c>
      <c r="L75" s="48" t="s">
        <v>482</v>
      </c>
      <c r="M75" s="49" t="s">
        <v>441</v>
      </c>
      <c r="N75" s="50" t="s">
        <v>459</v>
      </c>
      <c r="O75" s="51" t="s">
        <v>455</v>
      </c>
      <c r="P75" s="51" t="s">
        <v>860</v>
      </c>
      <c r="Q75" s="51" t="s">
        <v>553</v>
      </c>
      <c r="R75" s="65">
        <v>15</v>
      </c>
      <c r="S75" s="43" t="str">
        <f t="shared" si="1"/>
        <v>In KPI</v>
      </c>
      <c r="T75" s="65" t="s">
        <v>650</v>
      </c>
      <c r="U75" s="64" t="s">
        <v>861</v>
      </c>
      <c r="V75" s="53" t="s">
        <v>117</v>
      </c>
      <c r="W75" s="45" t="s">
        <v>405</v>
      </c>
      <c r="X75" s="51" t="s">
        <v>862</v>
      </c>
      <c r="Y75" s="58" t="s">
        <v>863</v>
      </c>
      <c r="Z75" s="59" t="s">
        <v>437</v>
      </c>
      <c r="AA75" s="54" t="s">
        <v>130</v>
      </c>
    </row>
    <row r="76" spans="1:27" ht="27" hidden="1" customHeight="1" thickBot="1" x14ac:dyDescent="0.3">
      <c r="A76" s="41" t="s">
        <v>929</v>
      </c>
      <c r="B76" s="42">
        <v>2025</v>
      </c>
      <c r="C76" s="43" t="s">
        <v>452</v>
      </c>
      <c r="D76" s="55" t="s">
        <v>411</v>
      </c>
      <c r="E76" s="45" t="s">
        <v>542</v>
      </c>
      <c r="F76" s="46" t="s">
        <v>864</v>
      </c>
      <c r="G76" s="45" t="s">
        <v>170</v>
      </c>
      <c r="H76" s="45" t="s">
        <v>236</v>
      </c>
      <c r="I76" s="45" t="s">
        <v>373</v>
      </c>
      <c r="J76" s="47" t="s">
        <v>414</v>
      </c>
      <c r="K76" s="45" t="s">
        <v>865</v>
      </c>
      <c r="L76" s="48" t="s">
        <v>482</v>
      </c>
      <c r="M76" s="49" t="s">
        <v>441</v>
      </c>
      <c r="N76" s="50" t="s">
        <v>459</v>
      </c>
      <c r="O76" s="51" t="s">
        <v>455</v>
      </c>
      <c r="P76" s="51" t="s">
        <v>860</v>
      </c>
      <c r="Q76" s="51" t="s">
        <v>866</v>
      </c>
      <c r="R76" s="52">
        <v>58</v>
      </c>
      <c r="S76" s="43" t="str">
        <f t="shared" si="1"/>
        <v>Over KPI</v>
      </c>
      <c r="T76" s="52" t="s">
        <v>421</v>
      </c>
      <c r="U76" s="45" t="s">
        <v>867</v>
      </c>
      <c r="V76" s="75" t="s">
        <v>488</v>
      </c>
      <c r="W76" s="45" t="s">
        <v>405</v>
      </c>
      <c r="X76" s="51" t="s">
        <v>868</v>
      </c>
      <c r="Y76" s="58" t="s">
        <v>547</v>
      </c>
      <c r="Z76" s="59" t="s">
        <v>437</v>
      </c>
      <c r="AA76" s="54" t="s">
        <v>130</v>
      </c>
    </row>
    <row r="77" spans="1:27" ht="27" hidden="1" customHeight="1" thickBot="1" x14ac:dyDescent="0.3">
      <c r="A77" s="41" t="s">
        <v>929</v>
      </c>
      <c r="B77" s="67">
        <v>2025</v>
      </c>
      <c r="C77" s="43" t="s">
        <v>452</v>
      </c>
      <c r="D77" s="55" t="s">
        <v>411</v>
      </c>
      <c r="E77" s="45" t="s">
        <v>374</v>
      </c>
      <c r="F77" s="46" t="s">
        <v>869</v>
      </c>
      <c r="G77" s="45" t="s">
        <v>188</v>
      </c>
      <c r="H77" s="45" t="s">
        <v>282</v>
      </c>
      <c r="I77" s="45" t="s">
        <v>374</v>
      </c>
      <c r="J77" s="56" t="s">
        <v>466</v>
      </c>
      <c r="K77" s="45" t="s">
        <v>870</v>
      </c>
      <c r="L77" s="59" t="s">
        <v>426</v>
      </c>
      <c r="M77" s="49" t="s">
        <v>441</v>
      </c>
      <c r="N77" s="50" t="s">
        <v>459</v>
      </c>
      <c r="O77" s="76" t="s">
        <v>455</v>
      </c>
      <c r="P77" s="76" t="s">
        <v>456</v>
      </c>
      <c r="Q77" s="51" t="s">
        <v>871</v>
      </c>
      <c r="R77" s="52">
        <v>105</v>
      </c>
      <c r="S77" s="43" t="str">
        <f t="shared" si="1"/>
        <v>Over KPI</v>
      </c>
      <c r="T77" s="52" t="s">
        <v>421</v>
      </c>
      <c r="U77" s="77" t="s">
        <v>872</v>
      </c>
      <c r="V77" s="78" t="s">
        <v>598</v>
      </c>
      <c r="W77" s="45" t="s">
        <v>405</v>
      </c>
      <c r="X77" s="51" t="s">
        <v>806</v>
      </c>
      <c r="Y77" s="79" t="s">
        <v>873</v>
      </c>
      <c r="Z77" s="48" t="s">
        <v>430</v>
      </c>
      <c r="AA77" s="80" t="s">
        <v>130</v>
      </c>
    </row>
    <row r="78" spans="1:27" ht="27" hidden="1" customHeight="1" thickBot="1" x14ac:dyDescent="0.3">
      <c r="A78" s="41" t="s">
        <v>929</v>
      </c>
      <c r="B78" s="42">
        <v>2025</v>
      </c>
      <c r="C78" s="43" t="s">
        <v>464</v>
      </c>
      <c r="D78" s="55" t="s">
        <v>411</v>
      </c>
      <c r="E78" s="68" t="s">
        <v>465</v>
      </c>
      <c r="F78" s="46" t="s">
        <v>465</v>
      </c>
      <c r="G78" s="45" t="s">
        <v>164</v>
      </c>
      <c r="H78" s="45" t="s">
        <v>323</v>
      </c>
      <c r="I78" s="45" t="s">
        <v>339</v>
      </c>
      <c r="J78" s="56" t="s">
        <v>466</v>
      </c>
      <c r="K78" s="45" t="s">
        <v>467</v>
      </c>
      <c r="L78" s="59" t="s">
        <v>426</v>
      </c>
      <c r="M78" s="49" t="s">
        <v>441</v>
      </c>
      <c r="N78" s="81" t="s">
        <v>417</v>
      </c>
      <c r="O78" s="51" t="s">
        <v>932</v>
      </c>
      <c r="P78" s="51" t="s">
        <v>468</v>
      </c>
      <c r="Q78" s="45"/>
      <c r="R78" s="67">
        <v>33</v>
      </c>
      <c r="S78" s="43" t="str">
        <f t="shared" si="1"/>
        <v>In KPI</v>
      </c>
      <c r="T78" s="67" t="s">
        <v>469</v>
      </c>
      <c r="U78" s="45"/>
      <c r="V78" s="45"/>
      <c r="W78" s="45"/>
      <c r="X78" s="45"/>
      <c r="Y78" s="58" t="s">
        <v>470</v>
      </c>
      <c r="Z78" s="48" t="s">
        <v>430</v>
      </c>
      <c r="AA78" s="87" t="s">
        <v>934</v>
      </c>
    </row>
    <row r="79" spans="1:27" ht="27" hidden="1" customHeight="1" thickBot="1" x14ac:dyDescent="0.3">
      <c r="A79" s="41" t="s">
        <v>929</v>
      </c>
      <c r="B79" s="42">
        <v>2025</v>
      </c>
      <c r="C79" s="43" t="s">
        <v>471</v>
      </c>
      <c r="D79" s="55" t="s">
        <v>411</v>
      </c>
      <c r="E79" s="82" t="s">
        <v>779</v>
      </c>
      <c r="F79" s="46" t="s">
        <v>779</v>
      </c>
      <c r="G79" s="45" t="s">
        <v>164</v>
      </c>
      <c r="H79" s="45" t="s">
        <v>312</v>
      </c>
      <c r="I79" s="45" t="s">
        <v>356</v>
      </c>
      <c r="J79" s="47" t="s">
        <v>414</v>
      </c>
      <c r="K79" s="45" t="s">
        <v>874</v>
      </c>
      <c r="L79" s="59" t="s">
        <v>426</v>
      </c>
      <c r="M79" s="49" t="s">
        <v>441</v>
      </c>
      <c r="N79" s="50" t="s">
        <v>459</v>
      </c>
      <c r="O79" s="51" t="s">
        <v>474</v>
      </c>
      <c r="P79" s="51" t="s">
        <v>475</v>
      </c>
      <c r="Q79" s="51" t="s">
        <v>804</v>
      </c>
      <c r="R79" s="52">
        <v>64</v>
      </c>
      <c r="S79" s="43" t="str">
        <f t="shared" si="1"/>
        <v>Over KPI</v>
      </c>
      <c r="T79" s="52" t="s">
        <v>421</v>
      </c>
      <c r="U79" s="64" t="s">
        <v>875</v>
      </c>
      <c r="V79" s="75" t="s">
        <v>488</v>
      </c>
      <c r="W79" s="45" t="s">
        <v>405</v>
      </c>
      <c r="X79" s="61" t="s">
        <v>876</v>
      </c>
      <c r="Y79" s="58" t="s">
        <v>877</v>
      </c>
      <c r="Z79" s="59" t="s">
        <v>437</v>
      </c>
      <c r="AA79" s="54" t="s">
        <v>130</v>
      </c>
    </row>
    <row r="80" spans="1:27" s="7" customFormat="1" ht="27" hidden="1" customHeight="1" thickBot="1" x14ac:dyDescent="0.4">
      <c r="B80" s="9">
        <v>2025</v>
      </c>
      <c r="C80" s="20" t="s">
        <v>854</v>
      </c>
      <c r="D80" s="11" t="s">
        <v>438</v>
      </c>
      <c r="E80" s="12" t="s">
        <v>878</v>
      </c>
      <c r="F80" s="13" t="s">
        <v>878</v>
      </c>
      <c r="G80" s="12" t="s">
        <v>161</v>
      </c>
      <c r="H80" s="12" t="s">
        <v>209</v>
      </c>
      <c r="I80" s="12" t="s">
        <v>377</v>
      </c>
      <c r="J80" s="14" t="s">
        <v>414</v>
      </c>
      <c r="K80" s="12" t="s">
        <v>879</v>
      </c>
      <c r="L80" s="15" t="s">
        <v>426</v>
      </c>
      <c r="M80" s="16" t="s">
        <v>441</v>
      </c>
      <c r="N80" s="17" t="s">
        <v>459</v>
      </c>
      <c r="O80" s="18" t="s">
        <v>880</v>
      </c>
      <c r="P80" s="18" t="s">
        <v>881</v>
      </c>
      <c r="Q80" s="18" t="s">
        <v>882</v>
      </c>
      <c r="R80" s="10">
        <v>7</v>
      </c>
      <c r="S80" s="20" t="str">
        <f t="shared" si="1"/>
        <v>In KPI</v>
      </c>
      <c r="T80" s="10" t="s">
        <v>536</v>
      </c>
      <c r="U80" s="12" t="s">
        <v>883</v>
      </c>
      <c r="V80" s="37" t="s">
        <v>488</v>
      </c>
      <c r="W80" s="12" t="s">
        <v>405</v>
      </c>
      <c r="X80" s="29" t="s">
        <v>811</v>
      </c>
      <c r="Y80" s="12"/>
      <c r="Z80" s="15" t="s">
        <v>437</v>
      </c>
      <c r="AA80" s="22" t="s">
        <v>130</v>
      </c>
    </row>
    <row r="81" spans="1:27" ht="27" hidden="1" customHeight="1" thickBot="1" x14ac:dyDescent="0.3">
      <c r="A81" s="41" t="s">
        <v>929</v>
      </c>
      <c r="B81" s="42">
        <v>2025</v>
      </c>
      <c r="C81" s="43" t="s">
        <v>854</v>
      </c>
      <c r="D81" s="55" t="s">
        <v>411</v>
      </c>
      <c r="E81" s="45" t="s">
        <v>542</v>
      </c>
      <c r="F81" s="46" t="s">
        <v>884</v>
      </c>
      <c r="G81" s="45" t="s">
        <v>137</v>
      </c>
      <c r="H81" s="45" t="s">
        <v>270</v>
      </c>
      <c r="I81" s="45" t="s">
        <v>181</v>
      </c>
      <c r="J81" s="56" t="s">
        <v>466</v>
      </c>
      <c r="K81" s="45" t="s">
        <v>885</v>
      </c>
      <c r="L81" s="48" t="s">
        <v>482</v>
      </c>
      <c r="M81" s="49" t="s">
        <v>441</v>
      </c>
      <c r="N81" s="50" t="s">
        <v>459</v>
      </c>
      <c r="O81" s="51" t="s">
        <v>856</v>
      </c>
      <c r="P81" s="51" t="s">
        <v>474</v>
      </c>
      <c r="Q81" s="51" t="s">
        <v>474</v>
      </c>
      <c r="R81" s="67">
        <v>30</v>
      </c>
      <c r="S81" s="43" t="str">
        <f t="shared" si="1"/>
        <v>In KPI</v>
      </c>
      <c r="T81" s="67" t="s">
        <v>469</v>
      </c>
      <c r="U81" s="45" t="s">
        <v>886</v>
      </c>
      <c r="V81" s="75" t="s">
        <v>488</v>
      </c>
      <c r="W81" s="45" t="s">
        <v>405</v>
      </c>
      <c r="X81" s="61" t="s">
        <v>887</v>
      </c>
      <c r="Y81" s="45"/>
      <c r="Z81" s="59" t="s">
        <v>437</v>
      </c>
      <c r="AA81" s="54" t="s">
        <v>130</v>
      </c>
    </row>
    <row r="82" spans="1:27" ht="27" hidden="1" customHeight="1" thickBot="1" x14ac:dyDescent="0.3">
      <c r="A82" s="41" t="s">
        <v>929</v>
      </c>
      <c r="B82" s="42">
        <v>2025</v>
      </c>
      <c r="C82" s="43" t="s">
        <v>854</v>
      </c>
      <c r="D82" s="55" t="s">
        <v>411</v>
      </c>
      <c r="E82" s="45" t="s">
        <v>484</v>
      </c>
      <c r="F82" s="46" t="s">
        <v>484</v>
      </c>
      <c r="G82" s="45" t="s">
        <v>161</v>
      </c>
      <c r="H82" s="45" t="s">
        <v>230</v>
      </c>
      <c r="I82" s="45" t="s">
        <v>348</v>
      </c>
      <c r="J82" s="47" t="s">
        <v>414</v>
      </c>
      <c r="K82" s="45" t="s">
        <v>888</v>
      </c>
      <c r="L82" s="59" t="s">
        <v>426</v>
      </c>
      <c r="M82" s="49" t="s">
        <v>441</v>
      </c>
      <c r="N82" s="50" t="s">
        <v>459</v>
      </c>
      <c r="O82" s="51" t="s">
        <v>856</v>
      </c>
      <c r="P82" s="51" t="s">
        <v>889</v>
      </c>
      <c r="Q82" s="51" t="s">
        <v>838</v>
      </c>
      <c r="R82" s="62">
        <v>4</v>
      </c>
      <c r="S82" s="43" t="str">
        <f t="shared" si="1"/>
        <v>In KPI</v>
      </c>
      <c r="T82" s="62" t="s">
        <v>536</v>
      </c>
      <c r="U82" s="45" t="s">
        <v>890</v>
      </c>
      <c r="V82" s="75" t="s">
        <v>488</v>
      </c>
      <c r="W82" s="45" t="s">
        <v>405</v>
      </c>
      <c r="X82" s="45"/>
      <c r="Y82" s="58" t="s">
        <v>489</v>
      </c>
      <c r="Z82" s="45"/>
      <c r="AA82" s="54" t="s">
        <v>130</v>
      </c>
    </row>
    <row r="83" spans="1:27" ht="27" hidden="1" customHeight="1" thickBot="1" x14ac:dyDescent="0.3">
      <c r="A83" s="41" t="s">
        <v>929</v>
      </c>
      <c r="B83" s="42">
        <v>2025</v>
      </c>
      <c r="C83" s="43" t="s">
        <v>854</v>
      </c>
      <c r="D83" s="55" t="s">
        <v>411</v>
      </c>
      <c r="E83" s="45" t="s">
        <v>891</v>
      </c>
      <c r="F83" s="46" t="s">
        <v>891</v>
      </c>
      <c r="G83" s="45" t="s">
        <v>170</v>
      </c>
      <c r="H83" s="45" t="s">
        <v>226</v>
      </c>
      <c r="I83" s="45" t="s">
        <v>360</v>
      </c>
      <c r="J83" s="56" t="s">
        <v>466</v>
      </c>
      <c r="K83" s="45" t="s">
        <v>892</v>
      </c>
      <c r="L83" s="59" t="s">
        <v>426</v>
      </c>
      <c r="M83" s="49" t="s">
        <v>441</v>
      </c>
      <c r="N83" s="50" t="s">
        <v>459</v>
      </c>
      <c r="O83" s="51" t="s">
        <v>860</v>
      </c>
      <c r="P83" s="51" t="s">
        <v>893</v>
      </c>
      <c r="Q83" s="51" t="s">
        <v>894</v>
      </c>
      <c r="R83" s="67">
        <v>33</v>
      </c>
      <c r="S83" s="43" t="str">
        <f t="shared" si="1"/>
        <v>In KPI</v>
      </c>
      <c r="T83" s="67" t="s">
        <v>469</v>
      </c>
      <c r="U83" s="45" t="s">
        <v>895</v>
      </c>
      <c r="V83" s="75" t="s">
        <v>488</v>
      </c>
      <c r="W83" s="45" t="s">
        <v>405</v>
      </c>
      <c r="X83" s="61" t="s">
        <v>642</v>
      </c>
      <c r="Y83" s="58" t="s">
        <v>896</v>
      </c>
      <c r="Z83" s="59" t="s">
        <v>437</v>
      </c>
      <c r="AA83" s="54" t="s">
        <v>130</v>
      </c>
    </row>
    <row r="84" spans="1:27" ht="27" hidden="1" customHeight="1" thickBot="1" x14ac:dyDescent="0.3">
      <c r="A84" s="41" t="s">
        <v>929</v>
      </c>
      <c r="B84" s="42">
        <v>2025</v>
      </c>
      <c r="C84" s="43" t="s">
        <v>490</v>
      </c>
      <c r="D84" s="55" t="s">
        <v>411</v>
      </c>
      <c r="E84" s="45" t="s">
        <v>498</v>
      </c>
      <c r="F84" s="46" t="s">
        <v>498</v>
      </c>
      <c r="G84" s="45" t="s">
        <v>173</v>
      </c>
      <c r="H84" s="45" t="s">
        <v>296</v>
      </c>
      <c r="I84" s="45" t="s">
        <v>378</v>
      </c>
      <c r="J84" s="56" t="s">
        <v>466</v>
      </c>
      <c r="K84" s="45" t="s">
        <v>897</v>
      </c>
      <c r="L84" s="59" t="s">
        <v>426</v>
      </c>
      <c r="M84" s="49" t="s">
        <v>441</v>
      </c>
      <c r="N84" s="50" t="s">
        <v>459</v>
      </c>
      <c r="O84" s="51" t="s">
        <v>898</v>
      </c>
      <c r="P84" s="51" t="s">
        <v>899</v>
      </c>
      <c r="Q84" s="51" t="s">
        <v>900</v>
      </c>
      <c r="R84" s="67">
        <v>26</v>
      </c>
      <c r="S84" s="43" t="str">
        <f t="shared" si="1"/>
        <v>In KPI</v>
      </c>
      <c r="T84" s="67" t="s">
        <v>469</v>
      </c>
      <c r="U84" s="45" t="s">
        <v>901</v>
      </c>
      <c r="V84" s="71" t="s">
        <v>124</v>
      </c>
      <c r="W84" s="45" t="s">
        <v>405</v>
      </c>
      <c r="X84" s="61" t="s">
        <v>876</v>
      </c>
      <c r="Y84" s="58" t="s">
        <v>503</v>
      </c>
      <c r="Z84" s="59" t="s">
        <v>437</v>
      </c>
      <c r="AA84" s="54" t="s">
        <v>130</v>
      </c>
    </row>
    <row r="85" spans="1:27" ht="27" hidden="1" customHeight="1" thickBot="1" x14ac:dyDescent="0.3">
      <c r="A85" s="41" t="s">
        <v>929</v>
      </c>
      <c r="B85" s="42">
        <v>2025</v>
      </c>
      <c r="C85" s="43" t="s">
        <v>471</v>
      </c>
      <c r="D85" s="55" t="s">
        <v>411</v>
      </c>
      <c r="E85" s="83" t="s">
        <v>858</v>
      </c>
      <c r="F85" s="46" t="s">
        <v>858</v>
      </c>
      <c r="G85" s="45" t="s">
        <v>182</v>
      </c>
      <c r="H85" s="45" t="s">
        <v>272</v>
      </c>
      <c r="I85" s="45" t="s">
        <v>372</v>
      </c>
      <c r="J85" s="47" t="s">
        <v>414</v>
      </c>
      <c r="K85" s="45" t="s">
        <v>902</v>
      </c>
      <c r="L85" s="48" t="s">
        <v>482</v>
      </c>
      <c r="M85" s="49" t="s">
        <v>441</v>
      </c>
      <c r="N85" s="50" t="s">
        <v>459</v>
      </c>
      <c r="O85" s="51" t="s">
        <v>456</v>
      </c>
      <c r="P85" s="51" t="s">
        <v>893</v>
      </c>
      <c r="Q85" s="51" t="s">
        <v>903</v>
      </c>
      <c r="R85" s="42">
        <v>-2</v>
      </c>
      <c r="S85" s="43" t="str">
        <f t="shared" si="1"/>
        <v>In KPI</v>
      </c>
      <c r="T85" s="52" t="s">
        <v>421</v>
      </c>
      <c r="U85" s="45" t="s">
        <v>904</v>
      </c>
      <c r="V85" s="75" t="s">
        <v>488</v>
      </c>
      <c r="W85" s="45" t="s">
        <v>405</v>
      </c>
      <c r="X85" s="61" t="s">
        <v>905</v>
      </c>
      <c r="Y85" s="58" t="s">
        <v>906</v>
      </c>
      <c r="Z85" s="59" t="s">
        <v>437</v>
      </c>
      <c r="AA85" s="54" t="s">
        <v>130</v>
      </c>
    </row>
    <row r="86" spans="1:27" ht="27" hidden="1" customHeight="1" thickBot="1" x14ac:dyDescent="0.3">
      <c r="A86" s="41" t="s">
        <v>929</v>
      </c>
      <c r="B86" s="42">
        <v>2025</v>
      </c>
      <c r="C86" s="43" t="s">
        <v>490</v>
      </c>
      <c r="D86" s="55" t="s">
        <v>411</v>
      </c>
      <c r="E86" s="45" t="s">
        <v>504</v>
      </c>
      <c r="F86" s="46" t="s">
        <v>614</v>
      </c>
      <c r="G86" s="45" t="s">
        <v>188</v>
      </c>
      <c r="H86" s="45" t="s">
        <v>228</v>
      </c>
      <c r="I86" s="45" t="s">
        <v>334</v>
      </c>
      <c r="J86" s="47" t="s">
        <v>414</v>
      </c>
      <c r="K86" s="45" t="s">
        <v>907</v>
      </c>
      <c r="L86" s="48" t="s">
        <v>482</v>
      </c>
      <c r="M86" s="49" t="s">
        <v>441</v>
      </c>
      <c r="N86" s="50" t="s">
        <v>459</v>
      </c>
      <c r="O86" s="51" t="s">
        <v>500</v>
      </c>
      <c r="P86" s="51" t="s">
        <v>501</v>
      </c>
      <c r="Q86" s="51" t="s">
        <v>501</v>
      </c>
      <c r="R86" s="67">
        <v>30</v>
      </c>
      <c r="S86" s="43" t="str">
        <f t="shared" si="1"/>
        <v>In KPI</v>
      </c>
      <c r="T86" s="67" t="s">
        <v>469</v>
      </c>
      <c r="U86" s="45" t="s">
        <v>908</v>
      </c>
      <c r="V86" s="75" t="s">
        <v>488</v>
      </c>
      <c r="W86" s="45" t="s">
        <v>405</v>
      </c>
      <c r="X86" s="61" t="s">
        <v>909</v>
      </c>
      <c r="Y86" s="45"/>
      <c r="Z86" s="59" t="s">
        <v>437</v>
      </c>
      <c r="AA86" s="54" t="s">
        <v>130</v>
      </c>
    </row>
    <row r="87" spans="1:27" ht="27" customHeight="1" thickBot="1" x14ac:dyDescent="0.3">
      <c r="A87" s="41" t="s">
        <v>929</v>
      </c>
      <c r="B87" s="42">
        <v>2025</v>
      </c>
      <c r="C87" s="43" t="s">
        <v>471</v>
      </c>
      <c r="D87" s="55" t="s">
        <v>411</v>
      </c>
      <c r="E87" s="45" t="s">
        <v>472</v>
      </c>
      <c r="F87" s="46" t="s">
        <v>472</v>
      </c>
      <c r="G87" s="45" t="s">
        <v>170</v>
      </c>
      <c r="H87" s="45" t="s">
        <v>212</v>
      </c>
      <c r="I87" s="45" t="s">
        <v>381</v>
      </c>
      <c r="J87" s="47" t="s">
        <v>414</v>
      </c>
      <c r="K87" s="45" t="s">
        <v>473</v>
      </c>
      <c r="L87" s="59" t="s">
        <v>426</v>
      </c>
      <c r="M87" s="49" t="s">
        <v>441</v>
      </c>
      <c r="N87" s="50" t="s">
        <v>459</v>
      </c>
      <c r="O87" s="51" t="s">
        <v>474</v>
      </c>
      <c r="P87" s="51" t="s">
        <v>475</v>
      </c>
      <c r="Q87" s="51" t="s">
        <v>476</v>
      </c>
      <c r="R87" s="67">
        <v>25</v>
      </c>
      <c r="S87" s="43" t="str">
        <f t="shared" si="1"/>
        <v>In KPI</v>
      </c>
      <c r="T87" s="67" t="s">
        <v>469</v>
      </c>
      <c r="U87" s="45"/>
      <c r="V87" s="53" t="s">
        <v>117</v>
      </c>
      <c r="W87" s="45"/>
      <c r="X87" s="61" t="s">
        <v>477</v>
      </c>
      <c r="Y87" s="58" t="s">
        <v>478</v>
      </c>
      <c r="Z87" s="70" t="s">
        <v>479</v>
      </c>
      <c r="AA87" s="72" t="s">
        <v>130</v>
      </c>
    </row>
    <row r="88" spans="1:27" s="7" customFormat="1" ht="27" hidden="1" customHeight="1" thickBot="1" x14ac:dyDescent="0.4">
      <c r="A88" s="7" t="s">
        <v>929</v>
      </c>
      <c r="B88" s="9">
        <v>2025</v>
      </c>
      <c r="C88" s="20" t="s">
        <v>471</v>
      </c>
      <c r="D88" s="27" t="s">
        <v>411</v>
      </c>
      <c r="E88" s="12" t="s">
        <v>480</v>
      </c>
      <c r="F88" s="13" t="s">
        <v>416</v>
      </c>
      <c r="G88" s="12" t="s">
        <v>134</v>
      </c>
      <c r="H88" s="12" t="s">
        <v>254</v>
      </c>
      <c r="I88" s="12" t="s">
        <v>380</v>
      </c>
      <c r="J88" s="14" t="s">
        <v>414</v>
      </c>
      <c r="K88" s="12" t="s">
        <v>481</v>
      </c>
      <c r="L88" s="23" t="s">
        <v>482</v>
      </c>
      <c r="M88" s="12" t="s">
        <v>416</v>
      </c>
      <c r="N88" s="33" t="s">
        <v>417</v>
      </c>
      <c r="O88" s="18" t="s">
        <v>474</v>
      </c>
      <c r="P88" s="18" t="s">
        <v>483</v>
      </c>
      <c r="Q88" s="18" t="s">
        <v>474</v>
      </c>
      <c r="R88" s="19">
        <v>99</v>
      </c>
      <c r="S88" s="20" t="str">
        <f t="shared" si="1"/>
        <v>Over KPI</v>
      </c>
      <c r="T88" s="19" t="s">
        <v>421</v>
      </c>
      <c r="U88" s="12"/>
      <c r="V88" s="12"/>
      <c r="W88" s="12"/>
      <c r="X88" s="12"/>
      <c r="Y88" s="12"/>
      <c r="Z88" s="15" t="s">
        <v>437</v>
      </c>
      <c r="AA88" s="9" t="s">
        <v>416</v>
      </c>
    </row>
    <row r="89" spans="1:27" s="7" customFormat="1" ht="15.6" hidden="1" thickBot="1" x14ac:dyDescent="0.4">
      <c r="B89" s="9">
        <v>2025</v>
      </c>
      <c r="C89" s="20" t="s">
        <v>471</v>
      </c>
      <c r="D89" s="11" t="s">
        <v>438</v>
      </c>
      <c r="E89" s="12" t="s">
        <v>542</v>
      </c>
      <c r="F89" s="13" t="s">
        <v>563</v>
      </c>
      <c r="G89" s="12" t="s">
        <v>143</v>
      </c>
      <c r="H89" s="12" t="s">
        <v>165</v>
      </c>
      <c r="I89" s="12" t="s">
        <v>243</v>
      </c>
      <c r="J89" s="14" t="s">
        <v>414</v>
      </c>
      <c r="K89" s="12" t="s">
        <v>910</v>
      </c>
      <c r="L89" s="23" t="s">
        <v>482</v>
      </c>
      <c r="M89" s="16" t="s">
        <v>441</v>
      </c>
      <c r="N89" s="17" t="s">
        <v>459</v>
      </c>
      <c r="O89" s="18" t="s">
        <v>474</v>
      </c>
      <c r="P89" s="18" t="s">
        <v>483</v>
      </c>
      <c r="Q89" s="18" t="s">
        <v>911</v>
      </c>
      <c r="R89" s="25">
        <v>24</v>
      </c>
      <c r="S89" s="20" t="str">
        <f t="shared" si="1"/>
        <v>In KPI</v>
      </c>
      <c r="T89" s="25" t="s">
        <v>469</v>
      </c>
      <c r="U89" s="12" t="s">
        <v>912</v>
      </c>
      <c r="V89" s="37" t="s">
        <v>488</v>
      </c>
      <c r="W89" s="12"/>
      <c r="X89" s="29" t="s">
        <v>642</v>
      </c>
      <c r="Y89" s="12"/>
      <c r="Z89" s="23" t="s">
        <v>430</v>
      </c>
      <c r="AA89" s="22" t="s">
        <v>130</v>
      </c>
    </row>
    <row r="90" spans="1:27" ht="27" hidden="1" customHeight="1" thickBot="1" x14ac:dyDescent="0.3">
      <c r="A90" s="41" t="s">
        <v>929</v>
      </c>
      <c r="B90" s="42">
        <v>2025</v>
      </c>
      <c r="C90" s="43" t="s">
        <v>490</v>
      </c>
      <c r="D90" s="55" t="s">
        <v>411</v>
      </c>
      <c r="E90" s="45" t="s">
        <v>913</v>
      </c>
      <c r="F90" s="46" t="s">
        <v>913</v>
      </c>
      <c r="G90" s="45" t="s">
        <v>191</v>
      </c>
      <c r="H90" s="45" t="s">
        <v>329</v>
      </c>
      <c r="I90" s="45" t="s">
        <v>382</v>
      </c>
      <c r="J90" s="47" t="s">
        <v>414</v>
      </c>
      <c r="K90" s="45" t="s">
        <v>914</v>
      </c>
      <c r="L90" s="59" t="s">
        <v>426</v>
      </c>
      <c r="M90" s="49" t="s">
        <v>441</v>
      </c>
      <c r="N90" s="50" t="s">
        <v>459</v>
      </c>
      <c r="O90" s="76" t="s">
        <v>493</v>
      </c>
      <c r="P90" s="76" t="s">
        <v>515</v>
      </c>
      <c r="Q90" s="76" t="s">
        <v>915</v>
      </c>
      <c r="R90" s="62">
        <v>10</v>
      </c>
      <c r="S90" s="43" t="str">
        <f t="shared" si="1"/>
        <v>In KPI</v>
      </c>
      <c r="T90" s="62" t="s">
        <v>536</v>
      </c>
      <c r="U90" s="77" t="s">
        <v>916</v>
      </c>
      <c r="V90" s="84" t="s">
        <v>488</v>
      </c>
      <c r="W90" s="45" t="s">
        <v>405</v>
      </c>
      <c r="X90" s="61" t="s">
        <v>642</v>
      </c>
      <c r="Y90" s="79" t="s">
        <v>917</v>
      </c>
      <c r="Z90" s="59" t="s">
        <v>437</v>
      </c>
      <c r="AA90" s="72" t="s">
        <v>130</v>
      </c>
    </row>
    <row r="91" spans="1:27" s="7" customFormat="1" ht="30.6" hidden="1" thickBot="1" x14ac:dyDescent="0.4">
      <c r="B91" s="9">
        <v>2025</v>
      </c>
      <c r="C91" s="20" t="s">
        <v>511</v>
      </c>
      <c r="D91" s="11" t="s">
        <v>438</v>
      </c>
      <c r="E91" s="12" t="s">
        <v>542</v>
      </c>
      <c r="F91" s="13" t="s">
        <v>918</v>
      </c>
      <c r="G91" s="12" t="s">
        <v>155</v>
      </c>
      <c r="H91" s="12" t="s">
        <v>144</v>
      </c>
      <c r="I91" s="12" t="s">
        <v>311</v>
      </c>
      <c r="J91" s="11" t="s">
        <v>466</v>
      </c>
      <c r="K91" s="12" t="s">
        <v>762</v>
      </c>
      <c r="L91" s="23" t="s">
        <v>482</v>
      </c>
      <c r="M91" s="16" t="s">
        <v>441</v>
      </c>
      <c r="N91" s="17" t="s">
        <v>459</v>
      </c>
      <c r="O91" s="18" t="s">
        <v>535</v>
      </c>
      <c r="P91" s="18" t="s">
        <v>919</v>
      </c>
      <c r="Q91" s="18" t="s">
        <v>920</v>
      </c>
      <c r="R91" s="34">
        <v>18</v>
      </c>
      <c r="S91" s="20" t="str">
        <f t="shared" si="1"/>
        <v>In KPI</v>
      </c>
      <c r="T91" s="34" t="s">
        <v>650</v>
      </c>
      <c r="U91" s="12" t="s">
        <v>921</v>
      </c>
      <c r="V91" s="12"/>
      <c r="W91" s="12"/>
      <c r="X91" s="12"/>
      <c r="Y91" s="12"/>
      <c r="Z91" s="15" t="s">
        <v>437</v>
      </c>
      <c r="AA91" s="35" t="s">
        <v>129</v>
      </c>
    </row>
    <row r="92" spans="1:27" ht="27" hidden="1" customHeight="1" thickBot="1" x14ac:dyDescent="0.3">
      <c r="A92" s="41" t="s">
        <v>929</v>
      </c>
      <c r="B92" s="42">
        <v>2025</v>
      </c>
      <c r="C92" s="43" t="s">
        <v>410</v>
      </c>
      <c r="D92" s="55" t="s">
        <v>411</v>
      </c>
      <c r="E92" s="68" t="s">
        <v>484</v>
      </c>
      <c r="F92" s="46" t="s">
        <v>484</v>
      </c>
      <c r="G92" s="45" t="s">
        <v>161</v>
      </c>
      <c r="H92" s="45" t="s">
        <v>230</v>
      </c>
      <c r="I92" s="45" t="s">
        <v>348</v>
      </c>
      <c r="J92" s="47" t="s">
        <v>414</v>
      </c>
      <c r="K92" s="88">
        <v>16697</v>
      </c>
      <c r="L92" s="59" t="s">
        <v>426</v>
      </c>
      <c r="M92" s="49" t="s">
        <v>441</v>
      </c>
      <c r="N92" s="50" t="s">
        <v>459</v>
      </c>
      <c r="O92" s="51" t="s">
        <v>485</v>
      </c>
      <c r="P92" s="51" t="s">
        <v>486</v>
      </c>
      <c r="Q92" s="45"/>
      <c r="R92" s="85">
        <v>-32751</v>
      </c>
      <c r="S92" s="43" t="str">
        <f t="shared" si="1"/>
        <v>In KPI</v>
      </c>
      <c r="T92" s="52" t="s">
        <v>421</v>
      </c>
      <c r="U92" s="45" t="s">
        <v>487</v>
      </c>
      <c r="V92" s="75" t="s">
        <v>488</v>
      </c>
      <c r="W92" s="45"/>
      <c r="X92" s="45"/>
      <c r="Y92" s="58" t="s">
        <v>489</v>
      </c>
      <c r="Z92" s="48" t="s">
        <v>430</v>
      </c>
      <c r="AA92" s="72" t="s">
        <v>130</v>
      </c>
    </row>
    <row r="93" spans="1:27" ht="27" hidden="1" customHeight="1" thickBot="1" x14ac:dyDescent="0.3">
      <c r="A93" s="41" t="s">
        <v>929</v>
      </c>
      <c r="B93" s="42">
        <v>2025</v>
      </c>
      <c r="C93" s="43" t="s">
        <v>490</v>
      </c>
      <c r="D93" s="55" t="s">
        <v>411</v>
      </c>
      <c r="E93" s="68" t="s">
        <v>343</v>
      </c>
      <c r="F93" s="46" t="s">
        <v>343</v>
      </c>
      <c r="G93" s="45" t="s">
        <v>173</v>
      </c>
      <c r="H93" s="45" t="s">
        <v>314</v>
      </c>
      <c r="I93" s="45" t="s">
        <v>368</v>
      </c>
      <c r="J93" s="55" t="s">
        <v>491</v>
      </c>
      <c r="K93" s="45" t="s">
        <v>492</v>
      </c>
      <c r="L93" s="48" t="s">
        <v>482</v>
      </c>
      <c r="M93" s="49" t="s">
        <v>441</v>
      </c>
      <c r="N93" s="50" t="s">
        <v>459</v>
      </c>
      <c r="O93" s="51" t="s">
        <v>493</v>
      </c>
      <c r="P93" s="51" t="s">
        <v>494</v>
      </c>
      <c r="Q93" s="51" t="s">
        <v>495</v>
      </c>
      <c r="R93" s="67">
        <v>40</v>
      </c>
      <c r="S93" s="43" t="str">
        <f t="shared" si="1"/>
        <v>Over KPI</v>
      </c>
      <c r="T93" s="67" t="s">
        <v>469</v>
      </c>
      <c r="U93" s="45" t="s">
        <v>496</v>
      </c>
      <c r="V93" s="75" t="s">
        <v>488</v>
      </c>
      <c r="W93" s="45"/>
      <c r="X93" s="61" t="s">
        <v>477</v>
      </c>
      <c r="Y93" s="58" t="s">
        <v>497</v>
      </c>
      <c r="Z93" s="59" t="s">
        <v>437</v>
      </c>
      <c r="AA93" s="72" t="s">
        <v>130</v>
      </c>
    </row>
    <row r="94" spans="1:27" ht="27" customHeight="1" thickBot="1" x14ac:dyDescent="0.3">
      <c r="A94" s="41" t="s">
        <v>929</v>
      </c>
      <c r="B94" s="42">
        <v>2025</v>
      </c>
      <c r="C94" s="43" t="s">
        <v>490</v>
      </c>
      <c r="D94" s="55" t="s">
        <v>411</v>
      </c>
      <c r="E94" s="45" t="s">
        <v>498</v>
      </c>
      <c r="F94" s="46" t="s">
        <v>498</v>
      </c>
      <c r="G94" s="45" t="s">
        <v>173</v>
      </c>
      <c r="H94" s="45" t="s">
        <v>296</v>
      </c>
      <c r="I94" s="45" t="s">
        <v>378</v>
      </c>
      <c r="J94" s="47" t="s">
        <v>414</v>
      </c>
      <c r="K94" s="45" t="s">
        <v>499</v>
      </c>
      <c r="L94" s="48" t="s">
        <v>482</v>
      </c>
      <c r="M94" s="49" t="s">
        <v>441</v>
      </c>
      <c r="N94" s="50" t="s">
        <v>459</v>
      </c>
      <c r="O94" s="51" t="s">
        <v>500</v>
      </c>
      <c r="P94" s="51" t="s">
        <v>501</v>
      </c>
      <c r="Q94" s="51" t="s">
        <v>501</v>
      </c>
      <c r="R94" s="67">
        <v>30</v>
      </c>
      <c r="S94" s="43" t="str">
        <f t="shared" si="1"/>
        <v>In KPI</v>
      </c>
      <c r="T94" s="67" t="s">
        <v>469</v>
      </c>
      <c r="U94" s="45" t="s">
        <v>502</v>
      </c>
      <c r="V94" s="53" t="s">
        <v>117</v>
      </c>
      <c r="W94" s="45"/>
      <c r="X94" s="61" t="s">
        <v>477</v>
      </c>
      <c r="Y94" s="58" t="s">
        <v>503</v>
      </c>
      <c r="Z94" s="59" t="s">
        <v>437</v>
      </c>
      <c r="AA94" s="72" t="s">
        <v>130</v>
      </c>
    </row>
    <row r="95" spans="1:27" ht="27" hidden="1" customHeight="1" thickBot="1" x14ac:dyDescent="0.3">
      <c r="A95" s="41" t="s">
        <v>929</v>
      </c>
      <c r="B95" s="42">
        <v>2025</v>
      </c>
      <c r="C95" s="43" t="s">
        <v>471</v>
      </c>
      <c r="D95" s="55" t="s">
        <v>411</v>
      </c>
      <c r="E95" s="45" t="s">
        <v>504</v>
      </c>
      <c r="F95" s="46" t="s">
        <v>504</v>
      </c>
      <c r="G95" s="45" t="s">
        <v>188</v>
      </c>
      <c r="H95" s="45" t="s">
        <v>228</v>
      </c>
      <c r="I95" s="45" t="s">
        <v>383</v>
      </c>
      <c r="J95" s="55" t="s">
        <v>491</v>
      </c>
      <c r="K95" s="45" t="s">
        <v>505</v>
      </c>
      <c r="L95" s="48" t="s">
        <v>482</v>
      </c>
      <c r="M95" s="49" t="s">
        <v>441</v>
      </c>
      <c r="N95" s="50" t="s">
        <v>459</v>
      </c>
      <c r="O95" s="51" t="s">
        <v>506</v>
      </c>
      <c r="P95" s="51" t="s">
        <v>507</v>
      </c>
      <c r="Q95" s="51" t="s">
        <v>508</v>
      </c>
      <c r="R95" s="52">
        <v>76</v>
      </c>
      <c r="S95" s="43" t="str">
        <f t="shared" si="1"/>
        <v>Over KPI</v>
      </c>
      <c r="T95" s="52" t="s">
        <v>421</v>
      </c>
      <c r="U95" s="45" t="s">
        <v>509</v>
      </c>
      <c r="V95" s="75" t="s">
        <v>488</v>
      </c>
      <c r="W95" s="45"/>
      <c r="X95" s="45"/>
      <c r="Y95" s="58" t="s">
        <v>510</v>
      </c>
      <c r="Z95" s="59" t="s">
        <v>437</v>
      </c>
      <c r="AA95" s="72" t="s">
        <v>129</v>
      </c>
    </row>
    <row r="96" spans="1:27" ht="27" hidden="1" customHeight="1" thickBot="1" x14ac:dyDescent="0.3">
      <c r="A96" s="41" t="s">
        <v>929</v>
      </c>
      <c r="B96" s="42">
        <v>2025</v>
      </c>
      <c r="C96" s="43" t="s">
        <v>511</v>
      </c>
      <c r="D96" s="55" t="s">
        <v>411</v>
      </c>
      <c r="E96" s="45" t="s">
        <v>512</v>
      </c>
      <c r="F96" s="46" t="s">
        <v>513</v>
      </c>
      <c r="G96" s="45" t="s">
        <v>194</v>
      </c>
      <c r="H96" s="45" t="s">
        <v>332</v>
      </c>
      <c r="I96" s="45"/>
      <c r="J96" s="47" t="s">
        <v>414</v>
      </c>
      <c r="K96" s="45" t="s">
        <v>514</v>
      </c>
      <c r="L96" s="48" t="s">
        <v>482</v>
      </c>
      <c r="M96" s="49" t="s">
        <v>441</v>
      </c>
      <c r="N96" s="50" t="s">
        <v>459</v>
      </c>
      <c r="O96" s="51" t="s">
        <v>515</v>
      </c>
      <c r="P96" s="51" t="s">
        <v>516</v>
      </c>
      <c r="Q96" s="45"/>
      <c r="R96" s="85">
        <v>-32775</v>
      </c>
      <c r="S96" s="43" t="str">
        <f t="shared" si="1"/>
        <v>In KPI</v>
      </c>
      <c r="T96" s="52" t="s">
        <v>421</v>
      </c>
      <c r="U96" s="45" t="s">
        <v>517</v>
      </c>
      <c r="V96" s="75" t="s">
        <v>488</v>
      </c>
      <c r="W96" s="45"/>
      <c r="X96" s="45"/>
      <c r="Y96" s="58" t="s">
        <v>518</v>
      </c>
      <c r="Z96" s="59" t="s">
        <v>437</v>
      </c>
      <c r="AA96" s="72" t="s">
        <v>129</v>
      </c>
    </row>
    <row r="97" spans="1:27" ht="27" customHeight="1" thickBot="1" x14ac:dyDescent="0.3">
      <c r="A97" s="41" t="s">
        <v>929</v>
      </c>
      <c r="B97" s="42">
        <v>2025</v>
      </c>
      <c r="C97" s="43" t="s">
        <v>511</v>
      </c>
      <c r="D97" s="55" t="s">
        <v>411</v>
      </c>
      <c r="E97" s="45" t="s">
        <v>519</v>
      </c>
      <c r="F97" s="46" t="s">
        <v>520</v>
      </c>
      <c r="G97" s="45" t="s">
        <v>134</v>
      </c>
      <c r="H97" s="45" t="s">
        <v>258</v>
      </c>
      <c r="I97" s="45" t="s">
        <v>386</v>
      </c>
      <c r="J97" s="44" t="s">
        <v>445</v>
      </c>
      <c r="K97" s="45" t="s">
        <v>521</v>
      </c>
      <c r="L97" s="44" t="s">
        <v>415</v>
      </c>
      <c r="M97" s="49" t="s">
        <v>441</v>
      </c>
      <c r="N97" s="50" t="s">
        <v>459</v>
      </c>
      <c r="O97" s="51" t="s">
        <v>515</v>
      </c>
      <c r="P97" s="51" t="s">
        <v>516</v>
      </c>
      <c r="Q97" s="51" t="s">
        <v>522</v>
      </c>
      <c r="R97" s="67">
        <v>26</v>
      </c>
      <c r="S97" s="43" t="str">
        <f t="shared" si="1"/>
        <v>In KPI</v>
      </c>
      <c r="T97" s="67" t="s">
        <v>469</v>
      </c>
      <c r="U97" s="45" t="s">
        <v>523</v>
      </c>
      <c r="V97" s="53" t="s">
        <v>117</v>
      </c>
      <c r="W97" s="45"/>
      <c r="X97" s="45"/>
      <c r="Y97" s="58" t="s">
        <v>524</v>
      </c>
      <c r="Z97" s="70" t="s">
        <v>479</v>
      </c>
      <c r="AA97" s="72" t="s">
        <v>130</v>
      </c>
    </row>
    <row r="98" spans="1:27" ht="27" hidden="1" customHeight="1" thickBot="1" x14ac:dyDescent="0.3">
      <c r="A98" s="41" t="s">
        <v>929</v>
      </c>
      <c r="B98" s="42">
        <v>2025</v>
      </c>
      <c r="C98" s="43" t="s">
        <v>410</v>
      </c>
      <c r="D98" s="55" t="s">
        <v>411</v>
      </c>
      <c r="E98" s="45" t="s">
        <v>525</v>
      </c>
      <c r="F98" s="46" t="s">
        <v>525</v>
      </c>
      <c r="G98" s="45" t="s">
        <v>161</v>
      </c>
      <c r="H98" s="45"/>
      <c r="I98" s="45" t="s">
        <v>384</v>
      </c>
      <c r="J98" s="56" t="s">
        <v>466</v>
      </c>
      <c r="K98" s="45" t="s">
        <v>526</v>
      </c>
      <c r="L98" s="59" t="s">
        <v>426</v>
      </c>
      <c r="M98" s="49" t="s">
        <v>441</v>
      </c>
      <c r="N98" s="50" t="s">
        <v>459</v>
      </c>
      <c r="O98" s="51" t="s">
        <v>527</v>
      </c>
      <c r="P98" s="51" t="s">
        <v>528</v>
      </c>
      <c r="Q98" s="51" t="s">
        <v>529</v>
      </c>
      <c r="R98" s="67">
        <v>44</v>
      </c>
      <c r="S98" s="43" t="str">
        <f t="shared" si="1"/>
        <v>In KPI</v>
      </c>
      <c r="T98" s="67" t="s">
        <v>469</v>
      </c>
      <c r="U98" s="45" t="s">
        <v>530</v>
      </c>
      <c r="V98" s="71" t="s">
        <v>124</v>
      </c>
      <c r="W98" s="45"/>
      <c r="X98" s="61" t="s">
        <v>477</v>
      </c>
      <c r="Y98" s="58" t="s">
        <v>531</v>
      </c>
      <c r="Z98" s="59" t="s">
        <v>437</v>
      </c>
      <c r="AA98" s="72" t="s">
        <v>129</v>
      </c>
    </row>
    <row r="99" spans="1:27" ht="27" hidden="1" customHeight="1" thickBot="1" x14ac:dyDescent="0.3">
      <c r="A99" s="41" t="s">
        <v>929</v>
      </c>
      <c r="B99" s="42">
        <v>2025</v>
      </c>
      <c r="C99" s="43" t="s">
        <v>511</v>
      </c>
      <c r="D99" s="55" t="s">
        <v>411</v>
      </c>
      <c r="E99" s="45" t="s">
        <v>532</v>
      </c>
      <c r="F99" s="46" t="s">
        <v>533</v>
      </c>
      <c r="G99" s="45" t="s">
        <v>203</v>
      </c>
      <c r="H99" s="45" t="s">
        <v>304</v>
      </c>
      <c r="I99" s="45" t="s">
        <v>385</v>
      </c>
      <c r="J99" s="44" t="s">
        <v>445</v>
      </c>
      <c r="K99" s="45" t="s">
        <v>534</v>
      </c>
      <c r="L99" s="48" t="s">
        <v>482</v>
      </c>
      <c r="M99" s="49" t="s">
        <v>441</v>
      </c>
      <c r="N99" s="50" t="s">
        <v>459</v>
      </c>
      <c r="O99" s="51" t="s">
        <v>515</v>
      </c>
      <c r="P99" s="51" t="s">
        <v>516</v>
      </c>
      <c r="Q99" s="51" t="s">
        <v>535</v>
      </c>
      <c r="R99" s="62">
        <v>4</v>
      </c>
      <c r="S99" s="43" t="str">
        <f t="shared" si="1"/>
        <v>In KPI</v>
      </c>
      <c r="T99" s="62" t="s">
        <v>536</v>
      </c>
      <c r="U99" s="45" t="s">
        <v>537</v>
      </c>
      <c r="V99" s="53" t="s">
        <v>117</v>
      </c>
      <c r="W99" s="45"/>
      <c r="X99" s="61" t="s">
        <v>477</v>
      </c>
      <c r="Y99" s="58" t="s">
        <v>538</v>
      </c>
      <c r="Z99" s="48" t="s">
        <v>430</v>
      </c>
      <c r="AA99" s="72" t="s">
        <v>130</v>
      </c>
    </row>
    <row r="100" spans="1:27" ht="27" hidden="1" customHeight="1" thickBot="1" x14ac:dyDescent="0.3">
      <c r="A100" s="41" t="s">
        <v>929</v>
      </c>
      <c r="B100" s="42">
        <v>2025</v>
      </c>
      <c r="C100" s="43" t="s">
        <v>511</v>
      </c>
      <c r="D100" s="55" t="s">
        <v>411</v>
      </c>
      <c r="E100" s="45" t="s">
        <v>539</v>
      </c>
      <c r="F100" s="46" t="s">
        <v>539</v>
      </c>
      <c r="G100" s="45" t="s">
        <v>134</v>
      </c>
      <c r="H100" s="45" t="s">
        <v>256</v>
      </c>
      <c r="I100" s="45" t="s">
        <v>387</v>
      </c>
      <c r="J100" s="48" t="s">
        <v>425</v>
      </c>
      <c r="K100" s="45"/>
      <c r="L100" s="59" t="s">
        <v>426</v>
      </c>
      <c r="M100" s="49" t="s">
        <v>441</v>
      </c>
      <c r="N100" s="81" t="s">
        <v>417</v>
      </c>
      <c r="O100" s="51" t="s">
        <v>515</v>
      </c>
      <c r="P100" s="51" t="s">
        <v>540</v>
      </c>
      <c r="Q100" s="45"/>
      <c r="R100" s="67">
        <v>42</v>
      </c>
      <c r="S100" s="43" t="str">
        <f t="shared" si="1"/>
        <v>In KPI</v>
      </c>
      <c r="T100" s="67" t="s">
        <v>469</v>
      </c>
      <c r="U100" s="45"/>
      <c r="V100" s="45"/>
      <c r="W100" s="45"/>
      <c r="X100" s="45"/>
      <c r="Y100" s="58" t="s">
        <v>541</v>
      </c>
      <c r="Z100" s="59" t="s">
        <v>437</v>
      </c>
      <c r="AA100" s="53" t="s">
        <v>416</v>
      </c>
    </row>
    <row r="101" spans="1:27" ht="27" hidden="1" customHeight="1" thickBot="1" x14ac:dyDescent="0.3">
      <c r="A101" s="41" t="s">
        <v>929</v>
      </c>
      <c r="B101" s="42">
        <v>2025</v>
      </c>
      <c r="C101" s="43" t="s">
        <v>410</v>
      </c>
      <c r="D101" s="55" t="s">
        <v>411</v>
      </c>
      <c r="E101" s="45" t="s">
        <v>542</v>
      </c>
      <c r="F101" s="46" t="s">
        <v>543</v>
      </c>
      <c r="G101" s="45" t="s">
        <v>170</v>
      </c>
      <c r="H101" s="45" t="s">
        <v>236</v>
      </c>
      <c r="I101" s="45" t="s">
        <v>373</v>
      </c>
      <c r="J101" s="56" t="s">
        <v>466</v>
      </c>
      <c r="K101" s="45" t="s">
        <v>544</v>
      </c>
      <c r="L101" s="48" t="s">
        <v>482</v>
      </c>
      <c r="M101" s="49" t="s">
        <v>441</v>
      </c>
      <c r="N101" s="50" t="s">
        <v>459</v>
      </c>
      <c r="O101" s="51" t="s">
        <v>515</v>
      </c>
      <c r="P101" s="51" t="s">
        <v>516</v>
      </c>
      <c r="Q101" s="51" t="s">
        <v>545</v>
      </c>
      <c r="R101" s="67">
        <v>39</v>
      </c>
      <c r="S101" s="43" t="str">
        <f t="shared" si="1"/>
        <v>Over KPI</v>
      </c>
      <c r="T101" s="67" t="s">
        <v>469</v>
      </c>
      <c r="U101" s="45" t="s">
        <v>546</v>
      </c>
      <c r="V101" s="60" t="s">
        <v>462</v>
      </c>
      <c r="W101" s="45"/>
      <c r="X101" s="45"/>
      <c r="Y101" s="58" t="s">
        <v>547</v>
      </c>
      <c r="Z101" s="59" t="s">
        <v>437</v>
      </c>
      <c r="AA101" s="72" t="s">
        <v>129</v>
      </c>
    </row>
    <row r="102" spans="1:27" ht="27" hidden="1" customHeight="1" thickBot="1" x14ac:dyDescent="0.3">
      <c r="B102" s="42">
        <v>2025</v>
      </c>
      <c r="D102" s="55" t="s">
        <v>411</v>
      </c>
      <c r="E102" s="41" t="s">
        <v>453</v>
      </c>
      <c r="G102" s="41" t="s">
        <v>164</v>
      </c>
      <c r="H102" s="41" t="s">
        <v>308</v>
      </c>
      <c r="I102" s="41" t="s">
        <v>931</v>
      </c>
      <c r="J102" s="41" t="s">
        <v>414</v>
      </c>
      <c r="L102" s="48" t="s">
        <v>426</v>
      </c>
      <c r="M102" s="49" t="s">
        <v>441</v>
      </c>
      <c r="N102" s="41" t="s">
        <v>417</v>
      </c>
      <c r="O102" s="51" t="s">
        <v>932</v>
      </c>
      <c r="P102" s="51"/>
      <c r="R102" s="41">
        <v>4</v>
      </c>
      <c r="S102" s="99" t="str">
        <f t="shared" si="1"/>
        <v>In KPI</v>
      </c>
      <c r="AA102" s="99" t="s">
        <v>934</v>
      </c>
    </row>
  </sheetData>
  <autoFilter ref="A1:AA102" xr:uid="{ED95EE0C-0CCD-4292-9FEB-2E69103D4305}">
    <filterColumn colId="3">
      <filters>
        <filter val="KIN"/>
        <filter val="SKC N"/>
      </filters>
    </filterColumn>
    <filterColumn colId="12">
      <filters>
        <filter val="Finished"/>
      </filters>
    </filterColumn>
    <filterColumn colId="16">
      <filters blank="1">
        <filter val="Apr 16, 2025"/>
        <filter val="Apr 8, 2025"/>
        <filter val="Apr 9, 2025"/>
        <filter val="Aug 13, 2025"/>
        <filter val="Aug 22, 2025"/>
        <filter val="Aug 8, 2025"/>
        <filter val="Dec 16, 2025"/>
        <filter val="Feb 17, 2025"/>
        <filter val="Feb 18, 2025"/>
        <filter val="Feb 19, 2025"/>
        <filter val="Feb 25, 2025"/>
        <filter val="Feb 26, 2025"/>
        <filter val="Feb12,2025"/>
        <filter val="Feb14,2025"/>
        <filter val="Feb20,2025"/>
        <filter val="Feb24,2025"/>
        <filter val="Feb25,2025"/>
        <filter val="Feb28,2025"/>
        <filter val="Jul 18, 2025"/>
        <filter val="Jul 19, 2025"/>
        <filter val="Jul 22, 2025"/>
        <filter val="Jul 4, 2025"/>
        <filter val="Jul 9, 2025"/>
        <filter val="Jun 13, 2025"/>
        <filter val="Jun 2, 2025"/>
        <filter val="Jun 6, 2025"/>
        <filter val="Jun6,2025"/>
        <filter val="Mar26,2025"/>
        <filter val="May 1, 2025"/>
        <filter val="May 29, 2025"/>
        <filter val="May16,2025"/>
        <filter val="Nov 12, 2025"/>
        <filter val="Nov 26, 2025"/>
        <filter val="Nov 28, 2025"/>
        <filter val="Nov 5, 2025"/>
        <filter val="Oct 14, 2025"/>
        <filter val="Oct 22, 2025"/>
        <filter val="Oct 27, 2025"/>
        <filter val="Oct 30, 2025"/>
        <filter val="Sep 1, 2025"/>
        <filter val="Sep 18, 2025"/>
        <filter val="Sep 19, 2025"/>
        <filter val="Sep 3, 2025"/>
        <filter val="Sep 5, 2025"/>
      </filters>
    </filterColumn>
    <filterColumn colId="21">
      <filters>
        <filter val="Internal"/>
      </filters>
    </filterColumn>
    <filterColumn colId="25">
      <filters>
        <filter val="Both"/>
        <filter val="Internal Only"/>
      </filters>
    </filterColumn>
  </autoFilter>
  <hyperlinks>
    <hyperlink ref="Y9" r:id="rId1" xr:uid="{2B1E1C87-341A-40AF-80AC-A2102E3FD505}"/>
    <hyperlink ref="Y18" r:id="rId2" xr:uid="{0686826E-29B0-4358-8AFC-F13C677CE659}"/>
    <hyperlink ref="Y21" r:id="rId3" xr:uid="{5C08CEE3-DCC8-43ED-A616-2F60DBB18EF1}"/>
    <hyperlink ref="Y22" r:id="rId4" xr:uid="{61578329-95C1-466E-92A4-B154D541E32A}"/>
    <hyperlink ref="Y23" r:id="rId5" xr:uid="{B591DE33-D771-4F1A-B57B-070E826D573B}"/>
    <hyperlink ref="Y24" r:id="rId6" xr:uid="{019A93DD-13ED-49BB-86FC-CE731F5CC3F2}"/>
    <hyperlink ref="Y25" r:id="rId7" xr:uid="{514D03B2-10B8-44FD-80AA-198B76ADCE80}"/>
    <hyperlink ref="Y30" r:id="rId8" xr:uid="{DDB92CAB-E9DC-4B23-85B9-416EAED77958}"/>
    <hyperlink ref="Y31" r:id="rId9" xr:uid="{F591B4E7-1664-42CE-99A0-F3E1F071CDB7}"/>
    <hyperlink ref="Y32" r:id="rId10" xr:uid="{C6F8E9E2-200D-4120-B538-5DE393DF7906}"/>
    <hyperlink ref="Y33" r:id="rId11" xr:uid="{E563AB20-1DF8-4BAF-9947-8A38AFA3BA8B}"/>
    <hyperlink ref="Y34" r:id="rId12" xr:uid="{AC67B8D0-FD82-45DE-917B-68CFDCC28AA7}"/>
    <hyperlink ref="Y35" r:id="rId13" xr:uid="{446EE4A7-4C5A-4722-9692-28ACAF7A8D60}"/>
    <hyperlink ref="Y36" r:id="rId14" xr:uid="{0226F9DF-692F-4F0C-A449-D0BE1EEFD79C}"/>
    <hyperlink ref="Y37" r:id="rId15" xr:uid="{F267FF94-C965-476F-A19C-B281C3C9BF83}"/>
    <hyperlink ref="Y38" r:id="rId16" xr:uid="{68E31022-73FB-4E7E-83BA-5D3F81E0DC90}"/>
    <hyperlink ref="Y39" r:id="rId17" xr:uid="{3FC07D03-9CE0-40E3-A93F-061092B50DE6}"/>
    <hyperlink ref="Y40" r:id="rId18" xr:uid="{06769D90-FFEA-47AA-A492-ADAD914D2501}"/>
    <hyperlink ref="Y44" r:id="rId19" xr:uid="{BFE13476-6A59-4B31-BF16-7D8F139D5731}"/>
    <hyperlink ref="Y45" r:id="rId20" xr:uid="{54EF3DA1-E9EA-43CB-8167-024CF4978579}"/>
    <hyperlink ref="Y46" r:id="rId21" xr:uid="{176E4DB1-457D-46B0-A40B-C000D9A0516A}"/>
    <hyperlink ref="Y47" r:id="rId22" xr:uid="{FECCE02E-E7BE-459C-9046-941872791424}"/>
    <hyperlink ref="Y48" r:id="rId23" xr:uid="{DE9591C4-2E74-4E0A-827D-85688B6F37A4}"/>
    <hyperlink ref="Y49" r:id="rId24" xr:uid="{CEA7EA08-8D34-4D23-AC8C-E3659D50C7F0}"/>
    <hyperlink ref="Y50" r:id="rId25" xr:uid="{2CADF609-4F22-4D92-81BA-4ECDBED0B616}"/>
    <hyperlink ref="Y51" r:id="rId26" xr:uid="{5C10FC19-61EA-4F99-BAC3-BDD560C2CF2E}"/>
    <hyperlink ref="Y52" r:id="rId27" xr:uid="{E5465DAD-1F0A-421E-BF74-6971589BDCBA}"/>
    <hyperlink ref="Y61" r:id="rId28" location="gid=1550615610" display="https://docs.google.com/spreadsheets/d/1aHLhAlWuDGG2WI3jpvjj65Jl7Y_THUXm/edit?gid=1550615610 - gid=1550615610" xr:uid="{9C030E78-7B4D-40F9-AB25-B9C5BA929D09}"/>
    <hyperlink ref="Y62" r:id="rId29" xr:uid="{F070B5FC-6F2D-45B0-B633-D375C2A307DF}"/>
    <hyperlink ref="Y63" r:id="rId30" xr:uid="{ACC714BB-8B8C-429E-98B9-B6AAE7C51F6C}"/>
    <hyperlink ref="Y67" r:id="rId31" xr:uid="{DE38D459-C50B-4547-8EA8-5AB0DDC52699}"/>
    <hyperlink ref="Y68" r:id="rId32" xr:uid="{F5168ACE-6336-45BF-992E-3D32CD31BCF8}"/>
    <hyperlink ref="Y69" r:id="rId33" xr:uid="{0563F6D0-0C6D-4CDF-B768-98AF05086C03}"/>
    <hyperlink ref="Y70" r:id="rId34" xr:uid="{A900E4BA-55C8-42BF-8A3C-BE0FE7A0FA9E}"/>
    <hyperlink ref="Y73" r:id="rId35" xr:uid="{EEBFCBF5-77E0-4C47-A5E3-8457A9219C41}"/>
    <hyperlink ref="Y74" r:id="rId36" xr:uid="{8875C51B-736A-4479-BEDF-B7D27757A538}"/>
    <hyperlink ref="Y75" r:id="rId37" xr:uid="{84B8AE05-DDA1-4C7D-ACF3-649CDAE25F8C}"/>
    <hyperlink ref="Y76" r:id="rId38" xr:uid="{9D7F0709-A9BF-4C44-A49E-743D9C06B6CF}"/>
    <hyperlink ref="Y77" r:id="rId39" xr:uid="{3B8F369B-8135-4A62-A659-EEBC6C4217D2}"/>
    <hyperlink ref="Y78" r:id="rId40" xr:uid="{03E0FED8-D780-406D-B182-043893FD2B55}"/>
    <hyperlink ref="Y79" r:id="rId41" xr:uid="{F825C976-06F5-450D-9D39-818F624F5628}"/>
    <hyperlink ref="Y82" r:id="rId42" xr:uid="{AD6B0B85-D1EE-4FAA-B2E2-164A5B2EA606}"/>
    <hyperlink ref="Y83" r:id="rId43" xr:uid="{284D8489-7CFE-4745-986D-6D0E5F41728D}"/>
    <hyperlink ref="Y84" r:id="rId44" xr:uid="{9660B3E3-25E6-4150-BB65-460A8E1C124D}"/>
    <hyperlink ref="Y85" r:id="rId45" xr:uid="{D47CD8ED-EC4E-4468-89CE-31273F9D7DCC}"/>
    <hyperlink ref="Y87" r:id="rId46" xr:uid="{9F1A7F4E-83B1-478C-BEB4-48A14BBEFAC6}"/>
    <hyperlink ref="Y90" r:id="rId47" xr:uid="{0896F223-2267-4CBF-B6EC-5617A27539EA}"/>
    <hyperlink ref="Y92" r:id="rId48" xr:uid="{4818FDD0-9057-41EB-83B7-A7E1E6EA6448}"/>
    <hyperlink ref="Y93" r:id="rId49" xr:uid="{3EE21836-1613-4BD7-AC68-F38F75147B08}"/>
    <hyperlink ref="Y94" r:id="rId50" xr:uid="{FE0FB76E-5600-4457-B729-EF201EE196A8}"/>
    <hyperlink ref="Y95" r:id="rId51" xr:uid="{379F1A44-BF02-4FCC-A6BC-0882642D6AFD}"/>
    <hyperlink ref="Y96" r:id="rId52" xr:uid="{C3221160-38A5-49C3-A788-15F78AB04709}"/>
    <hyperlink ref="Y97" r:id="rId53" xr:uid="{D84C5B64-F1B0-49A0-B4DD-2F2AB0139F0D}"/>
    <hyperlink ref="Y98" r:id="rId54" xr:uid="{722AD51B-F5E3-4544-80DE-C6D113F7A3CD}"/>
    <hyperlink ref="Y99" r:id="rId55" xr:uid="{6DE55A20-9D1C-4DF9-A74D-A594B3017EB5}"/>
    <hyperlink ref="Y100" r:id="rId56" xr:uid="{1AA7EFC4-B4E2-462C-9517-1EFBB00D38D0}"/>
    <hyperlink ref="Y101" r:id="rId57" xr:uid="{D8D3F3CE-BE82-4AE1-BC1D-30657939761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40AD90-2171-4B16-A6DD-09CDE644759D}">
          <x14:formula1>
            <xm:f>List!$H$2:$H$4</xm:f>
          </x14:formula1>
          <xm:sqref>A7:A1048576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C127-9540-4F12-BA1B-8521E75514F1}">
  <dimension ref="A2:F91"/>
  <sheetViews>
    <sheetView topLeftCell="A44" workbookViewId="0">
      <selection activeCell="E56" sqref="E56:F59"/>
    </sheetView>
  </sheetViews>
  <sheetFormatPr defaultRowHeight="13.8" x14ac:dyDescent="0.25"/>
  <cols>
    <col min="1" max="1" width="62.19921875" bestFit="1" customWidth="1"/>
    <col min="2" max="2" width="22.19921875" bestFit="1" customWidth="1"/>
    <col min="4" max="4" width="16.19921875" bestFit="1" customWidth="1"/>
  </cols>
  <sheetData>
    <row r="2" spans="1:4" x14ac:dyDescent="0.25">
      <c r="A2" t="s">
        <v>939</v>
      </c>
      <c r="B2" t="s">
        <v>940</v>
      </c>
      <c r="C2" t="s">
        <v>941</v>
      </c>
      <c r="D2" t="s">
        <v>942</v>
      </c>
    </row>
    <row r="3" spans="1:4" x14ac:dyDescent="0.25">
      <c r="A3" t="s">
        <v>459</v>
      </c>
      <c r="B3">
        <v>9</v>
      </c>
      <c r="C3">
        <v>6</v>
      </c>
      <c r="D3">
        <f>B3+C3</f>
        <v>15</v>
      </c>
    </row>
    <row r="4" spans="1:4" x14ac:dyDescent="0.25">
      <c r="A4" t="s">
        <v>943</v>
      </c>
      <c r="B4">
        <v>1</v>
      </c>
      <c r="C4">
        <v>1</v>
      </c>
      <c r="D4">
        <f t="shared" ref="D4:D5" si="0">B4+C4</f>
        <v>2</v>
      </c>
    </row>
    <row r="5" spans="1:4" x14ac:dyDescent="0.25">
      <c r="A5" t="s">
        <v>944</v>
      </c>
      <c r="B5">
        <v>0</v>
      </c>
      <c r="C5">
        <v>0</v>
      </c>
      <c r="D5">
        <f t="shared" si="0"/>
        <v>0</v>
      </c>
    </row>
    <row r="8" spans="1:4" x14ac:dyDescent="0.25">
      <c r="A8" t="s">
        <v>946</v>
      </c>
      <c r="B8" t="s">
        <v>940</v>
      </c>
      <c r="C8" t="s">
        <v>941</v>
      </c>
      <c r="D8" t="s">
        <v>942</v>
      </c>
    </row>
    <row r="9" spans="1:4" x14ac:dyDescent="0.25">
      <c r="A9" t="s">
        <v>459</v>
      </c>
      <c r="B9">
        <v>21</v>
      </c>
      <c r="C9">
        <v>17</v>
      </c>
      <c r="D9">
        <f>B9+C9</f>
        <v>38</v>
      </c>
    </row>
    <row r="10" spans="1:4" x14ac:dyDescent="0.25">
      <c r="A10" t="s">
        <v>943</v>
      </c>
      <c r="B10">
        <v>2</v>
      </c>
      <c r="C10">
        <v>2</v>
      </c>
      <c r="D10">
        <f t="shared" ref="D10:D11" si="1">B10+C10</f>
        <v>4</v>
      </c>
    </row>
    <row r="11" spans="1:4" x14ac:dyDescent="0.25">
      <c r="A11" t="s">
        <v>944</v>
      </c>
      <c r="B11">
        <v>2</v>
      </c>
      <c r="D11">
        <f t="shared" si="1"/>
        <v>2</v>
      </c>
    </row>
    <row r="15" spans="1:4" x14ac:dyDescent="0.25">
      <c r="A15" t="s">
        <v>935</v>
      </c>
      <c r="B15" t="s">
        <v>938</v>
      </c>
    </row>
    <row r="16" spans="1:4" x14ac:dyDescent="0.25">
      <c r="A16" t="s">
        <v>947</v>
      </c>
      <c r="B16">
        <v>9</v>
      </c>
    </row>
    <row r="17" spans="1:5" x14ac:dyDescent="0.25">
      <c r="A17" t="s">
        <v>948</v>
      </c>
      <c r="B17">
        <v>9</v>
      </c>
    </row>
    <row r="18" spans="1:5" x14ac:dyDescent="0.25">
      <c r="A18" t="s">
        <v>949</v>
      </c>
      <c r="B18">
        <v>7</v>
      </c>
    </row>
    <row r="19" spans="1:5" x14ac:dyDescent="0.25">
      <c r="A19" t="s">
        <v>950</v>
      </c>
      <c r="B19">
        <v>7</v>
      </c>
    </row>
    <row r="20" spans="1:5" x14ac:dyDescent="0.25">
      <c r="A20" t="s">
        <v>951</v>
      </c>
      <c r="B20">
        <v>6</v>
      </c>
    </row>
    <row r="21" spans="1:5" x14ac:dyDescent="0.25">
      <c r="A21" t="s">
        <v>952</v>
      </c>
      <c r="B21">
        <v>6</v>
      </c>
    </row>
    <row r="22" spans="1:5" x14ac:dyDescent="0.25">
      <c r="A22" t="s">
        <v>137</v>
      </c>
      <c r="B22">
        <v>5</v>
      </c>
    </row>
    <row r="23" spans="1:5" x14ac:dyDescent="0.25">
      <c r="A23" t="s">
        <v>188</v>
      </c>
      <c r="B23">
        <v>4</v>
      </c>
    </row>
    <row r="24" spans="1:5" x14ac:dyDescent="0.25">
      <c r="A24" t="s">
        <v>176</v>
      </c>
      <c r="B24">
        <v>2</v>
      </c>
    </row>
    <row r="25" spans="1:5" x14ac:dyDescent="0.25">
      <c r="A25" t="s">
        <v>155</v>
      </c>
      <c r="B25">
        <v>2</v>
      </c>
    </row>
    <row r="26" spans="1:5" x14ac:dyDescent="0.25">
      <c r="A26" t="s">
        <v>179</v>
      </c>
      <c r="B26">
        <v>2</v>
      </c>
    </row>
    <row r="27" spans="1:5" x14ac:dyDescent="0.25">
      <c r="A27" t="s">
        <v>203</v>
      </c>
      <c r="B27">
        <v>1</v>
      </c>
    </row>
    <row r="28" spans="1:5" x14ac:dyDescent="0.25">
      <c r="A28" t="s">
        <v>134</v>
      </c>
      <c r="B28">
        <v>1</v>
      </c>
    </row>
    <row r="29" spans="1:5" x14ac:dyDescent="0.25">
      <c r="A29" t="s">
        <v>194</v>
      </c>
      <c r="B29">
        <v>1</v>
      </c>
    </row>
    <row r="30" spans="1:5" x14ac:dyDescent="0.25">
      <c r="A30" t="s">
        <v>200</v>
      </c>
      <c r="B30">
        <v>1</v>
      </c>
    </row>
    <row r="31" spans="1:5" x14ac:dyDescent="0.25">
      <c r="D31" t="s">
        <v>161</v>
      </c>
      <c r="E31">
        <v>6</v>
      </c>
    </row>
    <row r="32" spans="1:5" x14ac:dyDescent="0.25">
      <c r="D32" t="s">
        <v>164</v>
      </c>
      <c r="E32">
        <v>6</v>
      </c>
    </row>
    <row r="33" spans="1:5" x14ac:dyDescent="0.25">
      <c r="A33" t="s">
        <v>935</v>
      </c>
      <c r="B33" t="s">
        <v>938</v>
      </c>
      <c r="D33" t="s">
        <v>170</v>
      </c>
      <c r="E33">
        <v>2</v>
      </c>
    </row>
    <row r="34" spans="1:5" x14ac:dyDescent="0.25">
      <c r="A34" t="s">
        <v>200</v>
      </c>
      <c r="B34">
        <v>1</v>
      </c>
    </row>
    <row r="35" spans="1:5" x14ac:dyDescent="0.25">
      <c r="A35" t="s">
        <v>699</v>
      </c>
      <c r="B35">
        <v>1</v>
      </c>
    </row>
    <row r="36" spans="1:5" x14ac:dyDescent="0.25">
      <c r="A36" t="s">
        <v>179</v>
      </c>
      <c r="B36">
        <v>2</v>
      </c>
    </row>
    <row r="37" spans="1:5" x14ac:dyDescent="0.25">
      <c r="A37" t="s">
        <v>764</v>
      </c>
      <c r="B37">
        <v>1</v>
      </c>
    </row>
    <row r="38" spans="1:5" x14ac:dyDescent="0.25">
      <c r="A38" t="s">
        <v>593</v>
      </c>
      <c r="B38">
        <v>1</v>
      </c>
      <c r="D38" t="s">
        <v>182</v>
      </c>
      <c r="E38">
        <v>9</v>
      </c>
    </row>
    <row r="39" spans="1:5" x14ac:dyDescent="0.25">
      <c r="A39" t="s">
        <v>182</v>
      </c>
      <c r="B39">
        <v>9</v>
      </c>
      <c r="D39" t="s">
        <v>170</v>
      </c>
      <c r="E39">
        <v>7</v>
      </c>
    </row>
    <row r="40" spans="1:5" x14ac:dyDescent="0.25">
      <c r="A40" t="s">
        <v>845</v>
      </c>
      <c r="B40">
        <v>1</v>
      </c>
      <c r="D40" t="s">
        <v>173</v>
      </c>
      <c r="E40">
        <v>6</v>
      </c>
    </row>
    <row r="41" spans="1:5" x14ac:dyDescent="0.25">
      <c r="A41" t="s">
        <v>722</v>
      </c>
      <c r="B41">
        <v>1</v>
      </c>
    </row>
    <row r="42" spans="1:5" x14ac:dyDescent="0.25">
      <c r="A42" t="s">
        <v>858</v>
      </c>
      <c r="B42">
        <v>2</v>
      </c>
    </row>
    <row r="43" spans="1:5" x14ac:dyDescent="0.25">
      <c r="A43" t="s">
        <v>542</v>
      </c>
      <c r="B43">
        <v>5</v>
      </c>
    </row>
    <row r="44" spans="1:5" x14ac:dyDescent="0.25">
      <c r="A44" t="s">
        <v>161</v>
      </c>
      <c r="B44">
        <v>6</v>
      </c>
    </row>
    <row r="45" spans="1:5" x14ac:dyDescent="0.25">
      <c r="A45" t="s">
        <v>484</v>
      </c>
      <c r="B45">
        <v>2</v>
      </c>
    </row>
    <row r="46" spans="1:5" x14ac:dyDescent="0.25">
      <c r="A46" t="s">
        <v>733</v>
      </c>
      <c r="B46">
        <v>2</v>
      </c>
    </row>
    <row r="47" spans="1:5" x14ac:dyDescent="0.25">
      <c r="A47" t="s">
        <v>525</v>
      </c>
      <c r="B47">
        <v>1</v>
      </c>
    </row>
    <row r="48" spans="1:5" x14ac:dyDescent="0.25">
      <c r="A48" t="s">
        <v>621</v>
      </c>
      <c r="B48">
        <v>1</v>
      </c>
    </row>
    <row r="49" spans="1:6" x14ac:dyDescent="0.25">
      <c r="A49" t="s">
        <v>173</v>
      </c>
      <c r="B49">
        <v>7</v>
      </c>
    </row>
    <row r="50" spans="1:6" x14ac:dyDescent="0.25">
      <c r="A50" t="s">
        <v>498</v>
      </c>
      <c r="B50">
        <v>2</v>
      </c>
    </row>
    <row r="51" spans="1:6" x14ac:dyDescent="0.25">
      <c r="A51" t="s">
        <v>704</v>
      </c>
      <c r="B51">
        <v>1</v>
      </c>
    </row>
    <row r="52" spans="1:6" x14ac:dyDescent="0.25">
      <c r="A52" t="s">
        <v>343</v>
      </c>
      <c r="B52">
        <v>4</v>
      </c>
    </row>
    <row r="53" spans="1:6" x14ac:dyDescent="0.25">
      <c r="A53" t="s">
        <v>194</v>
      </c>
      <c r="B53">
        <v>1</v>
      </c>
    </row>
    <row r="54" spans="1:6" x14ac:dyDescent="0.25">
      <c r="A54" t="s">
        <v>512</v>
      </c>
      <c r="B54">
        <v>1</v>
      </c>
    </row>
    <row r="55" spans="1:6" x14ac:dyDescent="0.25">
      <c r="A55" t="s">
        <v>134</v>
      </c>
      <c r="B55">
        <v>1</v>
      </c>
    </row>
    <row r="56" spans="1:6" x14ac:dyDescent="0.25">
      <c r="A56" t="s">
        <v>519</v>
      </c>
      <c r="B56">
        <v>1</v>
      </c>
      <c r="E56" t="s">
        <v>462</v>
      </c>
      <c r="F56">
        <v>32</v>
      </c>
    </row>
    <row r="57" spans="1:6" x14ac:dyDescent="0.25">
      <c r="A57" t="s">
        <v>155</v>
      </c>
      <c r="B57">
        <v>2</v>
      </c>
      <c r="E57" t="s">
        <v>117</v>
      </c>
      <c r="F57">
        <v>21</v>
      </c>
    </row>
    <row r="58" spans="1:6" x14ac:dyDescent="0.25">
      <c r="A58" t="s">
        <v>542</v>
      </c>
      <c r="B58">
        <v>2</v>
      </c>
      <c r="E58" t="s">
        <v>488</v>
      </c>
      <c r="F58">
        <v>18</v>
      </c>
    </row>
    <row r="59" spans="1:6" x14ac:dyDescent="0.25">
      <c r="A59" t="s">
        <v>176</v>
      </c>
      <c r="B59">
        <v>2</v>
      </c>
      <c r="E59" t="s">
        <v>598</v>
      </c>
      <c r="F59">
        <v>8</v>
      </c>
    </row>
    <row r="60" spans="1:6" x14ac:dyDescent="0.25">
      <c r="A60" t="s">
        <v>349</v>
      </c>
      <c r="B60">
        <v>1</v>
      </c>
    </row>
    <row r="61" spans="1:6" x14ac:dyDescent="0.25">
      <c r="A61" t="s">
        <v>342</v>
      </c>
      <c r="B61">
        <v>1</v>
      </c>
    </row>
    <row r="62" spans="1:6" x14ac:dyDescent="0.25">
      <c r="A62" t="s">
        <v>137</v>
      </c>
      <c r="B62">
        <v>5</v>
      </c>
    </row>
    <row r="63" spans="1:6" x14ac:dyDescent="0.25">
      <c r="A63" t="s">
        <v>439</v>
      </c>
      <c r="B63">
        <v>3</v>
      </c>
    </row>
    <row r="64" spans="1:6" x14ac:dyDescent="0.25">
      <c r="A64" t="s">
        <v>542</v>
      </c>
      <c r="B64">
        <v>2</v>
      </c>
    </row>
    <row r="65" spans="1:2" x14ac:dyDescent="0.25">
      <c r="A65" t="s">
        <v>170</v>
      </c>
      <c r="B65">
        <v>9</v>
      </c>
    </row>
    <row r="66" spans="1:2" x14ac:dyDescent="0.25">
      <c r="A66" t="s">
        <v>789</v>
      </c>
      <c r="B66">
        <v>1</v>
      </c>
    </row>
    <row r="67" spans="1:2" x14ac:dyDescent="0.25">
      <c r="A67" t="s">
        <v>472</v>
      </c>
      <c r="B67">
        <v>1</v>
      </c>
    </row>
    <row r="68" spans="1:2" x14ac:dyDescent="0.25">
      <c r="A68" t="s">
        <v>829</v>
      </c>
      <c r="B68">
        <v>1</v>
      </c>
    </row>
    <row r="69" spans="1:2" x14ac:dyDescent="0.25">
      <c r="A69" t="s">
        <v>813</v>
      </c>
      <c r="B69">
        <v>1</v>
      </c>
    </row>
    <row r="70" spans="1:2" x14ac:dyDescent="0.25">
      <c r="A70" t="s">
        <v>835</v>
      </c>
      <c r="B70">
        <v>1</v>
      </c>
    </row>
    <row r="71" spans="1:2" x14ac:dyDescent="0.25">
      <c r="A71" t="s">
        <v>891</v>
      </c>
      <c r="B71">
        <v>1</v>
      </c>
    </row>
    <row r="72" spans="1:2" x14ac:dyDescent="0.25">
      <c r="A72" t="s">
        <v>542</v>
      </c>
      <c r="B72">
        <v>3</v>
      </c>
    </row>
    <row r="73" spans="1:2" x14ac:dyDescent="0.25">
      <c r="A73" t="s">
        <v>164</v>
      </c>
      <c r="B73">
        <v>6</v>
      </c>
    </row>
    <row r="74" spans="1:2" x14ac:dyDescent="0.25">
      <c r="A74" t="s">
        <v>665</v>
      </c>
      <c r="B74">
        <v>2</v>
      </c>
    </row>
    <row r="75" spans="1:2" x14ac:dyDescent="0.25">
      <c r="A75" t="s">
        <v>779</v>
      </c>
      <c r="B75">
        <v>2</v>
      </c>
    </row>
    <row r="76" spans="1:2" x14ac:dyDescent="0.25">
      <c r="A76" t="s">
        <v>465</v>
      </c>
      <c r="B76">
        <v>1</v>
      </c>
    </row>
    <row r="77" spans="1:2" x14ac:dyDescent="0.25">
      <c r="A77" t="s">
        <v>453</v>
      </c>
      <c r="B77">
        <v>1</v>
      </c>
    </row>
    <row r="78" spans="1:2" x14ac:dyDescent="0.25">
      <c r="A78" t="s">
        <v>203</v>
      </c>
      <c r="B78">
        <v>1</v>
      </c>
    </row>
    <row r="79" spans="1:2" x14ac:dyDescent="0.25">
      <c r="A79" t="s">
        <v>532</v>
      </c>
      <c r="B79">
        <v>1</v>
      </c>
    </row>
    <row r="80" spans="1:2" x14ac:dyDescent="0.25">
      <c r="A80" t="s">
        <v>188</v>
      </c>
      <c r="B80">
        <v>4</v>
      </c>
    </row>
    <row r="81" spans="1:2" x14ac:dyDescent="0.25">
      <c r="A81" t="s">
        <v>504</v>
      </c>
      <c r="B81">
        <v>2</v>
      </c>
    </row>
    <row r="82" spans="1:2" x14ac:dyDescent="0.25">
      <c r="A82" t="s">
        <v>714</v>
      </c>
      <c r="B82">
        <v>1</v>
      </c>
    </row>
    <row r="83" spans="1:2" x14ac:dyDescent="0.25">
      <c r="A83" t="s">
        <v>374</v>
      </c>
      <c r="B83">
        <v>1</v>
      </c>
    </row>
    <row r="84" spans="1:2" x14ac:dyDescent="0.25">
      <c r="A84" t="s">
        <v>191</v>
      </c>
      <c r="B84">
        <v>7</v>
      </c>
    </row>
    <row r="85" spans="1:2" x14ac:dyDescent="0.25">
      <c r="A85" t="s">
        <v>746</v>
      </c>
      <c r="B85">
        <v>1</v>
      </c>
    </row>
    <row r="86" spans="1:2" x14ac:dyDescent="0.25">
      <c r="A86" t="s">
        <v>726</v>
      </c>
      <c r="B86">
        <v>1</v>
      </c>
    </row>
    <row r="87" spans="1:2" x14ac:dyDescent="0.25">
      <c r="A87" t="s">
        <v>457</v>
      </c>
      <c r="B87">
        <v>1</v>
      </c>
    </row>
    <row r="88" spans="1:2" x14ac:dyDescent="0.25">
      <c r="A88" t="s">
        <v>627</v>
      </c>
      <c r="B88">
        <v>1</v>
      </c>
    </row>
    <row r="89" spans="1:2" x14ac:dyDescent="0.25">
      <c r="A89" t="s">
        <v>913</v>
      </c>
      <c r="B89">
        <v>1</v>
      </c>
    </row>
    <row r="90" spans="1:2" x14ac:dyDescent="0.25">
      <c r="A90" t="s">
        <v>729</v>
      </c>
      <c r="B90">
        <v>1</v>
      </c>
    </row>
    <row r="91" spans="1:2" x14ac:dyDescent="0.25">
      <c r="A91" t="s">
        <v>721</v>
      </c>
      <c r="B91">
        <v>1</v>
      </c>
    </row>
  </sheetData>
  <autoFilter ref="D31:E36" xr:uid="{CCC2C127-9540-4F12-BA1B-8521E75514F1}">
    <sortState xmlns:xlrd2="http://schemas.microsoft.com/office/spreadsheetml/2017/richdata2" ref="D32:E36">
      <sortCondition descending="1" ref="E31:E36"/>
    </sortState>
  </autoFilter>
  <sortState xmlns:xlrd2="http://schemas.microsoft.com/office/spreadsheetml/2017/richdata2" ref="A16:B30">
    <sortCondition descending="1" ref="A15:A30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0F18-9A69-41AC-8C76-448B97FD56D9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F0C8-DE59-434F-8069-9F1B05E20445}">
  <dimension ref="A1:H1000"/>
  <sheetViews>
    <sheetView workbookViewId="0">
      <selection activeCell="H5" sqref="H5"/>
    </sheetView>
  </sheetViews>
  <sheetFormatPr defaultRowHeight="16.8" x14ac:dyDescent="0.4"/>
  <cols>
    <col min="1" max="1" width="8.8984375" style="3" bestFit="1" customWidth="1"/>
    <col min="2" max="2" width="13.5" style="3" bestFit="1" customWidth="1"/>
    <col min="3" max="3" width="10" style="3" bestFit="1" customWidth="1"/>
    <col min="4" max="4" width="12.8984375" style="3" bestFit="1" customWidth="1"/>
    <col min="5" max="6" width="13" style="3" customWidth="1"/>
    <col min="7" max="7" width="9.8984375" style="3" bestFit="1" customWidth="1"/>
    <col min="8" max="16384" width="8.796875" style="3"/>
  </cols>
  <sheetData>
    <row r="1" spans="1:8" ht="17.399999999999999" thickBot="1" x14ac:dyDescent="0.45">
      <c r="A1" s="6" t="s">
        <v>0</v>
      </c>
      <c r="B1" s="6" t="s">
        <v>116</v>
      </c>
      <c r="C1" s="6" t="s">
        <v>125</v>
      </c>
      <c r="D1" s="1" t="s">
        <v>131</v>
      </c>
      <c r="E1" s="1" t="s">
        <v>132</v>
      </c>
      <c r="F1" s="2" t="s">
        <v>133</v>
      </c>
      <c r="G1" s="6" t="s">
        <v>924</v>
      </c>
      <c r="H1" s="3" t="s">
        <v>927</v>
      </c>
    </row>
    <row r="2" spans="1:8" ht="67.8" thickBot="1" x14ac:dyDescent="0.45">
      <c r="A2" s="3" t="s">
        <v>1</v>
      </c>
      <c r="B2" s="3" t="s">
        <v>117</v>
      </c>
      <c r="C2" s="3" t="s">
        <v>126</v>
      </c>
      <c r="D2" s="4" t="s">
        <v>134</v>
      </c>
      <c r="E2" s="4" t="s">
        <v>135</v>
      </c>
      <c r="F2" s="4" t="s">
        <v>136</v>
      </c>
      <c r="G2" s="3" t="s">
        <v>117</v>
      </c>
      <c r="H2" s="3" t="s">
        <v>928</v>
      </c>
    </row>
    <row r="3" spans="1:8" ht="51" thickBot="1" x14ac:dyDescent="0.45">
      <c r="A3" s="3" t="s">
        <v>2</v>
      </c>
      <c r="B3" s="3" t="s">
        <v>118</v>
      </c>
      <c r="C3" s="3" t="s">
        <v>127</v>
      </c>
      <c r="D3" s="4" t="s">
        <v>137</v>
      </c>
      <c r="E3" s="4" t="s">
        <v>138</v>
      </c>
      <c r="F3" s="4" t="s">
        <v>139</v>
      </c>
      <c r="G3" s="3" t="s">
        <v>925</v>
      </c>
      <c r="H3" s="3" t="s">
        <v>929</v>
      </c>
    </row>
    <row r="4" spans="1:8" ht="51" thickBot="1" x14ac:dyDescent="0.45">
      <c r="A4" s="3" t="s">
        <v>3</v>
      </c>
      <c r="B4" s="3" t="s">
        <v>119</v>
      </c>
      <c r="C4" s="3" t="s">
        <v>128</v>
      </c>
      <c r="D4" s="4" t="s">
        <v>140</v>
      </c>
      <c r="E4" s="4" t="s">
        <v>141</v>
      </c>
      <c r="F4" s="4" t="s">
        <v>142</v>
      </c>
      <c r="G4" s="3" t="s">
        <v>926</v>
      </c>
      <c r="H4" s="3" t="s">
        <v>930</v>
      </c>
    </row>
    <row r="5" spans="1:8" ht="84.6" thickBot="1" x14ac:dyDescent="0.45">
      <c r="A5" s="3" t="s">
        <v>4</v>
      </c>
      <c r="B5" s="3" t="s">
        <v>120</v>
      </c>
      <c r="C5" s="3" t="s">
        <v>129</v>
      </c>
      <c r="D5" s="4" t="s">
        <v>143</v>
      </c>
      <c r="E5" s="4" t="s">
        <v>144</v>
      </c>
      <c r="F5" s="4" t="s">
        <v>145</v>
      </c>
    </row>
    <row r="6" spans="1:8" ht="67.8" thickBot="1" x14ac:dyDescent="0.45">
      <c r="A6" s="3" t="s">
        <v>5</v>
      </c>
      <c r="B6" s="3" t="s">
        <v>121</v>
      </c>
      <c r="C6" s="3" t="s">
        <v>130</v>
      </c>
      <c r="D6" s="4" t="s">
        <v>146</v>
      </c>
      <c r="E6" s="4" t="s">
        <v>147</v>
      </c>
      <c r="F6" s="4" t="s">
        <v>148</v>
      </c>
    </row>
    <row r="7" spans="1:8" ht="51" thickBot="1" x14ac:dyDescent="0.45">
      <c r="A7" s="3" t="s">
        <v>6</v>
      </c>
      <c r="B7" s="3" t="s">
        <v>122</v>
      </c>
      <c r="D7" s="4" t="s">
        <v>149</v>
      </c>
      <c r="E7" s="4" t="s">
        <v>150</v>
      </c>
      <c r="F7" s="4" t="s">
        <v>151</v>
      </c>
    </row>
    <row r="8" spans="1:8" ht="34.200000000000003" thickBot="1" x14ac:dyDescent="0.45">
      <c r="A8" s="3" t="s">
        <v>7</v>
      </c>
      <c r="B8" s="3" t="s">
        <v>123</v>
      </c>
      <c r="D8" s="4" t="s">
        <v>152</v>
      </c>
      <c r="E8" s="4" t="s">
        <v>153</v>
      </c>
      <c r="F8" s="4" t="s">
        <v>154</v>
      </c>
    </row>
    <row r="9" spans="1:8" ht="67.8" thickBot="1" x14ac:dyDescent="0.45">
      <c r="A9" s="3" t="s">
        <v>8</v>
      </c>
      <c r="B9" s="3" t="s">
        <v>124</v>
      </c>
      <c r="D9" s="4" t="s">
        <v>155</v>
      </c>
      <c r="E9" s="4" t="s">
        <v>156</v>
      </c>
      <c r="F9" s="4" t="s">
        <v>157</v>
      </c>
    </row>
    <row r="10" spans="1:8" ht="67.8" thickBot="1" x14ac:dyDescent="0.45">
      <c r="A10" s="3" t="s">
        <v>9</v>
      </c>
      <c r="D10" s="4" t="s">
        <v>158</v>
      </c>
      <c r="E10" s="4" t="s">
        <v>159</v>
      </c>
      <c r="F10" s="4" t="s">
        <v>160</v>
      </c>
    </row>
    <row r="11" spans="1:8" ht="84.6" thickBot="1" x14ac:dyDescent="0.45">
      <c r="A11" s="3" t="s">
        <v>10</v>
      </c>
      <c r="D11" s="4" t="s">
        <v>161</v>
      </c>
      <c r="E11" s="4" t="s">
        <v>162</v>
      </c>
      <c r="F11" s="4" t="s">
        <v>163</v>
      </c>
    </row>
    <row r="12" spans="1:8" ht="34.200000000000003" thickBot="1" x14ac:dyDescent="0.45">
      <c r="A12" s="3" t="s">
        <v>11</v>
      </c>
      <c r="D12" s="4" t="s">
        <v>164</v>
      </c>
      <c r="E12" s="4" t="s">
        <v>165</v>
      </c>
      <c r="F12" s="4" t="s">
        <v>166</v>
      </c>
    </row>
    <row r="13" spans="1:8" ht="51" thickBot="1" x14ac:dyDescent="0.45">
      <c r="A13" s="3" t="s">
        <v>12</v>
      </c>
      <c r="D13" s="4" t="s">
        <v>167</v>
      </c>
      <c r="E13" s="4" t="s">
        <v>168</v>
      </c>
      <c r="F13" s="4" t="s">
        <v>169</v>
      </c>
    </row>
    <row r="14" spans="1:8" ht="51" thickBot="1" x14ac:dyDescent="0.45">
      <c r="A14" s="3" t="s">
        <v>13</v>
      </c>
      <c r="D14" s="4" t="s">
        <v>170</v>
      </c>
      <c r="E14" s="4" t="s">
        <v>171</v>
      </c>
      <c r="F14" s="4" t="s">
        <v>172</v>
      </c>
    </row>
    <row r="15" spans="1:8" ht="67.8" thickBot="1" x14ac:dyDescent="0.45">
      <c r="A15" s="3" t="s">
        <v>14</v>
      </c>
      <c r="D15" s="4" t="s">
        <v>173</v>
      </c>
      <c r="E15" s="4" t="s">
        <v>174</v>
      </c>
      <c r="F15" s="4" t="s">
        <v>175</v>
      </c>
    </row>
    <row r="16" spans="1:8" ht="51" thickBot="1" x14ac:dyDescent="0.45">
      <c r="A16" s="3" t="s">
        <v>15</v>
      </c>
      <c r="D16" s="4" t="s">
        <v>176</v>
      </c>
      <c r="E16" s="4" t="s">
        <v>177</v>
      </c>
      <c r="F16" s="4" t="s">
        <v>178</v>
      </c>
    </row>
    <row r="17" spans="1:6" ht="67.8" thickBot="1" x14ac:dyDescent="0.45">
      <c r="A17" s="3" t="s">
        <v>16</v>
      </c>
      <c r="D17" s="4" t="s">
        <v>179</v>
      </c>
      <c r="E17" s="4" t="s">
        <v>180</v>
      </c>
      <c r="F17" s="4" t="s">
        <v>181</v>
      </c>
    </row>
    <row r="18" spans="1:6" ht="51" thickBot="1" x14ac:dyDescent="0.45">
      <c r="A18" s="3" t="s">
        <v>17</v>
      </c>
      <c r="D18" s="4" t="s">
        <v>182</v>
      </c>
      <c r="E18" s="4" t="s">
        <v>183</v>
      </c>
      <c r="F18" s="4" t="s">
        <v>184</v>
      </c>
    </row>
    <row r="19" spans="1:6" ht="67.8" thickBot="1" x14ac:dyDescent="0.45">
      <c r="A19" s="3" t="s">
        <v>18</v>
      </c>
      <c r="D19" s="4" t="s">
        <v>185</v>
      </c>
      <c r="E19" s="4" t="s">
        <v>186</v>
      </c>
      <c r="F19" s="4" t="s">
        <v>187</v>
      </c>
    </row>
    <row r="20" spans="1:6" ht="67.8" thickBot="1" x14ac:dyDescent="0.45">
      <c r="A20" s="3" t="s">
        <v>19</v>
      </c>
      <c r="D20" s="4" t="s">
        <v>188</v>
      </c>
      <c r="E20" s="4" t="s">
        <v>189</v>
      </c>
      <c r="F20" s="4" t="s">
        <v>190</v>
      </c>
    </row>
    <row r="21" spans="1:6" ht="67.8" thickBot="1" x14ac:dyDescent="0.45">
      <c r="A21" s="3" t="s">
        <v>20</v>
      </c>
      <c r="D21" s="4" t="s">
        <v>191</v>
      </c>
      <c r="E21" s="4" t="s">
        <v>192</v>
      </c>
      <c r="F21" s="4" t="s">
        <v>193</v>
      </c>
    </row>
    <row r="22" spans="1:6" ht="51" thickBot="1" x14ac:dyDescent="0.45">
      <c r="A22" s="3" t="s">
        <v>21</v>
      </c>
      <c r="D22" s="4" t="s">
        <v>194</v>
      </c>
      <c r="E22" s="4" t="s">
        <v>195</v>
      </c>
      <c r="F22" s="4" t="s">
        <v>196</v>
      </c>
    </row>
    <row r="23" spans="1:6" ht="67.8" thickBot="1" x14ac:dyDescent="0.45">
      <c r="A23" s="3" t="s">
        <v>22</v>
      </c>
      <c r="D23" s="4" t="s">
        <v>197</v>
      </c>
      <c r="E23" s="4" t="s">
        <v>198</v>
      </c>
      <c r="F23" s="4" t="s">
        <v>199</v>
      </c>
    </row>
    <row r="24" spans="1:6" ht="51" thickBot="1" x14ac:dyDescent="0.45">
      <c r="A24" s="3" t="s">
        <v>23</v>
      </c>
      <c r="D24" s="4" t="s">
        <v>200</v>
      </c>
      <c r="E24" s="4" t="s">
        <v>201</v>
      </c>
      <c r="F24" s="4" t="s">
        <v>202</v>
      </c>
    </row>
    <row r="25" spans="1:6" ht="34.200000000000003" thickBot="1" x14ac:dyDescent="0.45">
      <c r="A25" s="3" t="s">
        <v>24</v>
      </c>
      <c r="D25" s="4" t="s">
        <v>203</v>
      </c>
      <c r="E25" s="4" t="s">
        <v>204</v>
      </c>
      <c r="F25" s="4" t="s">
        <v>205</v>
      </c>
    </row>
    <row r="26" spans="1:6" ht="51" thickBot="1" x14ac:dyDescent="0.45">
      <c r="A26" s="3" t="s">
        <v>25</v>
      </c>
      <c r="D26" s="4" t="s">
        <v>206</v>
      </c>
      <c r="E26" s="4" t="s">
        <v>207</v>
      </c>
      <c r="F26" s="4" t="s">
        <v>208</v>
      </c>
    </row>
    <row r="27" spans="1:6" ht="51" thickBot="1" x14ac:dyDescent="0.45">
      <c r="A27" s="3" t="s">
        <v>26</v>
      </c>
      <c r="D27" s="4"/>
      <c r="E27" s="4" t="s">
        <v>209</v>
      </c>
      <c r="F27" s="4" t="s">
        <v>210</v>
      </c>
    </row>
    <row r="28" spans="1:6" ht="17.399999999999999" thickBot="1" x14ac:dyDescent="0.45">
      <c r="A28" s="3" t="s">
        <v>27</v>
      </c>
      <c r="D28" s="4"/>
      <c r="E28" s="4" t="s">
        <v>167</v>
      </c>
      <c r="F28" s="4" t="s">
        <v>211</v>
      </c>
    </row>
    <row r="29" spans="1:6" ht="51" thickBot="1" x14ac:dyDescent="0.45">
      <c r="A29" s="3" t="s">
        <v>28</v>
      </c>
      <c r="D29" s="4"/>
      <c r="E29" s="4" t="s">
        <v>212</v>
      </c>
      <c r="F29" s="4" t="s">
        <v>213</v>
      </c>
    </row>
    <row r="30" spans="1:6" ht="51" thickBot="1" x14ac:dyDescent="0.45">
      <c r="A30" s="3" t="s">
        <v>29</v>
      </c>
      <c r="D30" s="4"/>
      <c r="E30" s="4" t="s">
        <v>214</v>
      </c>
      <c r="F30" s="4" t="s">
        <v>215</v>
      </c>
    </row>
    <row r="31" spans="1:6" ht="67.8" thickBot="1" x14ac:dyDescent="0.45">
      <c r="A31" s="3" t="s">
        <v>30</v>
      </c>
      <c r="D31" s="4"/>
      <c r="E31" s="4" t="s">
        <v>216</v>
      </c>
      <c r="F31" s="4" t="s">
        <v>217</v>
      </c>
    </row>
    <row r="32" spans="1:6" ht="34.200000000000003" thickBot="1" x14ac:dyDescent="0.45">
      <c r="A32" s="3" t="s">
        <v>31</v>
      </c>
      <c r="D32" s="4"/>
      <c r="E32" s="4" t="s">
        <v>218</v>
      </c>
      <c r="F32" s="4" t="s">
        <v>219</v>
      </c>
    </row>
    <row r="33" spans="1:6" ht="51" thickBot="1" x14ac:dyDescent="0.45">
      <c r="A33" s="3" t="s">
        <v>32</v>
      </c>
      <c r="D33" s="4"/>
      <c r="E33" s="4" t="s">
        <v>220</v>
      </c>
      <c r="F33" s="4" t="s">
        <v>221</v>
      </c>
    </row>
    <row r="34" spans="1:6" ht="51" thickBot="1" x14ac:dyDescent="0.45">
      <c r="A34" s="3" t="s">
        <v>33</v>
      </c>
      <c r="D34" s="4"/>
      <c r="E34" s="4" t="s">
        <v>222</v>
      </c>
      <c r="F34" s="4" t="s">
        <v>223</v>
      </c>
    </row>
    <row r="35" spans="1:6" ht="51" thickBot="1" x14ac:dyDescent="0.45">
      <c r="A35" s="3" t="s">
        <v>34</v>
      </c>
      <c r="D35" s="4"/>
      <c r="E35" s="4" t="s">
        <v>224</v>
      </c>
      <c r="F35" s="4" t="s">
        <v>225</v>
      </c>
    </row>
    <row r="36" spans="1:6" ht="34.200000000000003" thickBot="1" x14ac:dyDescent="0.45">
      <c r="A36" s="3" t="s">
        <v>35</v>
      </c>
      <c r="D36" s="4"/>
      <c r="E36" s="4" t="s">
        <v>226</v>
      </c>
      <c r="F36" s="4" t="s">
        <v>227</v>
      </c>
    </row>
    <row r="37" spans="1:6" ht="51" thickBot="1" x14ac:dyDescent="0.45">
      <c r="A37" s="3" t="s">
        <v>36</v>
      </c>
      <c r="D37" s="4"/>
      <c r="E37" s="4" t="s">
        <v>228</v>
      </c>
      <c r="F37" s="4" t="s">
        <v>229</v>
      </c>
    </row>
    <row r="38" spans="1:6" ht="51" thickBot="1" x14ac:dyDescent="0.45">
      <c r="A38" s="3" t="s">
        <v>37</v>
      </c>
      <c r="D38" s="4"/>
      <c r="E38" s="4" t="s">
        <v>230</v>
      </c>
      <c r="F38" s="4" t="s">
        <v>231</v>
      </c>
    </row>
    <row r="39" spans="1:6" ht="51" thickBot="1" x14ac:dyDescent="0.45">
      <c r="A39" s="3" t="s">
        <v>38</v>
      </c>
      <c r="D39" s="4"/>
      <c r="E39" s="4" t="s">
        <v>232</v>
      </c>
      <c r="F39" s="4" t="s">
        <v>233</v>
      </c>
    </row>
    <row r="40" spans="1:6" ht="51" thickBot="1" x14ac:dyDescent="0.45">
      <c r="A40" s="3" t="s">
        <v>39</v>
      </c>
      <c r="D40" s="4"/>
      <c r="E40" s="4" t="s">
        <v>234</v>
      </c>
      <c r="F40" s="4" t="s">
        <v>235</v>
      </c>
    </row>
    <row r="41" spans="1:6" ht="51" thickBot="1" x14ac:dyDescent="0.45">
      <c r="A41" s="3" t="s">
        <v>40</v>
      </c>
      <c r="D41" s="4"/>
      <c r="E41" s="4" t="s">
        <v>236</v>
      </c>
      <c r="F41" s="4" t="s">
        <v>237</v>
      </c>
    </row>
    <row r="42" spans="1:6" ht="51" thickBot="1" x14ac:dyDescent="0.45">
      <c r="A42" s="3" t="s">
        <v>41</v>
      </c>
      <c r="D42" s="4"/>
      <c r="E42" s="4" t="s">
        <v>238</v>
      </c>
      <c r="F42" s="4" t="s">
        <v>239</v>
      </c>
    </row>
    <row r="43" spans="1:6" ht="67.8" thickBot="1" x14ac:dyDescent="0.45">
      <c r="A43" s="3" t="s">
        <v>42</v>
      </c>
      <c r="D43" s="4"/>
      <c r="E43" s="4" t="s">
        <v>240</v>
      </c>
      <c r="F43" s="4" t="s">
        <v>241</v>
      </c>
    </row>
    <row r="44" spans="1:6" ht="34.200000000000003" thickBot="1" x14ac:dyDescent="0.45">
      <c r="A44" s="3" t="s">
        <v>43</v>
      </c>
      <c r="D44" s="4"/>
      <c r="E44" s="4" t="s">
        <v>242</v>
      </c>
      <c r="F44" s="4" t="s">
        <v>243</v>
      </c>
    </row>
    <row r="45" spans="1:6" ht="67.8" thickBot="1" x14ac:dyDescent="0.45">
      <c r="A45" s="3" t="s">
        <v>44</v>
      </c>
      <c r="D45" s="4"/>
      <c r="E45" s="4" t="s">
        <v>244</v>
      </c>
      <c r="F45" s="4" t="s">
        <v>245</v>
      </c>
    </row>
    <row r="46" spans="1:6" ht="34.200000000000003" thickBot="1" x14ac:dyDescent="0.45">
      <c r="A46" s="3" t="s">
        <v>45</v>
      </c>
      <c r="D46" s="4"/>
      <c r="E46" s="4" t="s">
        <v>246</v>
      </c>
      <c r="F46" s="4" t="s">
        <v>247</v>
      </c>
    </row>
    <row r="47" spans="1:6" ht="67.8" thickBot="1" x14ac:dyDescent="0.45">
      <c r="A47" s="3" t="s">
        <v>46</v>
      </c>
      <c r="D47" s="4"/>
      <c r="E47" s="4" t="s">
        <v>248</v>
      </c>
      <c r="F47" s="4" t="s">
        <v>249</v>
      </c>
    </row>
    <row r="48" spans="1:6" ht="34.200000000000003" thickBot="1" x14ac:dyDescent="0.45">
      <c r="A48" s="3" t="s">
        <v>47</v>
      </c>
      <c r="D48" s="4"/>
      <c r="E48" s="4" t="s">
        <v>250</v>
      </c>
      <c r="F48" s="4" t="s">
        <v>251</v>
      </c>
    </row>
    <row r="49" spans="1:6" ht="34.200000000000003" thickBot="1" x14ac:dyDescent="0.45">
      <c r="A49" s="3" t="s">
        <v>48</v>
      </c>
      <c r="D49" s="4"/>
      <c r="E49" s="4" t="s">
        <v>252</v>
      </c>
      <c r="F49" s="4" t="s">
        <v>253</v>
      </c>
    </row>
    <row r="50" spans="1:6" ht="67.8" thickBot="1" x14ac:dyDescent="0.45">
      <c r="A50" s="3" t="s">
        <v>49</v>
      </c>
      <c r="D50" s="4"/>
      <c r="E50" s="4" t="s">
        <v>254</v>
      </c>
      <c r="F50" s="4" t="s">
        <v>255</v>
      </c>
    </row>
    <row r="51" spans="1:6" ht="67.8" thickBot="1" x14ac:dyDescent="0.45">
      <c r="A51" s="3" t="s">
        <v>50</v>
      </c>
      <c r="D51" s="4"/>
      <c r="E51" s="4" t="s">
        <v>256</v>
      </c>
      <c r="F51" s="4" t="s">
        <v>257</v>
      </c>
    </row>
    <row r="52" spans="1:6" ht="51" thickBot="1" x14ac:dyDescent="0.45">
      <c r="A52" s="3" t="s">
        <v>51</v>
      </c>
      <c r="D52" s="4"/>
      <c r="E52" s="4" t="s">
        <v>258</v>
      </c>
      <c r="F52" s="4" t="s">
        <v>259</v>
      </c>
    </row>
    <row r="53" spans="1:6" ht="84.6" thickBot="1" x14ac:dyDescent="0.45">
      <c r="A53" s="3" t="s">
        <v>52</v>
      </c>
      <c r="D53" s="4"/>
      <c r="E53" s="4" t="s">
        <v>260</v>
      </c>
      <c r="F53" s="4" t="s">
        <v>261</v>
      </c>
    </row>
    <row r="54" spans="1:6" ht="51" thickBot="1" x14ac:dyDescent="0.45">
      <c r="A54" s="3" t="s">
        <v>53</v>
      </c>
      <c r="D54" s="4"/>
      <c r="E54" s="4" t="s">
        <v>262</v>
      </c>
      <c r="F54" s="4" t="s">
        <v>263</v>
      </c>
    </row>
    <row r="55" spans="1:6" ht="51" thickBot="1" x14ac:dyDescent="0.45">
      <c r="A55" s="3" t="s">
        <v>54</v>
      </c>
      <c r="D55" s="4"/>
      <c r="E55" s="4" t="s">
        <v>264</v>
      </c>
      <c r="F55" s="4" t="s">
        <v>265</v>
      </c>
    </row>
    <row r="56" spans="1:6" ht="51" thickBot="1" x14ac:dyDescent="0.45">
      <c r="A56" s="3" t="s">
        <v>55</v>
      </c>
      <c r="D56" s="4"/>
      <c r="E56" s="4" t="s">
        <v>266</v>
      </c>
      <c r="F56" s="4" t="s">
        <v>267</v>
      </c>
    </row>
    <row r="57" spans="1:6" ht="84.6" thickBot="1" x14ac:dyDescent="0.45">
      <c r="A57" s="3" t="s">
        <v>56</v>
      </c>
      <c r="D57" s="4"/>
      <c r="E57" s="4" t="s">
        <v>268</v>
      </c>
      <c r="F57" s="4" t="s">
        <v>269</v>
      </c>
    </row>
    <row r="58" spans="1:6" ht="67.8" thickBot="1" x14ac:dyDescent="0.45">
      <c r="A58" s="3" t="s">
        <v>57</v>
      </c>
      <c r="D58" s="4"/>
      <c r="E58" s="4" t="s">
        <v>270</v>
      </c>
      <c r="F58" s="4" t="s">
        <v>271</v>
      </c>
    </row>
    <row r="59" spans="1:6" ht="51" thickBot="1" x14ac:dyDescent="0.45">
      <c r="A59" s="3" t="s">
        <v>58</v>
      </c>
      <c r="D59" s="4"/>
      <c r="E59" s="4" t="s">
        <v>272</v>
      </c>
      <c r="F59" s="4" t="s">
        <v>273</v>
      </c>
    </row>
    <row r="60" spans="1:6" ht="51" thickBot="1" x14ac:dyDescent="0.45">
      <c r="A60" s="3" t="s">
        <v>59</v>
      </c>
      <c r="D60" s="4"/>
      <c r="E60" s="4" t="s">
        <v>274</v>
      </c>
      <c r="F60" s="4" t="s">
        <v>275</v>
      </c>
    </row>
    <row r="61" spans="1:6" ht="51" thickBot="1" x14ac:dyDescent="0.45">
      <c r="A61" s="3" t="s">
        <v>60</v>
      </c>
      <c r="D61" s="4"/>
      <c r="E61" s="4" t="s">
        <v>276</v>
      </c>
      <c r="F61" s="4" t="s">
        <v>277</v>
      </c>
    </row>
    <row r="62" spans="1:6" ht="51" thickBot="1" x14ac:dyDescent="0.45">
      <c r="A62" s="3" t="s">
        <v>61</v>
      </c>
      <c r="D62" s="4"/>
      <c r="E62" s="4" t="s">
        <v>278</v>
      </c>
      <c r="F62" s="4" t="s">
        <v>279</v>
      </c>
    </row>
    <row r="63" spans="1:6" ht="51" thickBot="1" x14ac:dyDescent="0.45">
      <c r="A63" s="3" t="s">
        <v>62</v>
      </c>
      <c r="D63" s="4"/>
      <c r="E63" s="4" t="s">
        <v>280</v>
      </c>
      <c r="F63" s="4" t="s">
        <v>281</v>
      </c>
    </row>
    <row r="64" spans="1:6" ht="51" thickBot="1" x14ac:dyDescent="0.45">
      <c r="A64" s="3" t="s">
        <v>63</v>
      </c>
      <c r="D64" s="4"/>
      <c r="E64" s="4" t="s">
        <v>282</v>
      </c>
      <c r="F64" s="4" t="s">
        <v>283</v>
      </c>
    </row>
    <row r="65" spans="1:6" ht="34.200000000000003" thickBot="1" x14ac:dyDescent="0.45">
      <c r="A65" s="3" t="s">
        <v>64</v>
      </c>
      <c r="D65" s="4"/>
      <c r="E65" s="4" t="s">
        <v>284</v>
      </c>
      <c r="F65" s="4" t="s">
        <v>285</v>
      </c>
    </row>
    <row r="66" spans="1:6" ht="51" thickBot="1" x14ac:dyDescent="0.45">
      <c r="A66" s="3" t="s">
        <v>65</v>
      </c>
      <c r="D66" s="4"/>
      <c r="E66" s="4" t="s">
        <v>286</v>
      </c>
      <c r="F66" s="4" t="s">
        <v>287</v>
      </c>
    </row>
    <row r="67" spans="1:6" ht="51" thickBot="1" x14ac:dyDescent="0.45">
      <c r="A67" s="3" t="s">
        <v>66</v>
      </c>
      <c r="D67" s="4"/>
      <c r="E67" s="4" t="s">
        <v>288</v>
      </c>
      <c r="F67" s="4" t="s">
        <v>289</v>
      </c>
    </row>
    <row r="68" spans="1:6" ht="34.200000000000003" thickBot="1" x14ac:dyDescent="0.45">
      <c r="A68" s="3" t="s">
        <v>67</v>
      </c>
      <c r="D68" s="4"/>
      <c r="E68" s="4" t="s">
        <v>290</v>
      </c>
      <c r="F68" s="4" t="s">
        <v>291</v>
      </c>
    </row>
    <row r="69" spans="1:6" ht="34.200000000000003" thickBot="1" x14ac:dyDescent="0.45">
      <c r="A69" s="3" t="s">
        <v>68</v>
      </c>
      <c r="D69" s="4"/>
      <c r="E69" s="4" t="s">
        <v>292</v>
      </c>
      <c r="F69" s="4" t="s">
        <v>293</v>
      </c>
    </row>
    <row r="70" spans="1:6" ht="34.200000000000003" thickBot="1" x14ac:dyDescent="0.45">
      <c r="A70" s="3" t="s">
        <v>69</v>
      </c>
      <c r="D70" s="4"/>
      <c r="E70" s="4" t="s">
        <v>294</v>
      </c>
      <c r="F70" s="4" t="s">
        <v>295</v>
      </c>
    </row>
    <row r="71" spans="1:6" ht="67.8" thickBot="1" x14ac:dyDescent="0.45">
      <c r="A71" s="3" t="s">
        <v>70</v>
      </c>
      <c r="D71" s="4"/>
      <c r="E71" s="4" t="s">
        <v>296</v>
      </c>
      <c r="F71" s="4" t="s">
        <v>297</v>
      </c>
    </row>
    <row r="72" spans="1:6" ht="67.8" thickBot="1" x14ac:dyDescent="0.45">
      <c r="A72" s="3" t="s">
        <v>71</v>
      </c>
      <c r="D72" s="4"/>
      <c r="E72" s="4" t="s">
        <v>298</v>
      </c>
      <c r="F72" s="4" t="s">
        <v>299</v>
      </c>
    </row>
    <row r="73" spans="1:6" ht="51" thickBot="1" x14ac:dyDescent="0.45">
      <c r="A73" s="3" t="s">
        <v>72</v>
      </c>
      <c r="D73" s="4"/>
      <c r="E73" s="4" t="s">
        <v>300</v>
      </c>
      <c r="F73" s="4" t="s">
        <v>301</v>
      </c>
    </row>
    <row r="74" spans="1:6" ht="51" thickBot="1" x14ac:dyDescent="0.45">
      <c r="A74" s="3" t="s">
        <v>73</v>
      </c>
      <c r="D74" s="4"/>
      <c r="E74" s="4" t="s">
        <v>302</v>
      </c>
      <c r="F74" s="4" t="s">
        <v>303</v>
      </c>
    </row>
    <row r="75" spans="1:6" ht="67.8" thickBot="1" x14ac:dyDescent="0.45">
      <c r="A75" s="3" t="s">
        <v>74</v>
      </c>
      <c r="D75" s="4"/>
      <c r="E75" s="4" t="s">
        <v>304</v>
      </c>
      <c r="F75" s="4" t="s">
        <v>305</v>
      </c>
    </row>
    <row r="76" spans="1:6" ht="34.200000000000003" thickBot="1" x14ac:dyDescent="0.45">
      <c r="A76" s="3" t="s">
        <v>75</v>
      </c>
      <c r="D76" s="4"/>
      <c r="E76" s="4" t="s">
        <v>306</v>
      </c>
      <c r="F76" s="4" t="s">
        <v>307</v>
      </c>
    </row>
    <row r="77" spans="1:6" ht="34.200000000000003" thickBot="1" x14ac:dyDescent="0.45">
      <c r="A77" s="3" t="s">
        <v>76</v>
      </c>
      <c r="D77" s="4"/>
      <c r="E77" s="4" t="s">
        <v>308</v>
      </c>
      <c r="F77" s="4" t="s">
        <v>309</v>
      </c>
    </row>
    <row r="78" spans="1:6" ht="51" thickBot="1" x14ac:dyDescent="0.45">
      <c r="A78" s="3" t="s">
        <v>77</v>
      </c>
      <c r="D78" s="4"/>
      <c r="E78" s="4" t="s">
        <v>310</v>
      </c>
      <c r="F78" s="4" t="s">
        <v>311</v>
      </c>
    </row>
    <row r="79" spans="1:6" ht="84.6" thickBot="1" x14ac:dyDescent="0.45">
      <c r="A79" s="3" t="s">
        <v>78</v>
      </c>
      <c r="D79" s="4"/>
      <c r="E79" s="4" t="s">
        <v>312</v>
      </c>
      <c r="F79" s="4" t="s">
        <v>313</v>
      </c>
    </row>
    <row r="80" spans="1:6" ht="51" thickBot="1" x14ac:dyDescent="0.45">
      <c r="A80" s="3" t="s">
        <v>79</v>
      </c>
      <c r="D80" s="4"/>
      <c r="E80" s="4" t="s">
        <v>314</v>
      </c>
      <c r="F80" s="4" t="s">
        <v>315</v>
      </c>
    </row>
    <row r="81" spans="1:6" ht="51" thickBot="1" x14ac:dyDescent="0.45">
      <c r="A81" s="3" t="s">
        <v>80</v>
      </c>
      <c r="D81" s="4"/>
      <c r="E81" s="4" t="s">
        <v>316</v>
      </c>
      <c r="F81" s="4" t="s">
        <v>317</v>
      </c>
    </row>
    <row r="82" spans="1:6" ht="34.200000000000003" thickBot="1" x14ac:dyDescent="0.45">
      <c r="A82" s="3" t="s">
        <v>81</v>
      </c>
      <c r="D82" s="4"/>
      <c r="E82" s="4" t="s">
        <v>318</v>
      </c>
      <c r="F82" s="4" t="s">
        <v>319</v>
      </c>
    </row>
    <row r="83" spans="1:6" ht="51" thickBot="1" x14ac:dyDescent="0.45">
      <c r="A83" s="3" t="s">
        <v>82</v>
      </c>
      <c r="D83" s="4"/>
      <c r="E83" s="4" t="s">
        <v>290</v>
      </c>
      <c r="F83" s="4" t="s">
        <v>320</v>
      </c>
    </row>
    <row r="84" spans="1:6" ht="67.8" thickBot="1" x14ac:dyDescent="0.45">
      <c r="A84" s="3" t="s">
        <v>83</v>
      </c>
      <c r="D84" s="4"/>
      <c r="E84" s="4" t="s">
        <v>298</v>
      </c>
      <c r="F84" s="4" t="s">
        <v>321</v>
      </c>
    </row>
    <row r="85" spans="1:6" ht="51" thickBot="1" x14ac:dyDescent="0.45">
      <c r="A85" s="3" t="s">
        <v>84</v>
      </c>
      <c r="D85" s="4"/>
      <c r="E85" s="4" t="s">
        <v>322</v>
      </c>
      <c r="F85" s="4" t="s">
        <v>167</v>
      </c>
    </row>
    <row r="86" spans="1:6" ht="34.200000000000003" thickBot="1" x14ac:dyDescent="0.45">
      <c r="A86" s="3" t="s">
        <v>85</v>
      </c>
      <c r="D86" s="4"/>
      <c r="E86" s="4" t="s">
        <v>323</v>
      </c>
      <c r="F86" s="4" t="s">
        <v>324</v>
      </c>
    </row>
    <row r="87" spans="1:6" ht="51" thickBot="1" x14ac:dyDescent="0.45">
      <c r="A87" s="3" t="s">
        <v>86</v>
      </c>
      <c r="D87" s="4"/>
      <c r="E87" s="4" t="s">
        <v>310</v>
      </c>
      <c r="F87" s="4" t="s">
        <v>325</v>
      </c>
    </row>
    <row r="88" spans="1:6" ht="67.8" thickBot="1" x14ac:dyDescent="0.45">
      <c r="A88" s="3" t="s">
        <v>87</v>
      </c>
      <c r="D88" s="4"/>
      <c r="E88" s="4" t="s">
        <v>326</v>
      </c>
      <c r="F88" s="4" t="s">
        <v>327</v>
      </c>
    </row>
    <row r="89" spans="1:6" ht="67.8" thickBot="1" x14ac:dyDescent="0.45">
      <c r="A89" s="3" t="s">
        <v>88</v>
      </c>
      <c r="D89" s="4"/>
      <c r="E89" s="4" t="s">
        <v>296</v>
      </c>
      <c r="F89" s="4" t="s">
        <v>328</v>
      </c>
    </row>
    <row r="90" spans="1:6" ht="34.200000000000003" thickBot="1" x14ac:dyDescent="0.45">
      <c r="A90" s="3" t="s">
        <v>89</v>
      </c>
      <c r="D90" s="4"/>
      <c r="E90" s="4" t="s">
        <v>329</v>
      </c>
      <c r="F90" s="4" t="s">
        <v>330</v>
      </c>
    </row>
    <row r="91" spans="1:6" ht="51" thickBot="1" x14ac:dyDescent="0.45">
      <c r="A91" s="3" t="s">
        <v>90</v>
      </c>
      <c r="D91" s="4"/>
      <c r="E91" s="4" t="s">
        <v>258</v>
      </c>
      <c r="F91" s="4" t="s">
        <v>331</v>
      </c>
    </row>
    <row r="92" spans="1:6" ht="67.8" thickBot="1" x14ac:dyDescent="0.45">
      <c r="A92" s="3" t="s">
        <v>91</v>
      </c>
      <c r="D92" s="4"/>
      <c r="E92" s="4" t="s">
        <v>332</v>
      </c>
      <c r="F92" s="4" t="s">
        <v>333</v>
      </c>
    </row>
    <row r="93" spans="1:6" ht="67.8" thickBot="1" x14ac:dyDescent="0.45">
      <c r="A93" s="3" t="s">
        <v>92</v>
      </c>
      <c r="D93" s="4"/>
      <c r="E93" s="4" t="s">
        <v>256</v>
      </c>
      <c r="F93" s="4" t="s">
        <v>334</v>
      </c>
    </row>
    <row r="94" spans="1:6" ht="17.399999999999999" thickBot="1" x14ac:dyDescent="0.45">
      <c r="A94" s="3" t="s">
        <v>93</v>
      </c>
      <c r="D94" s="4"/>
      <c r="E94" s="4"/>
      <c r="F94" s="4" t="s">
        <v>335</v>
      </c>
    </row>
    <row r="95" spans="1:6" ht="51" thickBot="1" x14ac:dyDescent="0.45">
      <c r="A95" s="3" t="s">
        <v>94</v>
      </c>
      <c r="D95" s="4"/>
      <c r="E95" s="4"/>
      <c r="F95" s="4" t="s">
        <v>336</v>
      </c>
    </row>
    <row r="96" spans="1:6" ht="17.399999999999999" thickBot="1" x14ac:dyDescent="0.45">
      <c r="A96" s="3" t="s">
        <v>95</v>
      </c>
      <c r="D96" s="4"/>
      <c r="E96" s="4"/>
      <c r="F96" s="4" t="s">
        <v>337</v>
      </c>
    </row>
    <row r="97" spans="1:6" ht="51" thickBot="1" x14ac:dyDescent="0.45">
      <c r="A97" s="3" t="s">
        <v>96</v>
      </c>
      <c r="D97" s="4"/>
      <c r="E97" s="4"/>
      <c r="F97" s="4" t="s">
        <v>338</v>
      </c>
    </row>
    <row r="98" spans="1:6" ht="34.200000000000003" thickBot="1" x14ac:dyDescent="0.45">
      <c r="A98" s="3" t="s">
        <v>97</v>
      </c>
      <c r="D98" s="4"/>
      <c r="E98" s="4"/>
      <c r="F98" s="4" t="s">
        <v>339</v>
      </c>
    </row>
    <row r="99" spans="1:6" ht="34.200000000000003" thickBot="1" x14ac:dyDescent="0.45">
      <c r="A99" s="3" t="s">
        <v>98</v>
      </c>
      <c r="D99" s="4"/>
      <c r="E99" s="4"/>
      <c r="F99" s="4" t="s">
        <v>340</v>
      </c>
    </row>
    <row r="100" spans="1:6" ht="34.200000000000003" thickBot="1" x14ac:dyDescent="0.45">
      <c r="A100" s="3" t="s">
        <v>99</v>
      </c>
      <c r="D100" s="4"/>
      <c r="E100" s="4"/>
      <c r="F100" s="4" t="s">
        <v>341</v>
      </c>
    </row>
    <row r="101" spans="1:6" ht="17.399999999999999" thickBot="1" x14ac:dyDescent="0.45">
      <c r="A101" s="3" t="s">
        <v>100</v>
      </c>
      <c r="D101" s="4"/>
      <c r="E101" s="4"/>
      <c r="F101" s="4" t="s">
        <v>342</v>
      </c>
    </row>
    <row r="102" spans="1:6" ht="17.399999999999999" thickBot="1" x14ac:dyDescent="0.45">
      <c r="A102" s="3" t="s">
        <v>101</v>
      </c>
      <c r="D102" s="4"/>
      <c r="E102" s="4"/>
      <c r="F102" s="4" t="s">
        <v>343</v>
      </c>
    </row>
    <row r="103" spans="1:6" ht="34.200000000000003" thickBot="1" x14ac:dyDescent="0.45">
      <c r="A103" s="3" t="s">
        <v>102</v>
      </c>
      <c r="D103" s="4"/>
      <c r="E103" s="4"/>
      <c r="F103" s="4" t="s">
        <v>344</v>
      </c>
    </row>
    <row r="104" spans="1:6" ht="34.200000000000003" thickBot="1" x14ac:dyDescent="0.45">
      <c r="A104" s="3" t="s">
        <v>103</v>
      </c>
      <c r="D104" s="4"/>
      <c r="E104" s="4"/>
      <c r="F104" s="4" t="s">
        <v>345</v>
      </c>
    </row>
    <row r="105" spans="1:6" ht="34.200000000000003" thickBot="1" x14ac:dyDescent="0.45">
      <c r="A105" s="3" t="s">
        <v>104</v>
      </c>
      <c r="D105" s="4"/>
      <c r="E105" s="4"/>
      <c r="F105" s="4" t="s">
        <v>346</v>
      </c>
    </row>
    <row r="106" spans="1:6" ht="51" thickBot="1" x14ac:dyDescent="0.45">
      <c r="A106" s="3" t="s">
        <v>105</v>
      </c>
      <c r="D106" s="4"/>
      <c r="E106" s="4"/>
      <c r="F106" s="4" t="s">
        <v>347</v>
      </c>
    </row>
    <row r="107" spans="1:6" ht="34.200000000000003" thickBot="1" x14ac:dyDescent="0.45">
      <c r="A107" s="3" t="s">
        <v>106</v>
      </c>
      <c r="D107" s="4"/>
      <c r="E107" s="4"/>
      <c r="F107" s="4" t="s">
        <v>348</v>
      </c>
    </row>
    <row r="108" spans="1:6" ht="17.399999999999999" thickBot="1" x14ac:dyDescent="0.45">
      <c r="A108" s="3" t="s">
        <v>107</v>
      </c>
      <c r="D108" s="4"/>
      <c r="E108" s="4"/>
      <c r="F108" s="4" t="s">
        <v>349</v>
      </c>
    </row>
    <row r="109" spans="1:6" ht="51" thickBot="1" x14ac:dyDescent="0.45">
      <c r="A109" s="3" t="s">
        <v>108</v>
      </c>
      <c r="D109" s="4"/>
      <c r="E109" s="4"/>
      <c r="F109" s="4" t="s">
        <v>350</v>
      </c>
    </row>
    <row r="110" spans="1:6" ht="51" thickBot="1" x14ac:dyDescent="0.45">
      <c r="A110" s="3" t="s">
        <v>109</v>
      </c>
      <c r="D110" s="4"/>
      <c r="E110" s="4"/>
      <c r="F110" s="4" t="s">
        <v>351</v>
      </c>
    </row>
    <row r="111" spans="1:6" ht="51" thickBot="1" x14ac:dyDescent="0.45">
      <c r="A111" s="3" t="s">
        <v>110</v>
      </c>
      <c r="D111" s="4"/>
      <c r="E111" s="4"/>
      <c r="F111" s="4" t="s">
        <v>352</v>
      </c>
    </row>
    <row r="112" spans="1:6" ht="51" thickBot="1" x14ac:dyDescent="0.45">
      <c r="A112" s="3" t="s">
        <v>111</v>
      </c>
      <c r="D112" s="4"/>
      <c r="E112" s="4"/>
      <c r="F112" s="4" t="s">
        <v>353</v>
      </c>
    </row>
    <row r="113" spans="1:6" ht="34.200000000000003" thickBot="1" x14ac:dyDescent="0.45">
      <c r="A113" s="3" t="s">
        <v>112</v>
      </c>
      <c r="D113" s="4"/>
      <c r="E113" s="4"/>
      <c r="F113" s="4" t="s">
        <v>354</v>
      </c>
    </row>
    <row r="114" spans="1:6" ht="34.200000000000003" thickBot="1" x14ac:dyDescent="0.45">
      <c r="A114" s="3" t="s">
        <v>113</v>
      </c>
      <c r="D114" s="4"/>
      <c r="E114" s="4"/>
      <c r="F114" s="4" t="s">
        <v>355</v>
      </c>
    </row>
    <row r="115" spans="1:6" ht="34.200000000000003" thickBot="1" x14ac:dyDescent="0.45">
      <c r="A115" s="3" t="s">
        <v>114</v>
      </c>
      <c r="D115" s="4"/>
      <c r="E115" s="4"/>
      <c r="F115" s="4" t="s">
        <v>356</v>
      </c>
    </row>
    <row r="116" spans="1:6" ht="34.200000000000003" thickBot="1" x14ac:dyDescent="0.45">
      <c r="A116" s="3" t="s">
        <v>115</v>
      </c>
      <c r="D116" s="4"/>
      <c r="E116" s="4"/>
      <c r="F116" s="4" t="s">
        <v>357</v>
      </c>
    </row>
    <row r="117" spans="1:6" ht="34.200000000000003" thickBot="1" x14ac:dyDescent="0.45">
      <c r="D117" s="4"/>
      <c r="E117" s="4"/>
      <c r="F117" s="4" t="s">
        <v>358</v>
      </c>
    </row>
    <row r="118" spans="1:6" ht="51" thickBot="1" x14ac:dyDescent="0.45">
      <c r="D118" s="4"/>
      <c r="E118" s="4"/>
      <c r="F118" s="4" t="s">
        <v>359</v>
      </c>
    </row>
    <row r="119" spans="1:6" ht="17.399999999999999" thickBot="1" x14ac:dyDescent="0.45">
      <c r="D119" s="4"/>
      <c r="E119" s="4"/>
      <c r="F119" s="4" t="s">
        <v>360</v>
      </c>
    </row>
    <row r="120" spans="1:6" ht="34.200000000000003" thickBot="1" x14ac:dyDescent="0.45">
      <c r="D120" s="4"/>
      <c r="E120" s="4"/>
      <c r="F120" s="4" t="s">
        <v>361</v>
      </c>
    </row>
    <row r="121" spans="1:6" ht="34.200000000000003" thickBot="1" x14ac:dyDescent="0.45">
      <c r="D121" s="4"/>
      <c r="E121" s="4"/>
      <c r="F121" s="4" t="s">
        <v>362</v>
      </c>
    </row>
    <row r="122" spans="1:6" ht="34.200000000000003" thickBot="1" x14ac:dyDescent="0.45">
      <c r="D122" s="4"/>
      <c r="E122" s="4"/>
      <c r="F122" s="4" t="s">
        <v>363</v>
      </c>
    </row>
    <row r="123" spans="1:6" ht="34.200000000000003" thickBot="1" x14ac:dyDescent="0.45">
      <c r="D123" s="4"/>
      <c r="E123" s="4"/>
      <c r="F123" s="4" t="s">
        <v>364</v>
      </c>
    </row>
    <row r="124" spans="1:6" ht="17.399999999999999" thickBot="1" x14ac:dyDescent="0.45">
      <c r="D124" s="4"/>
      <c r="E124" s="4"/>
      <c r="F124" s="4" t="s">
        <v>365</v>
      </c>
    </row>
    <row r="125" spans="1:6" ht="34.200000000000003" thickBot="1" x14ac:dyDescent="0.45">
      <c r="D125" s="4"/>
      <c r="E125" s="4"/>
      <c r="F125" s="4" t="s">
        <v>366</v>
      </c>
    </row>
    <row r="126" spans="1:6" ht="51" thickBot="1" x14ac:dyDescent="0.45">
      <c r="D126" s="4"/>
      <c r="E126" s="4"/>
      <c r="F126" s="4" t="s">
        <v>367</v>
      </c>
    </row>
    <row r="127" spans="1:6" ht="17.399999999999999" thickBot="1" x14ac:dyDescent="0.45">
      <c r="D127" s="4"/>
      <c r="E127" s="4"/>
      <c r="F127" s="4" t="s">
        <v>368</v>
      </c>
    </row>
    <row r="128" spans="1:6" ht="34.200000000000003" thickBot="1" x14ac:dyDescent="0.45">
      <c r="D128" s="4"/>
      <c r="E128" s="4"/>
      <c r="F128" s="4" t="s">
        <v>369</v>
      </c>
    </row>
    <row r="129" spans="4:6" ht="17.399999999999999" thickBot="1" x14ac:dyDescent="0.45">
      <c r="D129" s="4"/>
      <c r="E129" s="4"/>
      <c r="F129" s="5" t="s">
        <v>370</v>
      </c>
    </row>
    <row r="130" spans="4:6" ht="34.200000000000003" thickBot="1" x14ac:dyDescent="0.45">
      <c r="D130" s="4"/>
      <c r="E130" s="4"/>
      <c r="F130" s="4" t="s">
        <v>371</v>
      </c>
    </row>
    <row r="131" spans="4:6" ht="17.399999999999999" thickBot="1" x14ac:dyDescent="0.45">
      <c r="D131" s="4"/>
      <c r="E131" s="4"/>
      <c r="F131" s="4" t="s">
        <v>372</v>
      </c>
    </row>
    <row r="132" spans="4:6" ht="51" thickBot="1" x14ac:dyDescent="0.45">
      <c r="D132" s="4"/>
      <c r="E132" s="4"/>
      <c r="F132" s="4" t="s">
        <v>373</v>
      </c>
    </row>
    <row r="133" spans="4:6" ht="34.200000000000003" thickBot="1" x14ac:dyDescent="0.45">
      <c r="D133" s="4"/>
      <c r="E133" s="4"/>
      <c r="F133" s="4" t="s">
        <v>374</v>
      </c>
    </row>
    <row r="134" spans="4:6" ht="17.399999999999999" thickBot="1" x14ac:dyDescent="0.45">
      <c r="D134" s="4"/>
      <c r="E134" s="4"/>
      <c r="F134" s="4" t="s">
        <v>375</v>
      </c>
    </row>
    <row r="135" spans="4:6" ht="17.399999999999999" thickBot="1" x14ac:dyDescent="0.45">
      <c r="D135" s="4"/>
      <c r="E135" s="4"/>
      <c r="F135" s="4" t="s">
        <v>376</v>
      </c>
    </row>
    <row r="136" spans="4:6" ht="51" thickBot="1" x14ac:dyDescent="0.45">
      <c r="D136" s="4"/>
      <c r="E136" s="4"/>
      <c r="F136" s="4" t="s">
        <v>377</v>
      </c>
    </row>
    <row r="137" spans="4:6" ht="51" thickBot="1" x14ac:dyDescent="0.45">
      <c r="D137" s="4"/>
      <c r="E137" s="4"/>
      <c r="F137" s="4" t="s">
        <v>378</v>
      </c>
    </row>
    <row r="138" spans="4:6" ht="34.200000000000003" thickBot="1" x14ac:dyDescent="0.45">
      <c r="D138" s="4"/>
      <c r="E138" s="4"/>
      <c r="F138" s="4" t="s">
        <v>379</v>
      </c>
    </row>
    <row r="139" spans="4:6" ht="34.200000000000003" thickBot="1" x14ac:dyDescent="0.45">
      <c r="D139" s="4"/>
      <c r="E139" s="4"/>
      <c r="F139" s="4" t="s">
        <v>380</v>
      </c>
    </row>
    <row r="140" spans="4:6" ht="34.200000000000003" thickBot="1" x14ac:dyDescent="0.45">
      <c r="D140" s="4"/>
      <c r="E140" s="4"/>
      <c r="F140" s="4" t="s">
        <v>381</v>
      </c>
    </row>
    <row r="141" spans="4:6" ht="17.399999999999999" thickBot="1" x14ac:dyDescent="0.45">
      <c r="D141" s="4"/>
      <c r="E141" s="4"/>
      <c r="F141" s="4" t="s">
        <v>382</v>
      </c>
    </row>
    <row r="142" spans="4:6" ht="17.399999999999999" thickBot="1" x14ac:dyDescent="0.45">
      <c r="D142" s="4"/>
      <c r="E142" s="4"/>
      <c r="F142" s="4" t="s">
        <v>383</v>
      </c>
    </row>
    <row r="143" spans="4:6" ht="34.200000000000003" thickBot="1" x14ac:dyDescent="0.45">
      <c r="D143" s="4"/>
      <c r="E143" s="4"/>
      <c r="F143" s="4" t="s">
        <v>384</v>
      </c>
    </row>
    <row r="144" spans="4:6" ht="17.399999999999999" thickBot="1" x14ac:dyDescent="0.45">
      <c r="D144" s="4"/>
      <c r="E144" s="4"/>
      <c r="F144" s="4" t="s">
        <v>385</v>
      </c>
    </row>
    <row r="145" spans="4:6" ht="17.399999999999999" thickBot="1" x14ac:dyDescent="0.45">
      <c r="D145" s="4"/>
      <c r="E145" s="4"/>
      <c r="F145" s="4" t="s">
        <v>386</v>
      </c>
    </row>
    <row r="146" spans="4:6" ht="51" thickBot="1" x14ac:dyDescent="0.45">
      <c r="D146" s="4"/>
      <c r="E146" s="4"/>
      <c r="F146" s="4" t="s">
        <v>387</v>
      </c>
    </row>
    <row r="147" spans="4:6" ht="17.399999999999999" thickBot="1" x14ac:dyDescent="0.45">
      <c r="D147" s="4"/>
      <c r="E147" s="4"/>
      <c r="F147" s="4"/>
    </row>
    <row r="148" spans="4:6" ht="17.399999999999999" thickBot="1" x14ac:dyDescent="0.45">
      <c r="D148" s="4"/>
      <c r="E148" s="4"/>
      <c r="F148" s="4"/>
    </row>
    <row r="149" spans="4:6" ht="17.399999999999999" thickBot="1" x14ac:dyDescent="0.45">
      <c r="D149" s="4"/>
      <c r="E149" s="4"/>
      <c r="F149" s="4"/>
    </row>
    <row r="150" spans="4:6" ht="17.399999999999999" thickBot="1" x14ac:dyDescent="0.45">
      <c r="D150" s="4"/>
      <c r="E150" s="4"/>
      <c r="F150" s="4"/>
    </row>
    <row r="151" spans="4:6" ht="17.399999999999999" thickBot="1" x14ac:dyDescent="0.45">
      <c r="D151" s="4"/>
      <c r="E151" s="4"/>
      <c r="F151" s="4"/>
    </row>
    <row r="152" spans="4:6" ht="17.399999999999999" thickBot="1" x14ac:dyDescent="0.45">
      <c r="D152" s="4"/>
      <c r="E152" s="4"/>
      <c r="F152" s="4"/>
    </row>
    <row r="153" spans="4:6" ht="17.399999999999999" thickBot="1" x14ac:dyDescent="0.45">
      <c r="D153" s="4"/>
      <c r="E153" s="4"/>
      <c r="F153" s="4"/>
    </row>
    <row r="154" spans="4:6" ht="17.399999999999999" thickBot="1" x14ac:dyDescent="0.45">
      <c r="D154" s="4"/>
      <c r="E154" s="4"/>
      <c r="F154" s="4"/>
    </row>
    <row r="155" spans="4:6" ht="17.399999999999999" thickBot="1" x14ac:dyDescent="0.45">
      <c r="D155" s="4"/>
      <c r="E155" s="4"/>
      <c r="F155" s="4"/>
    </row>
    <row r="156" spans="4:6" ht="17.399999999999999" thickBot="1" x14ac:dyDescent="0.45">
      <c r="D156" s="4"/>
      <c r="E156" s="4"/>
      <c r="F156" s="4"/>
    </row>
    <row r="157" spans="4:6" ht="17.399999999999999" thickBot="1" x14ac:dyDescent="0.45">
      <c r="D157" s="4"/>
      <c r="E157" s="4"/>
      <c r="F157" s="4"/>
    </row>
    <row r="158" spans="4:6" ht="17.399999999999999" thickBot="1" x14ac:dyDescent="0.45">
      <c r="D158" s="4"/>
      <c r="E158" s="4"/>
      <c r="F158" s="4"/>
    </row>
    <row r="159" spans="4:6" ht="17.399999999999999" thickBot="1" x14ac:dyDescent="0.45">
      <c r="D159" s="4"/>
      <c r="E159" s="4"/>
      <c r="F159" s="4"/>
    </row>
    <row r="160" spans="4:6" ht="17.399999999999999" thickBot="1" x14ac:dyDescent="0.45">
      <c r="D160" s="4"/>
      <c r="E160" s="4"/>
      <c r="F160" s="4"/>
    </row>
    <row r="161" spans="4:6" ht="17.399999999999999" thickBot="1" x14ac:dyDescent="0.45">
      <c r="D161" s="4"/>
      <c r="E161" s="4"/>
      <c r="F161" s="4"/>
    </row>
    <row r="162" spans="4:6" ht="17.399999999999999" thickBot="1" x14ac:dyDescent="0.45">
      <c r="D162" s="4"/>
      <c r="E162" s="4"/>
      <c r="F162" s="4"/>
    </row>
    <row r="163" spans="4:6" ht="17.399999999999999" thickBot="1" x14ac:dyDescent="0.45">
      <c r="D163" s="4"/>
      <c r="E163" s="4"/>
      <c r="F163" s="4"/>
    </row>
    <row r="164" spans="4:6" ht="17.399999999999999" thickBot="1" x14ac:dyDescent="0.45">
      <c r="D164" s="4"/>
      <c r="E164" s="4"/>
      <c r="F164" s="4"/>
    </row>
    <row r="165" spans="4:6" ht="17.399999999999999" thickBot="1" x14ac:dyDescent="0.45">
      <c r="D165" s="4"/>
      <c r="E165" s="4"/>
      <c r="F165" s="4"/>
    </row>
    <row r="166" spans="4:6" ht="17.399999999999999" thickBot="1" x14ac:dyDescent="0.45">
      <c r="D166" s="4"/>
      <c r="E166" s="4"/>
      <c r="F166" s="4"/>
    </row>
    <row r="167" spans="4:6" ht="17.399999999999999" thickBot="1" x14ac:dyDescent="0.45">
      <c r="D167" s="4"/>
      <c r="E167" s="4"/>
      <c r="F167" s="4"/>
    </row>
    <row r="168" spans="4:6" ht="17.399999999999999" thickBot="1" x14ac:dyDescent="0.45">
      <c r="D168" s="4"/>
      <c r="E168" s="4"/>
      <c r="F168" s="4"/>
    </row>
    <row r="169" spans="4:6" ht="17.399999999999999" thickBot="1" x14ac:dyDescent="0.45">
      <c r="D169" s="4"/>
      <c r="E169" s="4"/>
      <c r="F169" s="4"/>
    </row>
    <row r="170" spans="4:6" ht="17.399999999999999" thickBot="1" x14ac:dyDescent="0.45">
      <c r="D170" s="4"/>
      <c r="E170" s="4"/>
      <c r="F170" s="4"/>
    </row>
    <row r="171" spans="4:6" ht="17.399999999999999" thickBot="1" x14ac:dyDescent="0.45">
      <c r="D171" s="4"/>
      <c r="E171" s="4"/>
      <c r="F171" s="4"/>
    </row>
    <row r="172" spans="4:6" ht="17.399999999999999" thickBot="1" x14ac:dyDescent="0.45">
      <c r="D172" s="4"/>
      <c r="E172" s="4"/>
      <c r="F172" s="4"/>
    </row>
    <row r="173" spans="4:6" ht="17.399999999999999" thickBot="1" x14ac:dyDescent="0.45">
      <c r="D173" s="4"/>
      <c r="E173" s="4"/>
      <c r="F173" s="4"/>
    </row>
    <row r="174" spans="4:6" ht="17.399999999999999" thickBot="1" x14ac:dyDescent="0.45">
      <c r="D174" s="4"/>
      <c r="E174" s="4"/>
      <c r="F174" s="4"/>
    </row>
    <row r="175" spans="4:6" ht="17.399999999999999" thickBot="1" x14ac:dyDescent="0.45">
      <c r="D175" s="4"/>
      <c r="E175" s="4"/>
      <c r="F175" s="4"/>
    </row>
    <row r="176" spans="4:6" ht="17.399999999999999" thickBot="1" x14ac:dyDescent="0.45">
      <c r="D176" s="4"/>
      <c r="E176" s="4"/>
      <c r="F176" s="4"/>
    </row>
    <row r="177" spans="4:6" ht="17.399999999999999" thickBot="1" x14ac:dyDescent="0.45">
      <c r="D177" s="4"/>
      <c r="E177" s="4"/>
      <c r="F177" s="4"/>
    </row>
    <row r="178" spans="4:6" ht="17.399999999999999" thickBot="1" x14ac:dyDescent="0.45">
      <c r="D178" s="4"/>
      <c r="E178" s="4"/>
      <c r="F178" s="4"/>
    </row>
    <row r="179" spans="4:6" ht="17.399999999999999" thickBot="1" x14ac:dyDescent="0.45">
      <c r="D179" s="4"/>
      <c r="E179" s="4"/>
      <c r="F179" s="4"/>
    </row>
    <row r="180" spans="4:6" ht="17.399999999999999" thickBot="1" x14ac:dyDescent="0.45">
      <c r="D180" s="4"/>
      <c r="E180" s="4"/>
      <c r="F180" s="4"/>
    </row>
    <row r="181" spans="4:6" ht="17.399999999999999" thickBot="1" x14ac:dyDescent="0.45">
      <c r="D181" s="4"/>
      <c r="E181" s="4"/>
      <c r="F181" s="4"/>
    </row>
    <row r="182" spans="4:6" ht="17.399999999999999" thickBot="1" x14ac:dyDescent="0.45">
      <c r="D182" s="4"/>
      <c r="E182" s="4"/>
      <c r="F182" s="4"/>
    </row>
    <row r="183" spans="4:6" ht="17.399999999999999" thickBot="1" x14ac:dyDescent="0.45">
      <c r="D183" s="4"/>
      <c r="E183" s="4"/>
      <c r="F183" s="4"/>
    </row>
    <row r="184" spans="4:6" ht="17.399999999999999" thickBot="1" x14ac:dyDescent="0.45">
      <c r="D184" s="4"/>
      <c r="E184" s="4"/>
      <c r="F184" s="4"/>
    </row>
    <row r="185" spans="4:6" ht="17.399999999999999" thickBot="1" x14ac:dyDescent="0.45">
      <c r="D185" s="4"/>
      <c r="E185" s="4"/>
      <c r="F185" s="4"/>
    </row>
    <row r="186" spans="4:6" ht="17.399999999999999" thickBot="1" x14ac:dyDescent="0.45">
      <c r="D186" s="4"/>
      <c r="E186" s="4"/>
      <c r="F186" s="4"/>
    </row>
    <row r="187" spans="4:6" ht="17.399999999999999" thickBot="1" x14ac:dyDescent="0.45">
      <c r="D187" s="4"/>
      <c r="E187" s="4"/>
      <c r="F187" s="4"/>
    </row>
    <row r="188" spans="4:6" ht="17.399999999999999" thickBot="1" x14ac:dyDescent="0.45">
      <c r="D188" s="4"/>
      <c r="E188" s="4"/>
      <c r="F188" s="4"/>
    </row>
    <row r="189" spans="4:6" ht="17.399999999999999" thickBot="1" x14ac:dyDescent="0.45">
      <c r="D189" s="4"/>
      <c r="E189" s="4"/>
      <c r="F189" s="4"/>
    </row>
    <row r="190" spans="4:6" ht="17.399999999999999" thickBot="1" x14ac:dyDescent="0.45">
      <c r="D190" s="4"/>
      <c r="E190" s="4"/>
      <c r="F190" s="4"/>
    </row>
    <row r="191" spans="4:6" ht="17.399999999999999" thickBot="1" x14ac:dyDescent="0.45">
      <c r="D191" s="4"/>
      <c r="E191" s="4"/>
      <c r="F191" s="4"/>
    </row>
    <row r="192" spans="4:6" ht="17.399999999999999" thickBot="1" x14ac:dyDescent="0.45">
      <c r="D192" s="4"/>
      <c r="E192" s="4"/>
      <c r="F192" s="4"/>
    </row>
    <row r="193" spans="4:6" ht="17.399999999999999" thickBot="1" x14ac:dyDescent="0.45">
      <c r="D193" s="4"/>
      <c r="E193" s="4"/>
      <c r="F193" s="4"/>
    </row>
    <row r="194" spans="4:6" ht="17.399999999999999" thickBot="1" x14ac:dyDescent="0.45">
      <c r="D194" s="4"/>
      <c r="E194" s="4"/>
      <c r="F194" s="4"/>
    </row>
    <row r="195" spans="4:6" ht="17.399999999999999" thickBot="1" x14ac:dyDescent="0.45">
      <c r="D195" s="4"/>
      <c r="E195" s="4"/>
      <c r="F195" s="4"/>
    </row>
    <row r="196" spans="4:6" ht="17.399999999999999" thickBot="1" x14ac:dyDescent="0.45">
      <c r="D196" s="4"/>
      <c r="E196" s="4"/>
      <c r="F196" s="4"/>
    </row>
    <row r="197" spans="4:6" ht="17.399999999999999" thickBot="1" x14ac:dyDescent="0.45">
      <c r="D197" s="4"/>
      <c r="E197" s="4"/>
      <c r="F197" s="4"/>
    </row>
    <row r="198" spans="4:6" ht="17.399999999999999" thickBot="1" x14ac:dyDescent="0.45">
      <c r="D198" s="4"/>
      <c r="E198" s="4"/>
      <c r="F198" s="4"/>
    </row>
    <row r="199" spans="4:6" ht="17.399999999999999" thickBot="1" x14ac:dyDescent="0.45">
      <c r="D199" s="4"/>
      <c r="E199" s="4"/>
      <c r="F199" s="4"/>
    </row>
    <row r="200" spans="4:6" ht="17.399999999999999" thickBot="1" x14ac:dyDescent="0.45">
      <c r="D200" s="4"/>
      <c r="E200" s="4"/>
      <c r="F200" s="4"/>
    </row>
    <row r="201" spans="4:6" ht="17.399999999999999" thickBot="1" x14ac:dyDescent="0.45">
      <c r="D201" s="4"/>
      <c r="E201" s="4"/>
      <c r="F201" s="4"/>
    </row>
    <row r="202" spans="4:6" ht="17.399999999999999" thickBot="1" x14ac:dyDescent="0.45">
      <c r="D202" s="4"/>
      <c r="E202" s="4"/>
      <c r="F202" s="4"/>
    </row>
    <row r="203" spans="4:6" ht="17.399999999999999" thickBot="1" x14ac:dyDescent="0.45">
      <c r="D203" s="4"/>
      <c r="E203" s="4"/>
      <c r="F203" s="4"/>
    </row>
    <row r="204" spans="4:6" ht="17.399999999999999" thickBot="1" x14ac:dyDescent="0.45">
      <c r="D204" s="4"/>
      <c r="E204" s="4"/>
      <c r="F204" s="4"/>
    </row>
    <row r="205" spans="4:6" ht="17.399999999999999" thickBot="1" x14ac:dyDescent="0.45">
      <c r="D205" s="4"/>
      <c r="E205" s="4"/>
      <c r="F205" s="4"/>
    </row>
    <row r="206" spans="4:6" ht="17.399999999999999" thickBot="1" x14ac:dyDescent="0.45">
      <c r="D206" s="4"/>
      <c r="E206" s="4"/>
      <c r="F206" s="4"/>
    </row>
    <row r="207" spans="4:6" ht="17.399999999999999" thickBot="1" x14ac:dyDescent="0.45">
      <c r="D207" s="4"/>
      <c r="E207" s="4"/>
      <c r="F207" s="4"/>
    </row>
    <row r="208" spans="4:6" ht="17.399999999999999" thickBot="1" x14ac:dyDescent="0.45">
      <c r="D208" s="4"/>
      <c r="E208" s="4"/>
      <c r="F208" s="4"/>
    </row>
    <row r="209" spans="4:6" ht="17.399999999999999" thickBot="1" x14ac:dyDescent="0.45">
      <c r="D209" s="4"/>
      <c r="E209" s="4"/>
      <c r="F209" s="4"/>
    </row>
    <row r="210" spans="4:6" ht="17.399999999999999" thickBot="1" x14ac:dyDescent="0.45">
      <c r="D210" s="4"/>
      <c r="E210" s="4"/>
      <c r="F210" s="4"/>
    </row>
    <row r="211" spans="4:6" ht="17.399999999999999" thickBot="1" x14ac:dyDescent="0.45">
      <c r="D211" s="4"/>
      <c r="E211" s="4"/>
      <c r="F211" s="4"/>
    </row>
    <row r="212" spans="4:6" ht="17.399999999999999" thickBot="1" x14ac:dyDescent="0.45">
      <c r="D212" s="4"/>
      <c r="E212" s="4"/>
      <c r="F212" s="4"/>
    </row>
    <row r="213" spans="4:6" ht="17.399999999999999" thickBot="1" x14ac:dyDescent="0.45">
      <c r="D213" s="4"/>
      <c r="E213" s="4"/>
      <c r="F213" s="4"/>
    </row>
    <row r="214" spans="4:6" ht="17.399999999999999" thickBot="1" x14ac:dyDescent="0.45">
      <c r="D214" s="4"/>
      <c r="E214" s="4"/>
      <c r="F214" s="4"/>
    </row>
    <row r="215" spans="4:6" ht="17.399999999999999" thickBot="1" x14ac:dyDescent="0.45">
      <c r="D215" s="4"/>
      <c r="E215" s="4"/>
      <c r="F215" s="4"/>
    </row>
    <row r="216" spans="4:6" ht="17.399999999999999" thickBot="1" x14ac:dyDescent="0.45">
      <c r="D216" s="4"/>
      <c r="E216" s="4"/>
      <c r="F216" s="4"/>
    </row>
    <row r="217" spans="4:6" ht="17.399999999999999" thickBot="1" x14ac:dyDescent="0.45">
      <c r="D217" s="4"/>
      <c r="E217" s="4"/>
      <c r="F217" s="4"/>
    </row>
    <row r="218" spans="4:6" ht="17.399999999999999" thickBot="1" x14ac:dyDescent="0.45">
      <c r="D218" s="4"/>
      <c r="E218" s="4"/>
      <c r="F218" s="4"/>
    </row>
    <row r="219" spans="4:6" ht="17.399999999999999" thickBot="1" x14ac:dyDescent="0.45">
      <c r="D219" s="4"/>
      <c r="E219" s="4"/>
      <c r="F219" s="4"/>
    </row>
    <row r="220" spans="4:6" ht="17.399999999999999" thickBot="1" x14ac:dyDescent="0.45">
      <c r="D220" s="4"/>
      <c r="E220" s="4"/>
      <c r="F220" s="4"/>
    </row>
    <row r="221" spans="4:6" ht="17.399999999999999" thickBot="1" x14ac:dyDescent="0.45">
      <c r="D221" s="4"/>
      <c r="E221" s="4"/>
      <c r="F221" s="4"/>
    </row>
    <row r="222" spans="4:6" ht="17.399999999999999" thickBot="1" x14ac:dyDescent="0.45">
      <c r="D222" s="4"/>
      <c r="E222" s="4"/>
      <c r="F222" s="4"/>
    </row>
    <row r="223" spans="4:6" ht="17.399999999999999" thickBot="1" x14ac:dyDescent="0.45">
      <c r="D223" s="4"/>
      <c r="E223" s="4"/>
      <c r="F223" s="4"/>
    </row>
    <row r="224" spans="4:6" ht="17.399999999999999" thickBot="1" x14ac:dyDescent="0.45">
      <c r="D224" s="4"/>
      <c r="E224" s="4"/>
      <c r="F224" s="4"/>
    </row>
    <row r="225" spans="4:6" ht="17.399999999999999" thickBot="1" x14ac:dyDescent="0.45">
      <c r="D225" s="4"/>
      <c r="E225" s="4"/>
      <c r="F225" s="4"/>
    </row>
    <row r="226" spans="4:6" ht="17.399999999999999" thickBot="1" x14ac:dyDescent="0.45">
      <c r="D226" s="4"/>
      <c r="E226" s="4"/>
      <c r="F226" s="4"/>
    </row>
    <row r="227" spans="4:6" ht="17.399999999999999" thickBot="1" x14ac:dyDescent="0.45">
      <c r="D227" s="4"/>
      <c r="E227" s="4"/>
      <c r="F227" s="4"/>
    </row>
    <row r="228" spans="4:6" ht="17.399999999999999" thickBot="1" x14ac:dyDescent="0.45">
      <c r="D228" s="4"/>
      <c r="E228" s="4"/>
      <c r="F228" s="4"/>
    </row>
    <row r="229" spans="4:6" ht="17.399999999999999" thickBot="1" x14ac:dyDescent="0.45">
      <c r="D229" s="4"/>
      <c r="E229" s="4"/>
      <c r="F229" s="4"/>
    </row>
    <row r="230" spans="4:6" ht="17.399999999999999" thickBot="1" x14ac:dyDescent="0.45">
      <c r="D230" s="4"/>
      <c r="E230" s="4"/>
      <c r="F230" s="4"/>
    </row>
    <row r="231" spans="4:6" ht="17.399999999999999" thickBot="1" x14ac:dyDescent="0.45">
      <c r="D231" s="4"/>
      <c r="E231" s="4"/>
      <c r="F231" s="4"/>
    </row>
    <row r="232" spans="4:6" ht="17.399999999999999" thickBot="1" x14ac:dyDescent="0.45">
      <c r="D232" s="4"/>
      <c r="E232" s="4"/>
      <c r="F232" s="4"/>
    </row>
    <row r="233" spans="4:6" ht="17.399999999999999" thickBot="1" x14ac:dyDescent="0.45">
      <c r="D233" s="4"/>
      <c r="E233" s="4"/>
      <c r="F233" s="4"/>
    </row>
    <row r="234" spans="4:6" ht="17.399999999999999" thickBot="1" x14ac:dyDescent="0.45">
      <c r="D234" s="4"/>
      <c r="E234" s="4"/>
      <c r="F234" s="4"/>
    </row>
    <row r="235" spans="4:6" ht="17.399999999999999" thickBot="1" x14ac:dyDescent="0.45">
      <c r="D235" s="4"/>
      <c r="E235" s="4"/>
      <c r="F235" s="4"/>
    </row>
    <row r="236" spans="4:6" ht="17.399999999999999" thickBot="1" x14ac:dyDescent="0.45">
      <c r="D236" s="4"/>
      <c r="E236" s="4"/>
      <c r="F236" s="4"/>
    </row>
    <row r="237" spans="4:6" ht="17.399999999999999" thickBot="1" x14ac:dyDescent="0.45">
      <c r="D237" s="4"/>
      <c r="E237" s="4"/>
      <c r="F237" s="4"/>
    </row>
    <row r="238" spans="4:6" ht="17.399999999999999" thickBot="1" x14ac:dyDescent="0.45">
      <c r="D238" s="4"/>
      <c r="E238" s="4"/>
      <c r="F238" s="4"/>
    </row>
    <row r="239" spans="4:6" ht="17.399999999999999" thickBot="1" x14ac:dyDescent="0.45">
      <c r="D239" s="4"/>
      <c r="E239" s="4"/>
      <c r="F239" s="4"/>
    </row>
    <row r="240" spans="4:6" ht="17.399999999999999" thickBot="1" x14ac:dyDescent="0.45">
      <c r="D240" s="4"/>
      <c r="E240" s="4"/>
      <c r="F240" s="4"/>
    </row>
    <row r="241" spans="4:6" ht="17.399999999999999" thickBot="1" x14ac:dyDescent="0.45">
      <c r="D241" s="4"/>
      <c r="E241" s="4"/>
      <c r="F241" s="4"/>
    </row>
    <row r="242" spans="4:6" ht="17.399999999999999" thickBot="1" x14ac:dyDescent="0.45">
      <c r="D242" s="4"/>
      <c r="E242" s="4"/>
      <c r="F242" s="4"/>
    </row>
    <row r="243" spans="4:6" ht="17.399999999999999" thickBot="1" x14ac:dyDescent="0.45">
      <c r="D243" s="4"/>
      <c r="E243" s="4"/>
      <c r="F243" s="4"/>
    </row>
    <row r="244" spans="4:6" ht="17.399999999999999" thickBot="1" x14ac:dyDescent="0.45">
      <c r="D244" s="4"/>
      <c r="E244" s="4"/>
      <c r="F244" s="4"/>
    </row>
    <row r="245" spans="4:6" ht="17.399999999999999" thickBot="1" x14ac:dyDescent="0.45">
      <c r="D245" s="4"/>
      <c r="E245" s="4"/>
      <c r="F245" s="4"/>
    </row>
    <row r="246" spans="4:6" ht="17.399999999999999" thickBot="1" x14ac:dyDescent="0.45">
      <c r="D246" s="4"/>
      <c r="E246" s="4"/>
      <c r="F246" s="4"/>
    </row>
    <row r="247" spans="4:6" ht="17.399999999999999" thickBot="1" x14ac:dyDescent="0.45">
      <c r="D247" s="4"/>
      <c r="E247" s="4"/>
      <c r="F247" s="4"/>
    </row>
    <row r="248" spans="4:6" ht="17.399999999999999" thickBot="1" x14ac:dyDescent="0.45">
      <c r="D248" s="4"/>
      <c r="E248" s="4"/>
      <c r="F248" s="4"/>
    </row>
    <row r="249" spans="4:6" ht="17.399999999999999" thickBot="1" x14ac:dyDescent="0.45">
      <c r="D249" s="4"/>
      <c r="E249" s="4"/>
      <c r="F249" s="4"/>
    </row>
    <row r="250" spans="4:6" ht="17.399999999999999" thickBot="1" x14ac:dyDescent="0.45">
      <c r="D250" s="4"/>
      <c r="E250" s="4"/>
      <c r="F250" s="4"/>
    </row>
    <row r="251" spans="4:6" ht="17.399999999999999" thickBot="1" x14ac:dyDescent="0.45">
      <c r="D251" s="4"/>
      <c r="E251" s="4"/>
      <c r="F251" s="4"/>
    </row>
    <row r="252" spans="4:6" ht="17.399999999999999" thickBot="1" x14ac:dyDescent="0.45">
      <c r="D252" s="4"/>
      <c r="E252" s="4"/>
      <c r="F252" s="4"/>
    </row>
    <row r="253" spans="4:6" ht="17.399999999999999" thickBot="1" x14ac:dyDescent="0.45">
      <c r="D253" s="4"/>
      <c r="E253" s="4"/>
      <c r="F253" s="4"/>
    </row>
    <row r="254" spans="4:6" ht="17.399999999999999" thickBot="1" x14ac:dyDescent="0.45">
      <c r="D254" s="4"/>
      <c r="E254" s="4"/>
      <c r="F254" s="4"/>
    </row>
    <row r="255" spans="4:6" ht="17.399999999999999" thickBot="1" x14ac:dyDescent="0.45">
      <c r="D255" s="4"/>
      <c r="E255" s="4"/>
      <c r="F255" s="4"/>
    </row>
    <row r="256" spans="4:6" ht="17.399999999999999" thickBot="1" x14ac:dyDescent="0.45">
      <c r="D256" s="4"/>
      <c r="E256" s="4"/>
      <c r="F256" s="4"/>
    </row>
    <row r="257" spans="4:6" ht="17.399999999999999" thickBot="1" x14ac:dyDescent="0.45">
      <c r="D257" s="4"/>
      <c r="E257" s="4"/>
      <c r="F257" s="4"/>
    </row>
    <row r="258" spans="4:6" ht="17.399999999999999" thickBot="1" x14ac:dyDescent="0.45">
      <c r="D258" s="4"/>
      <c r="E258" s="4"/>
      <c r="F258" s="4"/>
    </row>
    <row r="259" spans="4:6" ht="17.399999999999999" thickBot="1" x14ac:dyDescent="0.45">
      <c r="D259" s="4"/>
      <c r="E259" s="4"/>
      <c r="F259" s="4"/>
    </row>
    <row r="260" spans="4:6" ht="17.399999999999999" thickBot="1" x14ac:dyDescent="0.45">
      <c r="D260" s="4"/>
      <c r="E260" s="4"/>
      <c r="F260" s="4"/>
    </row>
    <row r="261" spans="4:6" ht="17.399999999999999" thickBot="1" x14ac:dyDescent="0.45">
      <c r="D261" s="4"/>
      <c r="E261" s="4"/>
      <c r="F261" s="4"/>
    </row>
    <row r="262" spans="4:6" ht="17.399999999999999" thickBot="1" x14ac:dyDescent="0.45">
      <c r="D262" s="4"/>
      <c r="E262" s="4"/>
      <c r="F262" s="4"/>
    </row>
    <row r="263" spans="4:6" ht="17.399999999999999" thickBot="1" x14ac:dyDescent="0.45">
      <c r="D263" s="4"/>
      <c r="E263" s="4"/>
      <c r="F263" s="4"/>
    </row>
    <row r="264" spans="4:6" ht="17.399999999999999" thickBot="1" x14ac:dyDescent="0.45">
      <c r="D264" s="4"/>
      <c r="E264" s="4"/>
      <c r="F264" s="4"/>
    </row>
    <row r="265" spans="4:6" ht="17.399999999999999" thickBot="1" x14ac:dyDescent="0.45">
      <c r="D265" s="4"/>
      <c r="E265" s="4"/>
      <c r="F265" s="4"/>
    </row>
    <row r="266" spans="4:6" ht="17.399999999999999" thickBot="1" x14ac:dyDescent="0.45">
      <c r="D266" s="4"/>
      <c r="E266" s="4"/>
      <c r="F266" s="4"/>
    </row>
    <row r="267" spans="4:6" ht="17.399999999999999" thickBot="1" x14ac:dyDescent="0.45">
      <c r="D267" s="4"/>
      <c r="E267" s="4"/>
      <c r="F267" s="4"/>
    </row>
    <row r="268" spans="4:6" ht="17.399999999999999" thickBot="1" x14ac:dyDescent="0.45">
      <c r="D268" s="4"/>
      <c r="E268" s="4"/>
      <c r="F268" s="4"/>
    </row>
    <row r="269" spans="4:6" ht="17.399999999999999" thickBot="1" x14ac:dyDescent="0.45">
      <c r="D269" s="4"/>
      <c r="E269" s="4"/>
      <c r="F269" s="4"/>
    </row>
    <row r="270" spans="4:6" ht="17.399999999999999" thickBot="1" x14ac:dyDescent="0.45">
      <c r="D270" s="4"/>
      <c r="E270" s="4"/>
      <c r="F270" s="4"/>
    </row>
    <row r="271" spans="4:6" ht="17.399999999999999" thickBot="1" x14ac:dyDescent="0.45">
      <c r="D271" s="4"/>
      <c r="E271" s="4"/>
      <c r="F271" s="4"/>
    </row>
    <row r="272" spans="4:6" ht="17.399999999999999" thickBot="1" x14ac:dyDescent="0.45">
      <c r="D272" s="4"/>
      <c r="E272" s="4"/>
      <c r="F272" s="4"/>
    </row>
    <row r="273" spans="4:6" ht="17.399999999999999" thickBot="1" x14ac:dyDescent="0.45">
      <c r="D273" s="4"/>
      <c r="E273" s="4"/>
      <c r="F273" s="4"/>
    </row>
    <row r="274" spans="4:6" ht="17.399999999999999" thickBot="1" x14ac:dyDescent="0.45">
      <c r="D274" s="4"/>
      <c r="E274" s="4"/>
      <c r="F274" s="4"/>
    </row>
    <row r="275" spans="4:6" ht="17.399999999999999" thickBot="1" x14ac:dyDescent="0.45">
      <c r="D275" s="4"/>
      <c r="E275" s="4"/>
      <c r="F275" s="4"/>
    </row>
    <row r="276" spans="4:6" ht="17.399999999999999" thickBot="1" x14ac:dyDescent="0.45">
      <c r="D276" s="4"/>
      <c r="E276" s="4"/>
      <c r="F276" s="4"/>
    </row>
    <row r="277" spans="4:6" ht="17.399999999999999" thickBot="1" x14ac:dyDescent="0.45">
      <c r="D277" s="4"/>
      <c r="E277" s="4"/>
      <c r="F277" s="4"/>
    </row>
    <row r="278" spans="4:6" ht="17.399999999999999" thickBot="1" x14ac:dyDescent="0.45">
      <c r="D278" s="4"/>
      <c r="E278" s="4"/>
      <c r="F278" s="4"/>
    </row>
    <row r="279" spans="4:6" ht="17.399999999999999" thickBot="1" x14ac:dyDescent="0.45">
      <c r="D279" s="4"/>
      <c r="E279" s="4"/>
      <c r="F279" s="4"/>
    </row>
    <row r="280" spans="4:6" ht="17.399999999999999" thickBot="1" x14ac:dyDescent="0.45">
      <c r="D280" s="4"/>
      <c r="E280" s="4"/>
      <c r="F280" s="4"/>
    </row>
    <row r="281" spans="4:6" ht="17.399999999999999" thickBot="1" x14ac:dyDescent="0.45">
      <c r="D281" s="4"/>
      <c r="E281" s="4"/>
      <c r="F281" s="4"/>
    </row>
    <row r="282" spans="4:6" ht="17.399999999999999" thickBot="1" x14ac:dyDescent="0.45">
      <c r="D282" s="4"/>
      <c r="E282" s="4"/>
      <c r="F282" s="4"/>
    </row>
    <row r="283" spans="4:6" ht="17.399999999999999" thickBot="1" x14ac:dyDescent="0.45">
      <c r="D283" s="4"/>
      <c r="E283" s="4"/>
      <c r="F283" s="4"/>
    </row>
    <row r="284" spans="4:6" ht="17.399999999999999" thickBot="1" x14ac:dyDescent="0.45">
      <c r="D284" s="4"/>
      <c r="E284" s="4"/>
      <c r="F284" s="4"/>
    </row>
    <row r="285" spans="4:6" ht="17.399999999999999" thickBot="1" x14ac:dyDescent="0.45">
      <c r="D285" s="4"/>
      <c r="E285" s="4"/>
      <c r="F285" s="4"/>
    </row>
    <row r="286" spans="4:6" ht="17.399999999999999" thickBot="1" x14ac:dyDescent="0.45">
      <c r="D286" s="4"/>
      <c r="E286" s="4"/>
      <c r="F286" s="4"/>
    </row>
    <row r="287" spans="4:6" ht="17.399999999999999" thickBot="1" x14ac:dyDescent="0.45">
      <c r="D287" s="4"/>
      <c r="E287" s="4"/>
      <c r="F287" s="4"/>
    </row>
    <row r="288" spans="4:6" ht="17.399999999999999" thickBot="1" x14ac:dyDescent="0.45">
      <c r="D288" s="4"/>
      <c r="E288" s="4"/>
      <c r="F288" s="4"/>
    </row>
    <row r="289" spans="4:6" ht="17.399999999999999" thickBot="1" x14ac:dyDescent="0.45">
      <c r="D289" s="4"/>
      <c r="E289" s="4"/>
      <c r="F289" s="4"/>
    </row>
    <row r="290" spans="4:6" ht="17.399999999999999" thickBot="1" x14ac:dyDescent="0.45">
      <c r="D290" s="4"/>
      <c r="E290" s="4"/>
      <c r="F290" s="4"/>
    </row>
    <row r="291" spans="4:6" ht="17.399999999999999" thickBot="1" x14ac:dyDescent="0.45">
      <c r="D291" s="4"/>
      <c r="E291" s="4"/>
      <c r="F291" s="4"/>
    </row>
    <row r="292" spans="4:6" ht="17.399999999999999" thickBot="1" x14ac:dyDescent="0.45">
      <c r="D292" s="4"/>
      <c r="E292" s="4"/>
      <c r="F292" s="4"/>
    </row>
    <row r="293" spans="4:6" ht="17.399999999999999" thickBot="1" x14ac:dyDescent="0.45">
      <c r="D293" s="4"/>
      <c r="E293" s="4"/>
      <c r="F293" s="4"/>
    </row>
    <row r="294" spans="4:6" ht="17.399999999999999" thickBot="1" x14ac:dyDescent="0.45">
      <c r="D294" s="4"/>
      <c r="E294" s="4"/>
      <c r="F294" s="4"/>
    </row>
    <row r="295" spans="4:6" ht="17.399999999999999" thickBot="1" x14ac:dyDescent="0.45">
      <c r="D295" s="4"/>
      <c r="E295" s="4"/>
      <c r="F295" s="4"/>
    </row>
    <row r="296" spans="4:6" ht="17.399999999999999" thickBot="1" x14ac:dyDescent="0.45">
      <c r="D296" s="4"/>
      <c r="E296" s="4"/>
      <c r="F296" s="4"/>
    </row>
    <row r="297" spans="4:6" ht="17.399999999999999" thickBot="1" x14ac:dyDescent="0.45">
      <c r="D297" s="4"/>
      <c r="E297" s="4"/>
      <c r="F297" s="4"/>
    </row>
    <row r="298" spans="4:6" ht="17.399999999999999" thickBot="1" x14ac:dyDescent="0.45">
      <c r="D298" s="4"/>
      <c r="E298" s="4"/>
      <c r="F298" s="4"/>
    </row>
    <row r="299" spans="4:6" ht="17.399999999999999" thickBot="1" x14ac:dyDescent="0.45">
      <c r="D299" s="4"/>
      <c r="E299" s="4"/>
      <c r="F299" s="4"/>
    </row>
    <row r="300" spans="4:6" ht="17.399999999999999" thickBot="1" x14ac:dyDescent="0.45">
      <c r="D300" s="4"/>
      <c r="E300" s="4"/>
      <c r="F300" s="4"/>
    </row>
    <row r="301" spans="4:6" ht="17.399999999999999" thickBot="1" x14ac:dyDescent="0.45">
      <c r="D301" s="4"/>
      <c r="E301" s="4"/>
      <c r="F301" s="4"/>
    </row>
    <row r="302" spans="4:6" ht="17.399999999999999" thickBot="1" x14ac:dyDescent="0.45">
      <c r="D302" s="4"/>
      <c r="E302" s="4"/>
      <c r="F302" s="4"/>
    </row>
    <row r="303" spans="4:6" ht="17.399999999999999" thickBot="1" x14ac:dyDescent="0.45">
      <c r="D303" s="4"/>
      <c r="E303" s="4"/>
      <c r="F303" s="4"/>
    </row>
    <row r="304" spans="4:6" ht="17.399999999999999" thickBot="1" x14ac:dyDescent="0.45">
      <c r="D304" s="4"/>
      <c r="E304" s="4"/>
      <c r="F304" s="4"/>
    </row>
    <row r="305" spans="4:6" ht="17.399999999999999" thickBot="1" x14ac:dyDescent="0.45">
      <c r="D305" s="4"/>
      <c r="E305" s="4"/>
      <c r="F305" s="4"/>
    </row>
    <row r="306" spans="4:6" ht="17.399999999999999" thickBot="1" x14ac:dyDescent="0.45">
      <c r="D306" s="4"/>
      <c r="E306" s="4"/>
      <c r="F306" s="4"/>
    </row>
    <row r="307" spans="4:6" ht="17.399999999999999" thickBot="1" x14ac:dyDescent="0.45">
      <c r="D307" s="4"/>
      <c r="E307" s="4"/>
      <c r="F307" s="4"/>
    </row>
    <row r="308" spans="4:6" ht="17.399999999999999" thickBot="1" x14ac:dyDescent="0.45">
      <c r="D308" s="4"/>
      <c r="E308" s="4"/>
      <c r="F308" s="4"/>
    </row>
    <row r="309" spans="4:6" ht="17.399999999999999" thickBot="1" x14ac:dyDescent="0.45">
      <c r="D309" s="4"/>
      <c r="E309" s="4"/>
      <c r="F309" s="4"/>
    </row>
    <row r="310" spans="4:6" ht="17.399999999999999" thickBot="1" x14ac:dyDescent="0.45">
      <c r="D310" s="4"/>
      <c r="E310" s="4"/>
      <c r="F310" s="4"/>
    </row>
    <row r="311" spans="4:6" ht="17.399999999999999" thickBot="1" x14ac:dyDescent="0.45">
      <c r="D311" s="4"/>
      <c r="E311" s="4"/>
      <c r="F311" s="4"/>
    </row>
    <row r="312" spans="4:6" ht="17.399999999999999" thickBot="1" x14ac:dyDescent="0.45">
      <c r="D312" s="4"/>
      <c r="E312" s="4"/>
      <c r="F312" s="4"/>
    </row>
    <row r="313" spans="4:6" ht="17.399999999999999" thickBot="1" x14ac:dyDescent="0.45">
      <c r="D313" s="4"/>
      <c r="E313" s="4"/>
      <c r="F313" s="4"/>
    </row>
    <row r="314" spans="4:6" ht="17.399999999999999" thickBot="1" x14ac:dyDescent="0.45">
      <c r="D314" s="4"/>
      <c r="E314" s="4"/>
      <c r="F314" s="4"/>
    </row>
    <row r="315" spans="4:6" ht="17.399999999999999" thickBot="1" x14ac:dyDescent="0.45">
      <c r="D315" s="4"/>
      <c r="E315" s="4"/>
      <c r="F315" s="4"/>
    </row>
    <row r="316" spans="4:6" ht="17.399999999999999" thickBot="1" x14ac:dyDescent="0.45">
      <c r="D316" s="4"/>
      <c r="E316" s="4"/>
      <c r="F316" s="4"/>
    </row>
    <row r="317" spans="4:6" ht="17.399999999999999" thickBot="1" x14ac:dyDescent="0.45">
      <c r="D317" s="4"/>
      <c r="E317" s="4"/>
      <c r="F317" s="4"/>
    </row>
    <row r="318" spans="4:6" ht="17.399999999999999" thickBot="1" x14ac:dyDescent="0.45">
      <c r="D318" s="4"/>
      <c r="E318" s="4"/>
      <c r="F318" s="4"/>
    </row>
    <row r="319" spans="4:6" ht="17.399999999999999" thickBot="1" x14ac:dyDescent="0.45">
      <c r="D319" s="4"/>
      <c r="E319" s="4"/>
      <c r="F319" s="4"/>
    </row>
    <row r="320" spans="4:6" ht="17.399999999999999" thickBot="1" x14ac:dyDescent="0.45">
      <c r="D320" s="4"/>
      <c r="E320" s="4"/>
      <c r="F320" s="4"/>
    </row>
    <row r="321" spans="4:6" ht="17.399999999999999" thickBot="1" x14ac:dyDescent="0.45">
      <c r="D321" s="4"/>
      <c r="E321" s="4"/>
      <c r="F321" s="4"/>
    </row>
    <row r="322" spans="4:6" ht="17.399999999999999" thickBot="1" x14ac:dyDescent="0.45">
      <c r="D322" s="4"/>
      <c r="E322" s="4"/>
      <c r="F322" s="4"/>
    </row>
    <row r="323" spans="4:6" ht="17.399999999999999" thickBot="1" x14ac:dyDescent="0.45">
      <c r="D323" s="4"/>
      <c r="E323" s="4"/>
      <c r="F323" s="4"/>
    </row>
    <row r="324" spans="4:6" ht="17.399999999999999" thickBot="1" x14ac:dyDescent="0.45">
      <c r="D324" s="4"/>
      <c r="E324" s="4"/>
      <c r="F324" s="4"/>
    </row>
    <row r="325" spans="4:6" ht="17.399999999999999" thickBot="1" x14ac:dyDescent="0.45">
      <c r="D325" s="4"/>
      <c r="E325" s="4"/>
      <c r="F325" s="4"/>
    </row>
    <row r="326" spans="4:6" ht="17.399999999999999" thickBot="1" x14ac:dyDescent="0.45">
      <c r="D326" s="4"/>
      <c r="E326" s="4"/>
      <c r="F326" s="4"/>
    </row>
    <row r="327" spans="4:6" ht="17.399999999999999" thickBot="1" x14ac:dyDescent="0.45">
      <c r="D327" s="4"/>
      <c r="E327" s="4"/>
      <c r="F327" s="4"/>
    </row>
    <row r="328" spans="4:6" ht="17.399999999999999" thickBot="1" x14ac:dyDescent="0.45">
      <c r="D328" s="4"/>
      <c r="E328" s="4"/>
      <c r="F328" s="4"/>
    </row>
    <row r="329" spans="4:6" ht="17.399999999999999" thickBot="1" x14ac:dyDescent="0.45">
      <c r="D329" s="4"/>
      <c r="E329" s="4"/>
      <c r="F329" s="4"/>
    </row>
    <row r="330" spans="4:6" ht="17.399999999999999" thickBot="1" x14ac:dyDescent="0.45">
      <c r="D330" s="4"/>
      <c r="E330" s="4"/>
      <c r="F330" s="4"/>
    </row>
    <row r="331" spans="4:6" ht="17.399999999999999" thickBot="1" x14ac:dyDescent="0.45">
      <c r="D331" s="4"/>
      <c r="E331" s="4"/>
      <c r="F331" s="4"/>
    </row>
    <row r="332" spans="4:6" ht="17.399999999999999" thickBot="1" x14ac:dyDescent="0.45">
      <c r="D332" s="4"/>
      <c r="E332" s="4"/>
      <c r="F332" s="4"/>
    </row>
    <row r="333" spans="4:6" ht="17.399999999999999" thickBot="1" x14ac:dyDescent="0.45">
      <c r="D333" s="4"/>
      <c r="E333" s="4"/>
      <c r="F333" s="4"/>
    </row>
    <row r="334" spans="4:6" ht="17.399999999999999" thickBot="1" x14ac:dyDescent="0.45">
      <c r="D334" s="4"/>
      <c r="E334" s="4"/>
      <c r="F334" s="4"/>
    </row>
    <row r="335" spans="4:6" ht="17.399999999999999" thickBot="1" x14ac:dyDescent="0.45">
      <c r="D335" s="4"/>
      <c r="E335" s="4"/>
      <c r="F335" s="4"/>
    </row>
    <row r="336" spans="4:6" ht="17.399999999999999" thickBot="1" x14ac:dyDescent="0.45">
      <c r="D336" s="4"/>
      <c r="E336" s="4"/>
      <c r="F336" s="4"/>
    </row>
    <row r="337" spans="4:6" ht="17.399999999999999" thickBot="1" x14ac:dyDescent="0.45">
      <c r="D337" s="4"/>
      <c r="E337" s="4"/>
      <c r="F337" s="4"/>
    </row>
    <row r="338" spans="4:6" ht="17.399999999999999" thickBot="1" x14ac:dyDescent="0.45">
      <c r="D338" s="4"/>
      <c r="E338" s="4"/>
      <c r="F338" s="4"/>
    </row>
    <row r="339" spans="4:6" ht="17.399999999999999" thickBot="1" x14ac:dyDescent="0.45">
      <c r="D339" s="4"/>
      <c r="E339" s="4"/>
      <c r="F339" s="4"/>
    </row>
    <row r="340" spans="4:6" ht="17.399999999999999" thickBot="1" x14ac:dyDescent="0.45">
      <c r="D340" s="4"/>
      <c r="E340" s="4"/>
      <c r="F340" s="4"/>
    </row>
    <row r="341" spans="4:6" ht="17.399999999999999" thickBot="1" x14ac:dyDescent="0.45">
      <c r="D341" s="4"/>
      <c r="E341" s="4"/>
      <c r="F341" s="4"/>
    </row>
    <row r="342" spans="4:6" ht="17.399999999999999" thickBot="1" x14ac:dyDescent="0.45">
      <c r="D342" s="4"/>
      <c r="E342" s="4"/>
      <c r="F342" s="4"/>
    </row>
    <row r="343" spans="4:6" ht="17.399999999999999" thickBot="1" x14ac:dyDescent="0.45">
      <c r="D343" s="4"/>
      <c r="E343" s="4"/>
      <c r="F343" s="4"/>
    </row>
    <row r="344" spans="4:6" ht="17.399999999999999" thickBot="1" x14ac:dyDescent="0.45">
      <c r="D344" s="4"/>
      <c r="E344" s="4"/>
      <c r="F344" s="4"/>
    </row>
    <row r="345" spans="4:6" ht="17.399999999999999" thickBot="1" x14ac:dyDescent="0.45">
      <c r="D345" s="4"/>
      <c r="E345" s="4"/>
      <c r="F345" s="4"/>
    </row>
    <row r="346" spans="4:6" ht="17.399999999999999" thickBot="1" x14ac:dyDescent="0.45">
      <c r="D346" s="4"/>
      <c r="E346" s="4"/>
      <c r="F346" s="4"/>
    </row>
    <row r="347" spans="4:6" ht="17.399999999999999" thickBot="1" x14ac:dyDescent="0.45">
      <c r="D347" s="4"/>
      <c r="E347" s="4"/>
      <c r="F347" s="4"/>
    </row>
    <row r="348" spans="4:6" ht="17.399999999999999" thickBot="1" x14ac:dyDescent="0.45">
      <c r="D348" s="4"/>
      <c r="E348" s="4"/>
      <c r="F348" s="4"/>
    </row>
    <row r="349" spans="4:6" ht="17.399999999999999" thickBot="1" x14ac:dyDescent="0.45">
      <c r="D349" s="4"/>
      <c r="E349" s="4"/>
      <c r="F349" s="4"/>
    </row>
    <row r="350" spans="4:6" ht="17.399999999999999" thickBot="1" x14ac:dyDescent="0.45">
      <c r="D350" s="4"/>
      <c r="E350" s="4"/>
      <c r="F350" s="4"/>
    </row>
    <row r="351" spans="4:6" ht="17.399999999999999" thickBot="1" x14ac:dyDescent="0.45">
      <c r="D351" s="4"/>
      <c r="E351" s="4"/>
      <c r="F351" s="4"/>
    </row>
    <row r="352" spans="4:6" ht="17.399999999999999" thickBot="1" x14ac:dyDescent="0.45">
      <c r="D352" s="4"/>
      <c r="E352" s="4"/>
      <c r="F352" s="4"/>
    </row>
    <row r="353" spans="4:6" ht="17.399999999999999" thickBot="1" x14ac:dyDescent="0.45">
      <c r="D353" s="4"/>
      <c r="E353" s="4"/>
      <c r="F353" s="4"/>
    </row>
    <row r="354" spans="4:6" ht="17.399999999999999" thickBot="1" x14ac:dyDescent="0.45">
      <c r="D354" s="4"/>
      <c r="E354" s="4"/>
      <c r="F354" s="4"/>
    </row>
    <row r="355" spans="4:6" ht="17.399999999999999" thickBot="1" x14ac:dyDescent="0.45">
      <c r="D355" s="4"/>
      <c r="E355" s="4"/>
      <c r="F355" s="4"/>
    </row>
    <row r="356" spans="4:6" ht="17.399999999999999" thickBot="1" x14ac:dyDescent="0.45">
      <c r="D356" s="4"/>
      <c r="E356" s="4"/>
      <c r="F356" s="4"/>
    </row>
    <row r="357" spans="4:6" ht="17.399999999999999" thickBot="1" x14ac:dyDescent="0.45">
      <c r="D357" s="4"/>
      <c r="E357" s="4"/>
      <c r="F357" s="4"/>
    </row>
    <row r="358" spans="4:6" ht="17.399999999999999" thickBot="1" x14ac:dyDescent="0.45">
      <c r="D358" s="4"/>
      <c r="E358" s="4"/>
      <c r="F358" s="4"/>
    </row>
    <row r="359" spans="4:6" ht="17.399999999999999" thickBot="1" x14ac:dyDescent="0.45">
      <c r="D359" s="4"/>
      <c r="E359" s="4"/>
      <c r="F359" s="4"/>
    </row>
    <row r="360" spans="4:6" ht="17.399999999999999" thickBot="1" x14ac:dyDescent="0.45">
      <c r="D360" s="4"/>
      <c r="E360" s="4"/>
      <c r="F360" s="4"/>
    </row>
    <row r="361" spans="4:6" ht="17.399999999999999" thickBot="1" x14ac:dyDescent="0.45">
      <c r="D361" s="4"/>
      <c r="E361" s="4"/>
      <c r="F361" s="4"/>
    </row>
    <row r="362" spans="4:6" ht="17.399999999999999" thickBot="1" x14ac:dyDescent="0.45">
      <c r="D362" s="4"/>
      <c r="E362" s="4"/>
      <c r="F362" s="4"/>
    </row>
    <row r="363" spans="4:6" ht="17.399999999999999" thickBot="1" x14ac:dyDescent="0.45">
      <c r="D363" s="4"/>
      <c r="E363" s="4"/>
      <c r="F363" s="4"/>
    </row>
    <row r="364" spans="4:6" ht="17.399999999999999" thickBot="1" x14ac:dyDescent="0.45">
      <c r="D364" s="4"/>
      <c r="E364" s="4"/>
      <c r="F364" s="4"/>
    </row>
    <row r="365" spans="4:6" ht="17.399999999999999" thickBot="1" x14ac:dyDescent="0.45">
      <c r="D365" s="4"/>
      <c r="E365" s="4"/>
      <c r="F365" s="4"/>
    </row>
    <row r="366" spans="4:6" ht="17.399999999999999" thickBot="1" x14ac:dyDescent="0.45">
      <c r="D366" s="4"/>
      <c r="E366" s="4"/>
      <c r="F366" s="4"/>
    </row>
    <row r="367" spans="4:6" ht="17.399999999999999" thickBot="1" x14ac:dyDescent="0.45">
      <c r="D367" s="4"/>
      <c r="E367" s="4"/>
      <c r="F367" s="4"/>
    </row>
    <row r="368" spans="4:6" ht="17.399999999999999" thickBot="1" x14ac:dyDescent="0.45">
      <c r="D368" s="4"/>
      <c r="E368" s="4"/>
      <c r="F368" s="4"/>
    </row>
    <row r="369" spans="4:6" ht="17.399999999999999" thickBot="1" x14ac:dyDescent="0.45">
      <c r="D369" s="4"/>
      <c r="E369" s="4"/>
      <c r="F369" s="4"/>
    </row>
    <row r="370" spans="4:6" ht="17.399999999999999" thickBot="1" x14ac:dyDescent="0.45">
      <c r="D370" s="4"/>
      <c r="E370" s="4"/>
      <c r="F370" s="4"/>
    </row>
    <row r="371" spans="4:6" ht="17.399999999999999" thickBot="1" x14ac:dyDescent="0.45">
      <c r="D371" s="4"/>
      <c r="E371" s="4"/>
      <c r="F371" s="4"/>
    </row>
    <row r="372" spans="4:6" ht="17.399999999999999" thickBot="1" x14ac:dyDescent="0.45">
      <c r="D372" s="4"/>
      <c r="E372" s="4"/>
      <c r="F372" s="4"/>
    </row>
    <row r="373" spans="4:6" ht="17.399999999999999" thickBot="1" x14ac:dyDescent="0.45">
      <c r="D373" s="4"/>
      <c r="E373" s="4"/>
      <c r="F373" s="4"/>
    </row>
    <row r="374" spans="4:6" ht="17.399999999999999" thickBot="1" x14ac:dyDescent="0.45">
      <c r="D374" s="4"/>
      <c r="E374" s="4"/>
      <c r="F374" s="4"/>
    </row>
    <row r="375" spans="4:6" ht="17.399999999999999" thickBot="1" x14ac:dyDescent="0.45">
      <c r="D375" s="4"/>
      <c r="E375" s="4"/>
      <c r="F375" s="4"/>
    </row>
    <row r="376" spans="4:6" ht="17.399999999999999" thickBot="1" x14ac:dyDescent="0.45">
      <c r="D376" s="4"/>
      <c r="E376" s="4"/>
      <c r="F376" s="4"/>
    </row>
    <row r="377" spans="4:6" ht="17.399999999999999" thickBot="1" x14ac:dyDescent="0.45">
      <c r="D377" s="4"/>
      <c r="E377" s="4"/>
      <c r="F377" s="4"/>
    </row>
    <row r="378" spans="4:6" ht="17.399999999999999" thickBot="1" x14ac:dyDescent="0.45">
      <c r="D378" s="4"/>
      <c r="E378" s="4"/>
      <c r="F378" s="4"/>
    </row>
    <row r="379" spans="4:6" ht="17.399999999999999" thickBot="1" x14ac:dyDescent="0.45">
      <c r="D379" s="4"/>
      <c r="E379" s="4"/>
      <c r="F379" s="4"/>
    </row>
    <row r="380" spans="4:6" ht="17.399999999999999" thickBot="1" x14ac:dyDescent="0.45">
      <c r="D380" s="4"/>
      <c r="E380" s="4"/>
      <c r="F380" s="4"/>
    </row>
    <row r="381" spans="4:6" ht="17.399999999999999" thickBot="1" x14ac:dyDescent="0.45">
      <c r="D381" s="4"/>
      <c r="E381" s="4"/>
      <c r="F381" s="4"/>
    </row>
    <row r="382" spans="4:6" ht="17.399999999999999" thickBot="1" x14ac:dyDescent="0.45">
      <c r="D382" s="4"/>
      <c r="E382" s="4"/>
      <c r="F382" s="4"/>
    </row>
    <row r="383" spans="4:6" ht="17.399999999999999" thickBot="1" x14ac:dyDescent="0.45">
      <c r="D383" s="4"/>
      <c r="E383" s="4"/>
      <c r="F383" s="4"/>
    </row>
    <row r="384" spans="4:6" ht="17.399999999999999" thickBot="1" x14ac:dyDescent="0.45">
      <c r="D384" s="4"/>
      <c r="E384" s="4"/>
      <c r="F384" s="4"/>
    </row>
    <row r="385" spans="4:6" ht="17.399999999999999" thickBot="1" x14ac:dyDescent="0.45">
      <c r="D385" s="4"/>
      <c r="E385" s="4"/>
      <c r="F385" s="4"/>
    </row>
    <row r="386" spans="4:6" ht="17.399999999999999" thickBot="1" x14ac:dyDescent="0.45">
      <c r="D386" s="4"/>
      <c r="E386" s="4"/>
      <c r="F386" s="4"/>
    </row>
    <row r="387" spans="4:6" ht="17.399999999999999" thickBot="1" x14ac:dyDescent="0.45">
      <c r="D387" s="4"/>
      <c r="E387" s="4"/>
      <c r="F387" s="4"/>
    </row>
    <row r="388" spans="4:6" ht="17.399999999999999" thickBot="1" x14ac:dyDescent="0.45">
      <c r="D388" s="4"/>
      <c r="E388" s="4"/>
      <c r="F388" s="4"/>
    </row>
    <row r="389" spans="4:6" ht="17.399999999999999" thickBot="1" x14ac:dyDescent="0.45">
      <c r="D389" s="4"/>
      <c r="E389" s="4"/>
      <c r="F389" s="4"/>
    </row>
    <row r="390" spans="4:6" ht="17.399999999999999" thickBot="1" x14ac:dyDescent="0.45">
      <c r="D390" s="4"/>
      <c r="E390" s="4"/>
      <c r="F390" s="4"/>
    </row>
    <row r="391" spans="4:6" ht="17.399999999999999" thickBot="1" x14ac:dyDescent="0.45">
      <c r="D391" s="4"/>
      <c r="E391" s="4"/>
      <c r="F391" s="4"/>
    </row>
    <row r="392" spans="4:6" ht="17.399999999999999" thickBot="1" x14ac:dyDescent="0.45">
      <c r="D392" s="4"/>
      <c r="E392" s="4"/>
      <c r="F392" s="4"/>
    </row>
    <row r="393" spans="4:6" ht="17.399999999999999" thickBot="1" x14ac:dyDescent="0.45">
      <c r="D393" s="4"/>
      <c r="E393" s="4"/>
      <c r="F393" s="4"/>
    </row>
    <row r="394" spans="4:6" ht="17.399999999999999" thickBot="1" x14ac:dyDescent="0.45">
      <c r="D394" s="4"/>
      <c r="E394" s="4"/>
      <c r="F394" s="4"/>
    </row>
    <row r="395" spans="4:6" ht="17.399999999999999" thickBot="1" x14ac:dyDescent="0.45">
      <c r="D395" s="4"/>
      <c r="E395" s="4"/>
      <c r="F395" s="4"/>
    </row>
    <row r="396" spans="4:6" ht="17.399999999999999" thickBot="1" x14ac:dyDescent="0.45">
      <c r="D396" s="4"/>
      <c r="E396" s="4"/>
      <c r="F396" s="4"/>
    </row>
    <row r="397" spans="4:6" ht="17.399999999999999" thickBot="1" x14ac:dyDescent="0.45">
      <c r="D397" s="4"/>
      <c r="E397" s="4"/>
      <c r="F397" s="4"/>
    </row>
    <row r="398" spans="4:6" ht="17.399999999999999" thickBot="1" x14ac:dyDescent="0.45">
      <c r="D398" s="4"/>
      <c r="E398" s="4"/>
      <c r="F398" s="4"/>
    </row>
    <row r="399" spans="4:6" ht="17.399999999999999" thickBot="1" x14ac:dyDescent="0.45">
      <c r="D399" s="4"/>
      <c r="E399" s="4"/>
      <c r="F399" s="4"/>
    </row>
    <row r="400" spans="4:6" ht="17.399999999999999" thickBot="1" x14ac:dyDescent="0.45">
      <c r="D400" s="4"/>
      <c r="E400" s="4"/>
      <c r="F400" s="4"/>
    </row>
    <row r="401" spans="4:6" ht="17.399999999999999" thickBot="1" x14ac:dyDescent="0.45">
      <c r="D401" s="4"/>
      <c r="E401" s="4"/>
      <c r="F401" s="4"/>
    </row>
    <row r="402" spans="4:6" ht="17.399999999999999" thickBot="1" x14ac:dyDescent="0.45">
      <c r="D402" s="4"/>
      <c r="E402" s="4"/>
      <c r="F402" s="4"/>
    </row>
    <row r="403" spans="4:6" ht="17.399999999999999" thickBot="1" x14ac:dyDescent="0.45">
      <c r="D403" s="4"/>
      <c r="E403" s="4"/>
      <c r="F403" s="4"/>
    </row>
    <row r="404" spans="4:6" ht="17.399999999999999" thickBot="1" x14ac:dyDescent="0.45">
      <c r="D404" s="4"/>
      <c r="E404" s="4"/>
      <c r="F404" s="4"/>
    </row>
    <row r="405" spans="4:6" ht="17.399999999999999" thickBot="1" x14ac:dyDescent="0.45">
      <c r="D405" s="4"/>
      <c r="E405" s="4"/>
      <c r="F405" s="4"/>
    </row>
    <row r="406" spans="4:6" ht="17.399999999999999" thickBot="1" x14ac:dyDescent="0.45">
      <c r="D406" s="4"/>
      <c r="E406" s="4"/>
      <c r="F406" s="4"/>
    </row>
    <row r="407" spans="4:6" ht="17.399999999999999" thickBot="1" x14ac:dyDescent="0.45">
      <c r="D407" s="4"/>
      <c r="E407" s="4"/>
      <c r="F407" s="4"/>
    </row>
    <row r="408" spans="4:6" ht="17.399999999999999" thickBot="1" x14ac:dyDescent="0.45">
      <c r="D408" s="4"/>
      <c r="E408" s="4"/>
      <c r="F408" s="4"/>
    </row>
    <row r="409" spans="4:6" ht="17.399999999999999" thickBot="1" x14ac:dyDescent="0.45">
      <c r="D409" s="4"/>
      <c r="E409" s="4"/>
      <c r="F409" s="4"/>
    </row>
    <row r="410" spans="4:6" ht="17.399999999999999" thickBot="1" x14ac:dyDescent="0.45">
      <c r="D410" s="4"/>
      <c r="E410" s="4"/>
      <c r="F410" s="4"/>
    </row>
    <row r="411" spans="4:6" ht="17.399999999999999" thickBot="1" x14ac:dyDescent="0.45">
      <c r="D411" s="4"/>
      <c r="E411" s="4"/>
      <c r="F411" s="4"/>
    </row>
    <row r="412" spans="4:6" ht="17.399999999999999" thickBot="1" x14ac:dyDescent="0.45">
      <c r="D412" s="4"/>
      <c r="E412" s="4"/>
      <c r="F412" s="4"/>
    </row>
    <row r="413" spans="4:6" ht="17.399999999999999" thickBot="1" x14ac:dyDescent="0.45">
      <c r="D413" s="4"/>
      <c r="E413" s="4"/>
      <c r="F413" s="4"/>
    </row>
    <row r="414" spans="4:6" ht="17.399999999999999" thickBot="1" x14ac:dyDescent="0.45">
      <c r="D414" s="4"/>
      <c r="E414" s="4"/>
      <c r="F414" s="4"/>
    </row>
    <row r="415" spans="4:6" ht="17.399999999999999" thickBot="1" x14ac:dyDescent="0.45">
      <c r="D415" s="4"/>
      <c r="E415" s="4"/>
      <c r="F415" s="4"/>
    </row>
    <row r="416" spans="4:6" ht="17.399999999999999" thickBot="1" x14ac:dyDescent="0.45">
      <c r="D416" s="4"/>
      <c r="E416" s="4"/>
      <c r="F416" s="4"/>
    </row>
    <row r="417" spans="4:6" ht="17.399999999999999" thickBot="1" x14ac:dyDescent="0.45">
      <c r="D417" s="4"/>
      <c r="E417" s="4"/>
      <c r="F417" s="4"/>
    </row>
    <row r="418" spans="4:6" ht="17.399999999999999" thickBot="1" x14ac:dyDescent="0.45">
      <c r="D418" s="4"/>
      <c r="E418" s="4"/>
      <c r="F418" s="4"/>
    </row>
    <row r="419" spans="4:6" ht="17.399999999999999" thickBot="1" x14ac:dyDescent="0.45">
      <c r="D419" s="4"/>
      <c r="E419" s="4"/>
      <c r="F419" s="4"/>
    </row>
    <row r="420" spans="4:6" ht="17.399999999999999" thickBot="1" x14ac:dyDescent="0.45">
      <c r="D420" s="4"/>
      <c r="E420" s="4"/>
      <c r="F420" s="4"/>
    </row>
    <row r="421" spans="4:6" ht="17.399999999999999" thickBot="1" x14ac:dyDescent="0.45">
      <c r="D421" s="4"/>
      <c r="E421" s="4"/>
      <c r="F421" s="4"/>
    </row>
    <row r="422" spans="4:6" ht="17.399999999999999" thickBot="1" x14ac:dyDescent="0.45">
      <c r="D422" s="4"/>
      <c r="E422" s="4"/>
      <c r="F422" s="4"/>
    </row>
    <row r="423" spans="4:6" ht="17.399999999999999" thickBot="1" x14ac:dyDescent="0.45">
      <c r="D423" s="4"/>
      <c r="E423" s="4"/>
      <c r="F423" s="4"/>
    </row>
    <row r="424" spans="4:6" ht="17.399999999999999" thickBot="1" x14ac:dyDescent="0.45">
      <c r="D424" s="4"/>
      <c r="E424" s="4"/>
      <c r="F424" s="4"/>
    </row>
    <row r="425" spans="4:6" ht="17.399999999999999" thickBot="1" x14ac:dyDescent="0.45">
      <c r="D425" s="4"/>
      <c r="E425" s="4"/>
      <c r="F425" s="4"/>
    </row>
    <row r="426" spans="4:6" ht="17.399999999999999" thickBot="1" x14ac:dyDescent="0.45">
      <c r="D426" s="4"/>
      <c r="E426" s="4"/>
      <c r="F426" s="4"/>
    </row>
    <row r="427" spans="4:6" ht="17.399999999999999" thickBot="1" x14ac:dyDescent="0.45">
      <c r="D427" s="4"/>
      <c r="E427" s="4"/>
      <c r="F427" s="4"/>
    </row>
    <row r="428" spans="4:6" ht="17.399999999999999" thickBot="1" x14ac:dyDescent="0.45">
      <c r="D428" s="4"/>
      <c r="E428" s="4"/>
      <c r="F428" s="4"/>
    </row>
    <row r="429" spans="4:6" ht="17.399999999999999" thickBot="1" x14ac:dyDescent="0.45">
      <c r="D429" s="4"/>
      <c r="E429" s="4"/>
      <c r="F429" s="4"/>
    </row>
    <row r="430" spans="4:6" ht="17.399999999999999" thickBot="1" x14ac:dyDescent="0.45">
      <c r="D430" s="4"/>
      <c r="E430" s="4"/>
      <c r="F430" s="4"/>
    </row>
    <row r="431" spans="4:6" ht="17.399999999999999" thickBot="1" x14ac:dyDescent="0.45">
      <c r="D431" s="4"/>
      <c r="E431" s="4"/>
      <c r="F431" s="4"/>
    </row>
    <row r="432" spans="4:6" ht="17.399999999999999" thickBot="1" x14ac:dyDescent="0.45">
      <c r="D432" s="4"/>
      <c r="E432" s="4"/>
      <c r="F432" s="4"/>
    </row>
    <row r="433" spans="4:6" ht="17.399999999999999" thickBot="1" x14ac:dyDescent="0.45">
      <c r="D433" s="4"/>
      <c r="E433" s="4"/>
      <c r="F433" s="4"/>
    </row>
    <row r="434" spans="4:6" ht="17.399999999999999" thickBot="1" x14ac:dyDescent="0.45">
      <c r="D434" s="4"/>
      <c r="E434" s="4"/>
      <c r="F434" s="4"/>
    </row>
    <row r="435" spans="4:6" ht="17.399999999999999" thickBot="1" x14ac:dyDescent="0.45">
      <c r="D435" s="4"/>
      <c r="E435" s="4"/>
      <c r="F435" s="4"/>
    </row>
    <row r="436" spans="4:6" ht="17.399999999999999" thickBot="1" x14ac:dyDescent="0.45">
      <c r="D436" s="4"/>
      <c r="E436" s="4"/>
      <c r="F436" s="4"/>
    </row>
    <row r="437" spans="4:6" ht="17.399999999999999" thickBot="1" x14ac:dyDescent="0.45">
      <c r="D437" s="4"/>
      <c r="E437" s="4"/>
      <c r="F437" s="4"/>
    </row>
    <row r="438" spans="4:6" ht="17.399999999999999" thickBot="1" x14ac:dyDescent="0.45">
      <c r="D438" s="4"/>
      <c r="E438" s="4"/>
      <c r="F438" s="4"/>
    </row>
    <row r="439" spans="4:6" ht="17.399999999999999" thickBot="1" x14ac:dyDescent="0.45">
      <c r="D439" s="4"/>
      <c r="E439" s="4"/>
      <c r="F439" s="4"/>
    </row>
    <row r="440" spans="4:6" ht="17.399999999999999" thickBot="1" x14ac:dyDescent="0.45">
      <c r="D440" s="4"/>
      <c r="E440" s="4"/>
      <c r="F440" s="4"/>
    </row>
    <row r="441" spans="4:6" ht="17.399999999999999" thickBot="1" x14ac:dyDescent="0.45">
      <c r="D441" s="4"/>
      <c r="E441" s="4"/>
      <c r="F441" s="4"/>
    </row>
    <row r="442" spans="4:6" ht="17.399999999999999" thickBot="1" x14ac:dyDescent="0.45">
      <c r="D442" s="4"/>
      <c r="E442" s="4"/>
      <c r="F442" s="4"/>
    </row>
    <row r="443" spans="4:6" ht="17.399999999999999" thickBot="1" x14ac:dyDescent="0.45">
      <c r="D443" s="4"/>
      <c r="E443" s="4"/>
      <c r="F443" s="4"/>
    </row>
    <row r="444" spans="4:6" ht="17.399999999999999" thickBot="1" x14ac:dyDescent="0.45">
      <c r="D444" s="4"/>
      <c r="E444" s="4"/>
      <c r="F444" s="4"/>
    </row>
    <row r="445" spans="4:6" ht="17.399999999999999" thickBot="1" x14ac:dyDescent="0.45">
      <c r="D445" s="4"/>
      <c r="E445" s="4"/>
      <c r="F445" s="4"/>
    </row>
    <row r="446" spans="4:6" ht="17.399999999999999" thickBot="1" x14ac:dyDescent="0.45">
      <c r="D446" s="4"/>
      <c r="E446" s="4"/>
      <c r="F446" s="4"/>
    </row>
    <row r="447" spans="4:6" ht="17.399999999999999" thickBot="1" x14ac:dyDescent="0.45">
      <c r="D447" s="4"/>
      <c r="E447" s="4"/>
      <c r="F447" s="4"/>
    </row>
    <row r="448" spans="4:6" ht="17.399999999999999" thickBot="1" x14ac:dyDescent="0.45">
      <c r="D448" s="4"/>
      <c r="E448" s="4"/>
      <c r="F448" s="4"/>
    </row>
    <row r="449" spans="4:6" ht="17.399999999999999" thickBot="1" x14ac:dyDescent="0.45">
      <c r="D449" s="4"/>
      <c r="E449" s="4"/>
      <c r="F449" s="4"/>
    </row>
    <row r="450" spans="4:6" ht="17.399999999999999" thickBot="1" x14ac:dyDescent="0.45">
      <c r="D450" s="4"/>
      <c r="E450" s="4"/>
      <c r="F450" s="4"/>
    </row>
    <row r="451" spans="4:6" ht="17.399999999999999" thickBot="1" x14ac:dyDescent="0.45">
      <c r="D451" s="4"/>
      <c r="E451" s="4"/>
      <c r="F451" s="4"/>
    </row>
    <row r="452" spans="4:6" ht="17.399999999999999" thickBot="1" x14ac:dyDescent="0.45">
      <c r="D452" s="4"/>
      <c r="E452" s="4"/>
      <c r="F452" s="4"/>
    </row>
    <row r="453" spans="4:6" ht="17.399999999999999" thickBot="1" x14ac:dyDescent="0.45">
      <c r="D453" s="4"/>
      <c r="E453" s="4"/>
      <c r="F453" s="4"/>
    </row>
    <row r="454" spans="4:6" ht="17.399999999999999" thickBot="1" x14ac:dyDescent="0.45">
      <c r="D454" s="4"/>
      <c r="E454" s="4"/>
      <c r="F454" s="4"/>
    </row>
    <row r="455" spans="4:6" ht="17.399999999999999" thickBot="1" x14ac:dyDescent="0.45">
      <c r="D455" s="4"/>
      <c r="E455" s="4"/>
      <c r="F455" s="4"/>
    </row>
    <row r="456" spans="4:6" ht="17.399999999999999" thickBot="1" x14ac:dyDescent="0.45">
      <c r="D456" s="4"/>
      <c r="E456" s="4"/>
      <c r="F456" s="4"/>
    </row>
    <row r="457" spans="4:6" ht="17.399999999999999" thickBot="1" x14ac:dyDescent="0.45">
      <c r="D457" s="4"/>
      <c r="E457" s="4"/>
      <c r="F457" s="4"/>
    </row>
    <row r="458" spans="4:6" ht="17.399999999999999" thickBot="1" x14ac:dyDescent="0.45">
      <c r="D458" s="4"/>
      <c r="E458" s="4"/>
      <c r="F458" s="4"/>
    </row>
    <row r="459" spans="4:6" ht="17.399999999999999" thickBot="1" x14ac:dyDescent="0.45">
      <c r="D459" s="4"/>
      <c r="E459" s="4"/>
      <c r="F459" s="4"/>
    </row>
    <row r="460" spans="4:6" ht="17.399999999999999" thickBot="1" x14ac:dyDescent="0.45">
      <c r="D460" s="4"/>
      <c r="E460" s="4"/>
      <c r="F460" s="4"/>
    </row>
    <row r="461" spans="4:6" ht="17.399999999999999" thickBot="1" x14ac:dyDescent="0.45">
      <c r="D461" s="4"/>
      <c r="E461" s="4"/>
      <c r="F461" s="4"/>
    </row>
    <row r="462" spans="4:6" ht="17.399999999999999" thickBot="1" x14ac:dyDescent="0.45">
      <c r="D462" s="4"/>
      <c r="E462" s="4"/>
      <c r="F462" s="4"/>
    </row>
    <row r="463" spans="4:6" ht="17.399999999999999" thickBot="1" x14ac:dyDescent="0.45">
      <c r="D463" s="4"/>
      <c r="E463" s="4"/>
      <c r="F463" s="4"/>
    </row>
    <row r="464" spans="4:6" ht="17.399999999999999" thickBot="1" x14ac:dyDescent="0.45">
      <c r="D464" s="4"/>
      <c r="E464" s="4"/>
      <c r="F464" s="4"/>
    </row>
    <row r="465" spans="4:6" ht="17.399999999999999" thickBot="1" x14ac:dyDescent="0.45">
      <c r="D465" s="4"/>
      <c r="E465" s="4"/>
      <c r="F465" s="4"/>
    </row>
    <row r="466" spans="4:6" ht="17.399999999999999" thickBot="1" x14ac:dyDescent="0.45">
      <c r="D466" s="4"/>
      <c r="E466" s="4"/>
      <c r="F466" s="4"/>
    </row>
    <row r="467" spans="4:6" ht="17.399999999999999" thickBot="1" x14ac:dyDescent="0.45">
      <c r="D467" s="4"/>
      <c r="E467" s="4"/>
      <c r="F467" s="4"/>
    </row>
    <row r="468" spans="4:6" ht="17.399999999999999" thickBot="1" x14ac:dyDescent="0.45">
      <c r="D468" s="4"/>
      <c r="E468" s="4"/>
      <c r="F468" s="4"/>
    </row>
    <row r="469" spans="4:6" ht="17.399999999999999" thickBot="1" x14ac:dyDescent="0.45">
      <c r="D469" s="4"/>
      <c r="E469" s="4"/>
      <c r="F469" s="4"/>
    </row>
    <row r="470" spans="4:6" ht="17.399999999999999" thickBot="1" x14ac:dyDescent="0.45">
      <c r="D470" s="4"/>
      <c r="E470" s="4"/>
      <c r="F470" s="4"/>
    </row>
    <row r="471" spans="4:6" ht="17.399999999999999" thickBot="1" x14ac:dyDescent="0.45">
      <c r="D471" s="4"/>
      <c r="E471" s="4"/>
      <c r="F471" s="4"/>
    </row>
    <row r="472" spans="4:6" ht="17.399999999999999" thickBot="1" x14ac:dyDescent="0.45">
      <c r="D472" s="4"/>
      <c r="E472" s="4"/>
      <c r="F472" s="4"/>
    </row>
    <row r="473" spans="4:6" ht="17.399999999999999" thickBot="1" x14ac:dyDescent="0.45">
      <c r="D473" s="4"/>
      <c r="E473" s="4"/>
      <c r="F473" s="4"/>
    </row>
    <row r="474" spans="4:6" ht="17.399999999999999" thickBot="1" x14ac:dyDescent="0.45">
      <c r="D474" s="4"/>
      <c r="E474" s="4"/>
      <c r="F474" s="4"/>
    </row>
    <row r="475" spans="4:6" ht="17.399999999999999" thickBot="1" x14ac:dyDescent="0.45">
      <c r="D475" s="4"/>
      <c r="E475" s="4"/>
      <c r="F475" s="4"/>
    </row>
    <row r="476" spans="4:6" ht="17.399999999999999" thickBot="1" x14ac:dyDescent="0.45">
      <c r="D476" s="4"/>
      <c r="E476" s="4"/>
      <c r="F476" s="4"/>
    </row>
    <row r="477" spans="4:6" ht="17.399999999999999" thickBot="1" x14ac:dyDescent="0.45">
      <c r="D477" s="4"/>
      <c r="E477" s="4"/>
      <c r="F477" s="4"/>
    </row>
    <row r="478" spans="4:6" ht="17.399999999999999" thickBot="1" x14ac:dyDescent="0.45">
      <c r="D478" s="4"/>
      <c r="E478" s="4"/>
      <c r="F478" s="4"/>
    </row>
    <row r="479" spans="4:6" ht="17.399999999999999" thickBot="1" x14ac:dyDescent="0.45">
      <c r="D479" s="4"/>
      <c r="E479" s="4"/>
      <c r="F479" s="4"/>
    </row>
    <row r="480" spans="4:6" ht="17.399999999999999" thickBot="1" x14ac:dyDescent="0.45">
      <c r="D480" s="4"/>
      <c r="E480" s="4"/>
      <c r="F480" s="4"/>
    </row>
    <row r="481" spans="4:6" ht="17.399999999999999" thickBot="1" x14ac:dyDescent="0.45">
      <c r="D481" s="4"/>
      <c r="E481" s="4"/>
      <c r="F481" s="4"/>
    </row>
    <row r="482" spans="4:6" ht="17.399999999999999" thickBot="1" x14ac:dyDescent="0.45">
      <c r="D482" s="4"/>
      <c r="E482" s="4"/>
      <c r="F482" s="4"/>
    </row>
    <row r="483" spans="4:6" ht="17.399999999999999" thickBot="1" x14ac:dyDescent="0.45">
      <c r="D483" s="4"/>
      <c r="E483" s="4"/>
      <c r="F483" s="4"/>
    </row>
    <row r="484" spans="4:6" ht="17.399999999999999" thickBot="1" x14ac:dyDescent="0.45">
      <c r="D484" s="4"/>
      <c r="E484" s="4"/>
      <c r="F484" s="4"/>
    </row>
    <row r="485" spans="4:6" ht="17.399999999999999" thickBot="1" x14ac:dyDescent="0.45">
      <c r="D485" s="4"/>
      <c r="E485" s="4"/>
      <c r="F485" s="4"/>
    </row>
    <row r="486" spans="4:6" ht="17.399999999999999" thickBot="1" x14ac:dyDescent="0.45">
      <c r="D486" s="4"/>
      <c r="E486" s="4"/>
      <c r="F486" s="4"/>
    </row>
    <row r="487" spans="4:6" ht="17.399999999999999" thickBot="1" x14ac:dyDescent="0.45">
      <c r="D487" s="4"/>
      <c r="E487" s="4"/>
      <c r="F487" s="4"/>
    </row>
    <row r="488" spans="4:6" ht="17.399999999999999" thickBot="1" x14ac:dyDescent="0.45">
      <c r="D488" s="4"/>
      <c r="E488" s="4"/>
      <c r="F488" s="4"/>
    </row>
    <row r="489" spans="4:6" ht="17.399999999999999" thickBot="1" x14ac:dyDescent="0.45">
      <c r="D489" s="4"/>
      <c r="E489" s="4"/>
      <c r="F489" s="4"/>
    </row>
    <row r="490" spans="4:6" ht="17.399999999999999" thickBot="1" x14ac:dyDescent="0.45">
      <c r="D490" s="4"/>
      <c r="E490" s="4"/>
      <c r="F490" s="4"/>
    </row>
    <row r="491" spans="4:6" ht="17.399999999999999" thickBot="1" x14ac:dyDescent="0.45">
      <c r="D491" s="4"/>
      <c r="E491" s="4"/>
      <c r="F491" s="4"/>
    </row>
    <row r="492" spans="4:6" ht="17.399999999999999" thickBot="1" x14ac:dyDescent="0.45">
      <c r="D492" s="4"/>
      <c r="E492" s="4"/>
      <c r="F492" s="4"/>
    </row>
    <row r="493" spans="4:6" ht="17.399999999999999" thickBot="1" x14ac:dyDescent="0.45">
      <c r="D493" s="4"/>
      <c r="E493" s="4"/>
      <c r="F493" s="4"/>
    </row>
    <row r="494" spans="4:6" ht="17.399999999999999" thickBot="1" x14ac:dyDescent="0.45">
      <c r="D494" s="4"/>
      <c r="E494" s="4"/>
      <c r="F494" s="4"/>
    </row>
    <row r="495" spans="4:6" ht="17.399999999999999" thickBot="1" x14ac:dyDescent="0.45">
      <c r="D495" s="4"/>
      <c r="E495" s="4"/>
      <c r="F495" s="4"/>
    </row>
    <row r="496" spans="4:6" ht="17.399999999999999" thickBot="1" x14ac:dyDescent="0.45">
      <c r="D496" s="4"/>
      <c r="E496" s="4"/>
      <c r="F496" s="4"/>
    </row>
    <row r="497" spans="4:6" ht="17.399999999999999" thickBot="1" x14ac:dyDescent="0.45">
      <c r="D497" s="4"/>
      <c r="E497" s="4"/>
      <c r="F497" s="4"/>
    </row>
    <row r="498" spans="4:6" ht="17.399999999999999" thickBot="1" x14ac:dyDescent="0.45">
      <c r="D498" s="4"/>
      <c r="E498" s="4"/>
      <c r="F498" s="4"/>
    </row>
    <row r="499" spans="4:6" ht="17.399999999999999" thickBot="1" x14ac:dyDescent="0.45">
      <c r="D499" s="4"/>
      <c r="E499" s="4"/>
      <c r="F499" s="4"/>
    </row>
    <row r="500" spans="4:6" ht="17.399999999999999" thickBot="1" x14ac:dyDescent="0.45">
      <c r="D500" s="4"/>
      <c r="E500" s="4"/>
      <c r="F500" s="4"/>
    </row>
    <row r="501" spans="4:6" ht="17.399999999999999" thickBot="1" x14ac:dyDescent="0.45">
      <c r="D501" s="4"/>
      <c r="E501" s="4"/>
      <c r="F501" s="4"/>
    </row>
    <row r="502" spans="4:6" ht="17.399999999999999" thickBot="1" x14ac:dyDescent="0.45">
      <c r="D502" s="4"/>
      <c r="E502" s="4"/>
      <c r="F502" s="4"/>
    </row>
    <row r="503" spans="4:6" ht="17.399999999999999" thickBot="1" x14ac:dyDescent="0.45">
      <c r="D503" s="4"/>
      <c r="E503" s="4"/>
      <c r="F503" s="4"/>
    </row>
    <row r="504" spans="4:6" ht="17.399999999999999" thickBot="1" x14ac:dyDescent="0.45">
      <c r="D504" s="4"/>
      <c r="E504" s="4"/>
      <c r="F504" s="4"/>
    </row>
    <row r="505" spans="4:6" ht="17.399999999999999" thickBot="1" x14ac:dyDescent="0.45">
      <c r="D505" s="4"/>
      <c r="E505" s="4"/>
      <c r="F505" s="4"/>
    </row>
    <row r="506" spans="4:6" ht="17.399999999999999" thickBot="1" x14ac:dyDescent="0.45">
      <c r="D506" s="4"/>
      <c r="E506" s="4"/>
      <c r="F506" s="4"/>
    </row>
    <row r="507" spans="4:6" ht="17.399999999999999" thickBot="1" x14ac:dyDescent="0.45">
      <c r="D507" s="4"/>
      <c r="E507" s="4"/>
      <c r="F507" s="4"/>
    </row>
    <row r="508" spans="4:6" ht="17.399999999999999" thickBot="1" x14ac:dyDescent="0.45">
      <c r="D508" s="4"/>
      <c r="E508" s="4"/>
      <c r="F508" s="4"/>
    </row>
    <row r="509" spans="4:6" ht="17.399999999999999" thickBot="1" x14ac:dyDescent="0.45">
      <c r="D509" s="4"/>
      <c r="E509" s="4"/>
      <c r="F509" s="4"/>
    </row>
    <row r="510" spans="4:6" ht="17.399999999999999" thickBot="1" x14ac:dyDescent="0.45">
      <c r="D510" s="4"/>
      <c r="E510" s="4"/>
      <c r="F510" s="4"/>
    </row>
    <row r="511" spans="4:6" ht="17.399999999999999" thickBot="1" x14ac:dyDescent="0.45">
      <c r="D511" s="4"/>
      <c r="E511" s="4"/>
      <c r="F511" s="4"/>
    </row>
    <row r="512" spans="4:6" ht="17.399999999999999" thickBot="1" x14ac:dyDescent="0.45">
      <c r="D512" s="4"/>
      <c r="E512" s="4"/>
      <c r="F512" s="4"/>
    </row>
    <row r="513" spans="4:6" ht="17.399999999999999" thickBot="1" x14ac:dyDescent="0.45">
      <c r="D513" s="4"/>
      <c r="E513" s="4"/>
      <c r="F513" s="4"/>
    </row>
    <row r="514" spans="4:6" ht="17.399999999999999" thickBot="1" x14ac:dyDescent="0.45">
      <c r="D514" s="4"/>
      <c r="E514" s="4"/>
      <c r="F514" s="4"/>
    </row>
    <row r="515" spans="4:6" ht="17.399999999999999" thickBot="1" x14ac:dyDescent="0.45">
      <c r="D515" s="4"/>
      <c r="E515" s="4"/>
      <c r="F515" s="4"/>
    </row>
    <row r="516" spans="4:6" ht="17.399999999999999" thickBot="1" x14ac:dyDescent="0.45">
      <c r="D516" s="4"/>
      <c r="E516" s="4"/>
      <c r="F516" s="4"/>
    </row>
    <row r="517" spans="4:6" ht="17.399999999999999" thickBot="1" x14ac:dyDescent="0.45">
      <c r="D517" s="4"/>
      <c r="E517" s="4"/>
      <c r="F517" s="4"/>
    </row>
    <row r="518" spans="4:6" ht="17.399999999999999" thickBot="1" x14ac:dyDescent="0.45">
      <c r="D518" s="4"/>
      <c r="E518" s="4"/>
      <c r="F518" s="4"/>
    </row>
    <row r="519" spans="4:6" ht="17.399999999999999" thickBot="1" x14ac:dyDescent="0.45">
      <c r="D519" s="4"/>
      <c r="E519" s="4"/>
      <c r="F519" s="4"/>
    </row>
    <row r="520" spans="4:6" ht="17.399999999999999" thickBot="1" x14ac:dyDescent="0.45">
      <c r="D520" s="4"/>
      <c r="E520" s="4"/>
      <c r="F520" s="4"/>
    </row>
    <row r="521" spans="4:6" ht="17.399999999999999" thickBot="1" x14ac:dyDescent="0.45">
      <c r="D521" s="4"/>
      <c r="E521" s="4"/>
      <c r="F521" s="4"/>
    </row>
    <row r="522" spans="4:6" ht="17.399999999999999" thickBot="1" x14ac:dyDescent="0.45">
      <c r="D522" s="4"/>
      <c r="E522" s="4"/>
      <c r="F522" s="4"/>
    </row>
    <row r="523" spans="4:6" ht="17.399999999999999" thickBot="1" x14ac:dyDescent="0.45">
      <c r="D523" s="4"/>
      <c r="E523" s="4"/>
      <c r="F523" s="4"/>
    </row>
    <row r="524" spans="4:6" ht="17.399999999999999" thickBot="1" x14ac:dyDescent="0.45">
      <c r="D524" s="4"/>
      <c r="E524" s="4"/>
      <c r="F524" s="4"/>
    </row>
    <row r="525" spans="4:6" ht="17.399999999999999" thickBot="1" x14ac:dyDescent="0.45">
      <c r="D525" s="4"/>
      <c r="E525" s="4"/>
      <c r="F525" s="4"/>
    </row>
    <row r="526" spans="4:6" ht="17.399999999999999" thickBot="1" x14ac:dyDescent="0.45">
      <c r="D526" s="4"/>
      <c r="E526" s="4"/>
      <c r="F526" s="4"/>
    </row>
    <row r="527" spans="4:6" ht="17.399999999999999" thickBot="1" x14ac:dyDescent="0.45">
      <c r="D527" s="4"/>
      <c r="E527" s="4"/>
      <c r="F527" s="4"/>
    </row>
    <row r="528" spans="4:6" ht="17.399999999999999" thickBot="1" x14ac:dyDescent="0.45">
      <c r="D528" s="4"/>
      <c r="E528" s="4"/>
      <c r="F528" s="4"/>
    </row>
    <row r="529" spans="4:6" ht="17.399999999999999" thickBot="1" x14ac:dyDescent="0.45">
      <c r="D529" s="4"/>
      <c r="E529" s="4"/>
      <c r="F529" s="4"/>
    </row>
    <row r="530" spans="4:6" ht="17.399999999999999" thickBot="1" x14ac:dyDescent="0.45">
      <c r="D530" s="4"/>
      <c r="E530" s="4"/>
      <c r="F530" s="4"/>
    </row>
    <row r="531" spans="4:6" ht="17.399999999999999" thickBot="1" x14ac:dyDescent="0.45">
      <c r="D531" s="4"/>
      <c r="E531" s="4"/>
      <c r="F531" s="4"/>
    </row>
    <row r="532" spans="4:6" ht="17.399999999999999" thickBot="1" x14ac:dyDescent="0.45">
      <c r="D532" s="4"/>
      <c r="E532" s="4"/>
      <c r="F532" s="4"/>
    </row>
    <row r="533" spans="4:6" ht="17.399999999999999" thickBot="1" x14ac:dyDescent="0.45">
      <c r="D533" s="4"/>
      <c r="E533" s="4"/>
      <c r="F533" s="4"/>
    </row>
    <row r="534" spans="4:6" ht="17.399999999999999" thickBot="1" x14ac:dyDescent="0.45">
      <c r="D534" s="4"/>
      <c r="E534" s="4"/>
      <c r="F534" s="4"/>
    </row>
    <row r="535" spans="4:6" ht="17.399999999999999" thickBot="1" x14ac:dyDescent="0.45">
      <c r="D535" s="4"/>
      <c r="E535" s="4"/>
      <c r="F535" s="4"/>
    </row>
    <row r="536" spans="4:6" ht="17.399999999999999" thickBot="1" x14ac:dyDescent="0.45">
      <c r="D536" s="4"/>
      <c r="E536" s="4"/>
      <c r="F536" s="4"/>
    </row>
    <row r="537" spans="4:6" ht="17.399999999999999" thickBot="1" x14ac:dyDescent="0.45">
      <c r="D537" s="4"/>
      <c r="E537" s="4"/>
      <c r="F537" s="4"/>
    </row>
    <row r="538" spans="4:6" ht="17.399999999999999" thickBot="1" x14ac:dyDescent="0.45">
      <c r="D538" s="4"/>
      <c r="E538" s="4"/>
      <c r="F538" s="4"/>
    </row>
    <row r="539" spans="4:6" ht="17.399999999999999" thickBot="1" x14ac:dyDescent="0.45">
      <c r="D539" s="4"/>
      <c r="E539" s="4"/>
      <c r="F539" s="4"/>
    </row>
    <row r="540" spans="4:6" ht="17.399999999999999" thickBot="1" x14ac:dyDescent="0.45">
      <c r="D540" s="4"/>
      <c r="E540" s="4"/>
      <c r="F540" s="4"/>
    </row>
    <row r="541" spans="4:6" ht="17.399999999999999" thickBot="1" x14ac:dyDescent="0.45">
      <c r="D541" s="4"/>
      <c r="E541" s="4"/>
      <c r="F541" s="4"/>
    </row>
    <row r="542" spans="4:6" ht="17.399999999999999" thickBot="1" x14ac:dyDescent="0.45">
      <c r="D542" s="4"/>
      <c r="E542" s="4"/>
      <c r="F542" s="4"/>
    </row>
    <row r="543" spans="4:6" ht="17.399999999999999" thickBot="1" x14ac:dyDescent="0.45">
      <c r="D543" s="4"/>
      <c r="E543" s="4"/>
      <c r="F543" s="4"/>
    </row>
    <row r="544" spans="4:6" ht="17.399999999999999" thickBot="1" x14ac:dyDescent="0.45">
      <c r="D544" s="4"/>
      <c r="E544" s="4"/>
      <c r="F544" s="4"/>
    </row>
    <row r="545" spans="4:6" ht="17.399999999999999" thickBot="1" x14ac:dyDescent="0.45">
      <c r="D545" s="4"/>
      <c r="E545" s="4"/>
      <c r="F545" s="4"/>
    </row>
    <row r="546" spans="4:6" ht="17.399999999999999" thickBot="1" x14ac:dyDescent="0.45">
      <c r="D546" s="4"/>
      <c r="E546" s="4"/>
      <c r="F546" s="4"/>
    </row>
    <row r="547" spans="4:6" ht="17.399999999999999" thickBot="1" x14ac:dyDescent="0.45">
      <c r="D547" s="4"/>
      <c r="E547" s="4"/>
      <c r="F547" s="4"/>
    </row>
    <row r="548" spans="4:6" ht="17.399999999999999" thickBot="1" x14ac:dyDescent="0.45">
      <c r="D548" s="4"/>
      <c r="E548" s="4"/>
      <c r="F548" s="4"/>
    </row>
    <row r="549" spans="4:6" ht="17.399999999999999" thickBot="1" x14ac:dyDescent="0.45">
      <c r="D549" s="4"/>
      <c r="E549" s="4"/>
      <c r="F549" s="4"/>
    </row>
    <row r="550" spans="4:6" ht="17.399999999999999" thickBot="1" x14ac:dyDescent="0.45">
      <c r="D550" s="4"/>
      <c r="E550" s="4"/>
      <c r="F550" s="4"/>
    </row>
    <row r="551" spans="4:6" ht="17.399999999999999" thickBot="1" x14ac:dyDescent="0.45">
      <c r="D551" s="4"/>
      <c r="E551" s="4"/>
      <c r="F551" s="4"/>
    </row>
    <row r="552" spans="4:6" ht="17.399999999999999" thickBot="1" x14ac:dyDescent="0.45">
      <c r="D552" s="4"/>
      <c r="E552" s="4"/>
      <c r="F552" s="4"/>
    </row>
    <row r="553" spans="4:6" ht="17.399999999999999" thickBot="1" x14ac:dyDescent="0.45">
      <c r="D553" s="4"/>
      <c r="E553" s="4"/>
      <c r="F553" s="4"/>
    </row>
    <row r="554" spans="4:6" ht="17.399999999999999" thickBot="1" x14ac:dyDescent="0.45">
      <c r="D554" s="4"/>
      <c r="E554" s="4"/>
      <c r="F554" s="4"/>
    </row>
    <row r="555" spans="4:6" ht="17.399999999999999" thickBot="1" x14ac:dyDescent="0.45">
      <c r="D555" s="4"/>
      <c r="E555" s="4"/>
      <c r="F555" s="4"/>
    </row>
    <row r="556" spans="4:6" ht="17.399999999999999" thickBot="1" x14ac:dyDescent="0.45">
      <c r="D556" s="4"/>
      <c r="E556" s="4"/>
      <c r="F556" s="4"/>
    </row>
    <row r="557" spans="4:6" ht="17.399999999999999" thickBot="1" x14ac:dyDescent="0.45">
      <c r="D557" s="4"/>
      <c r="E557" s="4"/>
      <c r="F557" s="4"/>
    </row>
    <row r="558" spans="4:6" ht="17.399999999999999" thickBot="1" x14ac:dyDescent="0.45">
      <c r="D558" s="4"/>
      <c r="E558" s="4"/>
      <c r="F558" s="4"/>
    </row>
    <row r="559" spans="4:6" ht="17.399999999999999" thickBot="1" x14ac:dyDescent="0.45">
      <c r="D559" s="4"/>
      <c r="E559" s="4"/>
      <c r="F559" s="4"/>
    </row>
    <row r="560" spans="4:6" ht="17.399999999999999" thickBot="1" x14ac:dyDescent="0.45">
      <c r="D560" s="4"/>
      <c r="E560" s="4"/>
      <c r="F560" s="4"/>
    </row>
    <row r="561" spans="4:6" ht="17.399999999999999" thickBot="1" x14ac:dyDescent="0.45">
      <c r="D561" s="4"/>
      <c r="E561" s="4"/>
      <c r="F561" s="4"/>
    </row>
    <row r="562" spans="4:6" ht="17.399999999999999" thickBot="1" x14ac:dyDescent="0.45">
      <c r="D562" s="4"/>
      <c r="E562" s="4"/>
      <c r="F562" s="4"/>
    </row>
    <row r="563" spans="4:6" ht="17.399999999999999" thickBot="1" x14ac:dyDescent="0.45">
      <c r="D563" s="4"/>
      <c r="E563" s="4"/>
      <c r="F563" s="4"/>
    </row>
    <row r="564" spans="4:6" ht="17.399999999999999" thickBot="1" x14ac:dyDescent="0.45">
      <c r="D564" s="4"/>
      <c r="E564" s="4"/>
      <c r="F564" s="4"/>
    </row>
    <row r="565" spans="4:6" ht="17.399999999999999" thickBot="1" x14ac:dyDescent="0.45">
      <c r="D565" s="4"/>
      <c r="E565" s="4"/>
      <c r="F565" s="4"/>
    </row>
    <row r="566" spans="4:6" ht="17.399999999999999" thickBot="1" x14ac:dyDescent="0.45">
      <c r="D566" s="4"/>
      <c r="E566" s="4"/>
      <c r="F566" s="4"/>
    </row>
    <row r="567" spans="4:6" ht="17.399999999999999" thickBot="1" x14ac:dyDescent="0.45">
      <c r="D567" s="4"/>
      <c r="E567" s="4"/>
      <c r="F567" s="4"/>
    </row>
    <row r="568" spans="4:6" ht="17.399999999999999" thickBot="1" x14ac:dyDescent="0.45">
      <c r="D568" s="4"/>
      <c r="E568" s="4"/>
      <c r="F568" s="4"/>
    </row>
    <row r="569" spans="4:6" ht="17.399999999999999" thickBot="1" x14ac:dyDescent="0.45">
      <c r="D569" s="4"/>
      <c r="E569" s="4"/>
      <c r="F569" s="4"/>
    </row>
    <row r="570" spans="4:6" ht="17.399999999999999" thickBot="1" x14ac:dyDescent="0.45">
      <c r="D570" s="4"/>
      <c r="E570" s="4"/>
      <c r="F570" s="4"/>
    </row>
    <row r="571" spans="4:6" ht="17.399999999999999" thickBot="1" x14ac:dyDescent="0.45">
      <c r="D571" s="4"/>
      <c r="E571" s="4"/>
      <c r="F571" s="4"/>
    </row>
    <row r="572" spans="4:6" ht="17.399999999999999" thickBot="1" x14ac:dyDescent="0.45">
      <c r="D572" s="4"/>
      <c r="E572" s="4"/>
      <c r="F572" s="4"/>
    </row>
    <row r="573" spans="4:6" ht="17.399999999999999" thickBot="1" x14ac:dyDescent="0.45">
      <c r="D573" s="4"/>
      <c r="E573" s="4"/>
      <c r="F573" s="4"/>
    </row>
    <row r="574" spans="4:6" ht="17.399999999999999" thickBot="1" x14ac:dyDescent="0.45">
      <c r="D574" s="4"/>
      <c r="E574" s="4"/>
      <c r="F574" s="4"/>
    </row>
    <row r="575" spans="4:6" ht="17.399999999999999" thickBot="1" x14ac:dyDescent="0.45">
      <c r="D575" s="4"/>
      <c r="E575" s="4"/>
      <c r="F575" s="4"/>
    </row>
    <row r="576" spans="4:6" ht="17.399999999999999" thickBot="1" x14ac:dyDescent="0.45">
      <c r="D576" s="4"/>
      <c r="E576" s="4"/>
      <c r="F576" s="4"/>
    </row>
    <row r="577" spans="4:6" ht="17.399999999999999" thickBot="1" x14ac:dyDescent="0.45">
      <c r="D577" s="4"/>
      <c r="E577" s="4"/>
      <c r="F577" s="4"/>
    </row>
    <row r="578" spans="4:6" ht="17.399999999999999" thickBot="1" x14ac:dyDescent="0.45">
      <c r="D578" s="4"/>
      <c r="E578" s="4"/>
      <c r="F578" s="4"/>
    </row>
    <row r="579" spans="4:6" ht="17.399999999999999" thickBot="1" x14ac:dyDescent="0.45">
      <c r="D579" s="4"/>
      <c r="E579" s="4"/>
      <c r="F579" s="4"/>
    </row>
    <row r="580" spans="4:6" ht="17.399999999999999" thickBot="1" x14ac:dyDescent="0.45">
      <c r="D580" s="4"/>
      <c r="E580" s="4"/>
      <c r="F580" s="4"/>
    </row>
    <row r="581" spans="4:6" ht="17.399999999999999" thickBot="1" x14ac:dyDescent="0.45">
      <c r="D581" s="4"/>
      <c r="E581" s="4"/>
      <c r="F581" s="4"/>
    </row>
    <row r="582" spans="4:6" ht="17.399999999999999" thickBot="1" x14ac:dyDescent="0.45">
      <c r="D582" s="4"/>
      <c r="E582" s="4"/>
      <c r="F582" s="4"/>
    </row>
    <row r="583" spans="4:6" ht="17.399999999999999" thickBot="1" x14ac:dyDescent="0.45">
      <c r="D583" s="4"/>
      <c r="E583" s="4"/>
      <c r="F583" s="4"/>
    </row>
    <row r="584" spans="4:6" ht="17.399999999999999" thickBot="1" x14ac:dyDescent="0.45">
      <c r="D584" s="4"/>
      <c r="E584" s="4"/>
      <c r="F584" s="4"/>
    </row>
    <row r="585" spans="4:6" ht="17.399999999999999" thickBot="1" x14ac:dyDescent="0.45">
      <c r="D585" s="4"/>
      <c r="E585" s="4"/>
      <c r="F585" s="4"/>
    </row>
    <row r="586" spans="4:6" ht="17.399999999999999" thickBot="1" x14ac:dyDescent="0.45">
      <c r="D586" s="4"/>
      <c r="E586" s="4"/>
      <c r="F586" s="4"/>
    </row>
    <row r="587" spans="4:6" ht="17.399999999999999" thickBot="1" x14ac:dyDescent="0.45">
      <c r="D587" s="4"/>
      <c r="E587" s="4"/>
      <c r="F587" s="4"/>
    </row>
    <row r="588" spans="4:6" ht="17.399999999999999" thickBot="1" x14ac:dyDescent="0.45">
      <c r="D588" s="4"/>
      <c r="E588" s="4"/>
      <c r="F588" s="4"/>
    </row>
    <row r="589" spans="4:6" ht="17.399999999999999" thickBot="1" x14ac:dyDescent="0.45">
      <c r="D589" s="4"/>
      <c r="E589" s="4"/>
      <c r="F589" s="4"/>
    </row>
    <row r="590" spans="4:6" ht="17.399999999999999" thickBot="1" x14ac:dyDescent="0.45">
      <c r="D590" s="4"/>
      <c r="E590" s="4"/>
      <c r="F590" s="4"/>
    </row>
    <row r="591" spans="4:6" ht="17.399999999999999" thickBot="1" x14ac:dyDescent="0.45">
      <c r="D591" s="4"/>
      <c r="E591" s="4"/>
      <c r="F591" s="4"/>
    </row>
    <row r="592" spans="4:6" ht="17.399999999999999" thickBot="1" x14ac:dyDescent="0.45">
      <c r="D592" s="4"/>
      <c r="E592" s="4"/>
      <c r="F592" s="4"/>
    </row>
    <row r="593" spans="4:6" ht="17.399999999999999" thickBot="1" x14ac:dyDescent="0.45">
      <c r="D593" s="4"/>
      <c r="E593" s="4"/>
      <c r="F593" s="4"/>
    </row>
    <row r="594" spans="4:6" ht="17.399999999999999" thickBot="1" x14ac:dyDescent="0.45">
      <c r="D594" s="4"/>
      <c r="E594" s="4"/>
      <c r="F594" s="4"/>
    </row>
    <row r="595" spans="4:6" ht="17.399999999999999" thickBot="1" x14ac:dyDescent="0.45">
      <c r="D595" s="4"/>
      <c r="E595" s="4"/>
      <c r="F595" s="4"/>
    </row>
    <row r="596" spans="4:6" ht="17.399999999999999" thickBot="1" x14ac:dyDescent="0.45">
      <c r="D596" s="4"/>
      <c r="E596" s="4"/>
      <c r="F596" s="4"/>
    </row>
    <row r="597" spans="4:6" ht="17.399999999999999" thickBot="1" x14ac:dyDescent="0.45">
      <c r="D597" s="4"/>
      <c r="E597" s="4"/>
      <c r="F597" s="4"/>
    </row>
    <row r="598" spans="4:6" ht="17.399999999999999" thickBot="1" x14ac:dyDescent="0.45">
      <c r="D598" s="4"/>
      <c r="E598" s="4"/>
      <c r="F598" s="4"/>
    </row>
    <row r="599" spans="4:6" ht="17.399999999999999" thickBot="1" x14ac:dyDescent="0.45">
      <c r="D599" s="4"/>
      <c r="E599" s="4"/>
      <c r="F599" s="4"/>
    </row>
    <row r="600" spans="4:6" ht="17.399999999999999" thickBot="1" x14ac:dyDescent="0.45">
      <c r="D600" s="4"/>
      <c r="E600" s="4"/>
      <c r="F600" s="4"/>
    </row>
    <row r="601" spans="4:6" ht="17.399999999999999" thickBot="1" x14ac:dyDescent="0.45">
      <c r="D601" s="4"/>
      <c r="E601" s="4"/>
      <c r="F601" s="4"/>
    </row>
    <row r="602" spans="4:6" ht="17.399999999999999" thickBot="1" x14ac:dyDescent="0.45">
      <c r="D602" s="4"/>
      <c r="E602" s="4"/>
      <c r="F602" s="4"/>
    </row>
    <row r="603" spans="4:6" ht="17.399999999999999" thickBot="1" x14ac:dyDescent="0.45">
      <c r="D603" s="4"/>
      <c r="E603" s="4"/>
      <c r="F603" s="4"/>
    </row>
    <row r="604" spans="4:6" ht="17.399999999999999" thickBot="1" x14ac:dyDescent="0.45">
      <c r="D604" s="4"/>
      <c r="E604" s="4"/>
      <c r="F604" s="4"/>
    </row>
    <row r="605" spans="4:6" ht="17.399999999999999" thickBot="1" x14ac:dyDescent="0.45">
      <c r="D605" s="4"/>
      <c r="E605" s="4"/>
      <c r="F605" s="4"/>
    </row>
    <row r="606" spans="4:6" ht="17.399999999999999" thickBot="1" x14ac:dyDescent="0.45">
      <c r="D606" s="4"/>
      <c r="E606" s="4"/>
      <c r="F606" s="4"/>
    </row>
    <row r="607" spans="4:6" ht="17.399999999999999" thickBot="1" x14ac:dyDescent="0.45">
      <c r="D607" s="4"/>
      <c r="E607" s="4"/>
      <c r="F607" s="4"/>
    </row>
    <row r="608" spans="4:6" ht="17.399999999999999" thickBot="1" x14ac:dyDescent="0.45">
      <c r="D608" s="4"/>
      <c r="E608" s="4"/>
      <c r="F608" s="4"/>
    </row>
    <row r="609" spans="4:6" ht="17.399999999999999" thickBot="1" x14ac:dyDescent="0.45">
      <c r="D609" s="4"/>
      <c r="E609" s="4"/>
      <c r="F609" s="4"/>
    </row>
    <row r="610" spans="4:6" ht="17.399999999999999" thickBot="1" x14ac:dyDescent="0.45">
      <c r="D610" s="4"/>
      <c r="E610" s="4"/>
      <c r="F610" s="4"/>
    </row>
    <row r="611" spans="4:6" ht="17.399999999999999" thickBot="1" x14ac:dyDescent="0.45">
      <c r="D611" s="4"/>
      <c r="E611" s="4"/>
      <c r="F611" s="4"/>
    </row>
    <row r="612" spans="4:6" ht="17.399999999999999" thickBot="1" x14ac:dyDescent="0.45">
      <c r="D612" s="4"/>
      <c r="E612" s="4"/>
      <c r="F612" s="4"/>
    </row>
    <row r="613" spans="4:6" ht="17.399999999999999" thickBot="1" x14ac:dyDescent="0.45">
      <c r="D613" s="4"/>
      <c r="E613" s="4"/>
      <c r="F613" s="4"/>
    </row>
    <row r="614" spans="4:6" ht="17.399999999999999" thickBot="1" x14ac:dyDescent="0.45">
      <c r="D614" s="4"/>
      <c r="E614" s="4"/>
      <c r="F614" s="4"/>
    </row>
    <row r="615" spans="4:6" ht="17.399999999999999" thickBot="1" x14ac:dyDescent="0.45">
      <c r="D615" s="4"/>
      <c r="E615" s="4"/>
      <c r="F615" s="4"/>
    </row>
    <row r="616" spans="4:6" ht="17.399999999999999" thickBot="1" x14ac:dyDescent="0.45">
      <c r="D616" s="4"/>
      <c r="E616" s="4"/>
      <c r="F616" s="4"/>
    </row>
    <row r="617" spans="4:6" ht="17.399999999999999" thickBot="1" x14ac:dyDescent="0.45">
      <c r="D617" s="4"/>
      <c r="E617" s="4"/>
      <c r="F617" s="4"/>
    </row>
    <row r="618" spans="4:6" ht="17.399999999999999" thickBot="1" x14ac:dyDescent="0.45">
      <c r="D618" s="4"/>
      <c r="E618" s="4"/>
      <c r="F618" s="4"/>
    </row>
    <row r="619" spans="4:6" ht="17.399999999999999" thickBot="1" x14ac:dyDescent="0.45">
      <c r="D619" s="4"/>
      <c r="E619" s="4"/>
      <c r="F619" s="4"/>
    </row>
    <row r="620" spans="4:6" ht="17.399999999999999" thickBot="1" x14ac:dyDescent="0.45">
      <c r="D620" s="4"/>
      <c r="E620" s="4"/>
      <c r="F620" s="4"/>
    </row>
    <row r="621" spans="4:6" ht="17.399999999999999" thickBot="1" x14ac:dyDescent="0.45">
      <c r="D621" s="4"/>
      <c r="E621" s="4"/>
      <c r="F621" s="4"/>
    </row>
    <row r="622" spans="4:6" ht="17.399999999999999" thickBot="1" x14ac:dyDescent="0.45">
      <c r="D622" s="4"/>
      <c r="E622" s="4"/>
      <c r="F622" s="4"/>
    </row>
    <row r="623" spans="4:6" ht="17.399999999999999" thickBot="1" x14ac:dyDescent="0.45">
      <c r="D623" s="4"/>
      <c r="E623" s="4"/>
      <c r="F623" s="4"/>
    </row>
    <row r="624" spans="4:6" ht="17.399999999999999" thickBot="1" x14ac:dyDescent="0.45">
      <c r="D624" s="4"/>
      <c r="E624" s="4"/>
      <c r="F624" s="4"/>
    </row>
    <row r="625" spans="4:6" ht="17.399999999999999" thickBot="1" x14ac:dyDescent="0.45">
      <c r="D625" s="4"/>
      <c r="E625" s="4"/>
      <c r="F625" s="4"/>
    </row>
    <row r="626" spans="4:6" ht="17.399999999999999" thickBot="1" x14ac:dyDescent="0.45">
      <c r="D626" s="4"/>
      <c r="E626" s="4"/>
      <c r="F626" s="4"/>
    </row>
    <row r="627" spans="4:6" ht="17.399999999999999" thickBot="1" x14ac:dyDescent="0.45">
      <c r="D627" s="4"/>
      <c r="E627" s="4"/>
      <c r="F627" s="4"/>
    </row>
    <row r="628" spans="4:6" ht="17.399999999999999" thickBot="1" x14ac:dyDescent="0.45">
      <c r="D628" s="4"/>
      <c r="E628" s="4"/>
      <c r="F628" s="4"/>
    </row>
    <row r="629" spans="4:6" ht="17.399999999999999" thickBot="1" x14ac:dyDescent="0.45">
      <c r="D629" s="4"/>
      <c r="E629" s="4"/>
      <c r="F629" s="4"/>
    </row>
    <row r="630" spans="4:6" ht="17.399999999999999" thickBot="1" x14ac:dyDescent="0.45">
      <c r="D630" s="4"/>
      <c r="E630" s="4"/>
      <c r="F630" s="4"/>
    </row>
    <row r="631" spans="4:6" ht="17.399999999999999" thickBot="1" x14ac:dyDescent="0.45">
      <c r="D631" s="4"/>
      <c r="E631" s="4"/>
      <c r="F631" s="4"/>
    </row>
    <row r="632" spans="4:6" ht="17.399999999999999" thickBot="1" x14ac:dyDescent="0.45">
      <c r="D632" s="4"/>
      <c r="E632" s="4"/>
      <c r="F632" s="4"/>
    </row>
    <row r="633" spans="4:6" ht="17.399999999999999" thickBot="1" x14ac:dyDescent="0.45">
      <c r="D633" s="4"/>
      <c r="E633" s="4"/>
      <c r="F633" s="4"/>
    </row>
    <row r="634" spans="4:6" ht="17.399999999999999" thickBot="1" x14ac:dyDescent="0.45">
      <c r="D634" s="4"/>
      <c r="E634" s="4"/>
      <c r="F634" s="4"/>
    </row>
    <row r="635" spans="4:6" ht="17.399999999999999" thickBot="1" x14ac:dyDescent="0.45">
      <c r="D635" s="4"/>
      <c r="E635" s="4"/>
      <c r="F635" s="4"/>
    </row>
    <row r="636" spans="4:6" ht="17.399999999999999" thickBot="1" x14ac:dyDescent="0.45">
      <c r="D636" s="4"/>
      <c r="E636" s="4"/>
      <c r="F636" s="4"/>
    </row>
    <row r="637" spans="4:6" ht="17.399999999999999" thickBot="1" x14ac:dyDescent="0.45">
      <c r="D637" s="4"/>
      <c r="E637" s="4"/>
      <c r="F637" s="4"/>
    </row>
    <row r="638" spans="4:6" ht="17.399999999999999" thickBot="1" x14ac:dyDescent="0.45">
      <c r="D638" s="4"/>
      <c r="E638" s="4"/>
      <c r="F638" s="4"/>
    </row>
    <row r="639" spans="4:6" ht="17.399999999999999" thickBot="1" x14ac:dyDescent="0.45">
      <c r="D639" s="4"/>
      <c r="E639" s="4"/>
      <c r="F639" s="4"/>
    </row>
    <row r="640" spans="4:6" ht="17.399999999999999" thickBot="1" x14ac:dyDescent="0.45">
      <c r="D640" s="4"/>
      <c r="E640" s="4"/>
      <c r="F640" s="4"/>
    </row>
    <row r="641" spans="4:6" ht="17.399999999999999" thickBot="1" x14ac:dyDescent="0.45">
      <c r="D641" s="4"/>
      <c r="E641" s="4"/>
      <c r="F641" s="4"/>
    </row>
    <row r="642" spans="4:6" ht="17.399999999999999" thickBot="1" x14ac:dyDescent="0.45">
      <c r="D642" s="4"/>
      <c r="E642" s="4"/>
      <c r="F642" s="4"/>
    </row>
    <row r="643" spans="4:6" ht="17.399999999999999" thickBot="1" x14ac:dyDescent="0.45">
      <c r="D643" s="4"/>
      <c r="E643" s="4"/>
      <c r="F643" s="4"/>
    </row>
    <row r="644" spans="4:6" ht="17.399999999999999" thickBot="1" x14ac:dyDescent="0.45">
      <c r="D644" s="4"/>
      <c r="E644" s="4"/>
      <c r="F644" s="4"/>
    </row>
    <row r="645" spans="4:6" ht="17.399999999999999" thickBot="1" x14ac:dyDescent="0.45">
      <c r="D645" s="4"/>
      <c r="E645" s="4"/>
      <c r="F645" s="4"/>
    </row>
    <row r="646" spans="4:6" ht="17.399999999999999" thickBot="1" x14ac:dyDescent="0.45">
      <c r="D646" s="4"/>
      <c r="E646" s="4"/>
      <c r="F646" s="4"/>
    </row>
    <row r="647" spans="4:6" ht="17.399999999999999" thickBot="1" x14ac:dyDescent="0.45">
      <c r="D647" s="4"/>
      <c r="E647" s="4"/>
      <c r="F647" s="4"/>
    </row>
    <row r="648" spans="4:6" ht="17.399999999999999" thickBot="1" x14ac:dyDescent="0.45">
      <c r="D648" s="4"/>
      <c r="E648" s="4"/>
      <c r="F648" s="4"/>
    </row>
    <row r="649" spans="4:6" ht="17.399999999999999" thickBot="1" x14ac:dyDescent="0.45">
      <c r="D649" s="4"/>
      <c r="E649" s="4"/>
      <c r="F649" s="4"/>
    </row>
    <row r="650" spans="4:6" ht="17.399999999999999" thickBot="1" x14ac:dyDescent="0.45">
      <c r="D650" s="4"/>
      <c r="E650" s="4"/>
      <c r="F650" s="4"/>
    </row>
    <row r="651" spans="4:6" ht="17.399999999999999" thickBot="1" x14ac:dyDescent="0.45">
      <c r="D651" s="4"/>
      <c r="E651" s="4"/>
      <c r="F651" s="4"/>
    </row>
    <row r="652" spans="4:6" ht="17.399999999999999" thickBot="1" x14ac:dyDescent="0.45">
      <c r="D652" s="4"/>
      <c r="E652" s="4"/>
      <c r="F652" s="4"/>
    </row>
    <row r="653" spans="4:6" ht="17.399999999999999" thickBot="1" x14ac:dyDescent="0.45">
      <c r="D653" s="4"/>
      <c r="E653" s="4"/>
      <c r="F653" s="4"/>
    </row>
    <row r="654" spans="4:6" ht="17.399999999999999" thickBot="1" x14ac:dyDescent="0.45">
      <c r="D654" s="4"/>
      <c r="E654" s="4"/>
      <c r="F654" s="4"/>
    </row>
    <row r="655" spans="4:6" ht="17.399999999999999" thickBot="1" x14ac:dyDescent="0.45">
      <c r="D655" s="4"/>
      <c r="E655" s="4"/>
      <c r="F655" s="4"/>
    </row>
    <row r="656" spans="4:6" ht="17.399999999999999" thickBot="1" x14ac:dyDescent="0.45">
      <c r="D656" s="4"/>
      <c r="E656" s="4"/>
      <c r="F656" s="4"/>
    </row>
    <row r="657" spans="4:6" ht="17.399999999999999" thickBot="1" x14ac:dyDescent="0.45">
      <c r="D657" s="4"/>
      <c r="E657" s="4"/>
      <c r="F657" s="4"/>
    </row>
    <row r="658" spans="4:6" ht="17.399999999999999" thickBot="1" x14ac:dyDescent="0.45">
      <c r="D658" s="4"/>
      <c r="E658" s="4"/>
      <c r="F658" s="4"/>
    </row>
    <row r="659" spans="4:6" ht="17.399999999999999" thickBot="1" x14ac:dyDescent="0.45">
      <c r="D659" s="4"/>
      <c r="E659" s="4"/>
      <c r="F659" s="4"/>
    </row>
    <row r="660" spans="4:6" ht="17.399999999999999" thickBot="1" x14ac:dyDescent="0.45">
      <c r="D660" s="4"/>
      <c r="E660" s="4"/>
      <c r="F660" s="4"/>
    </row>
    <row r="661" spans="4:6" ht="17.399999999999999" thickBot="1" x14ac:dyDescent="0.45">
      <c r="D661" s="4"/>
      <c r="E661" s="4"/>
      <c r="F661" s="4"/>
    </row>
    <row r="662" spans="4:6" ht="17.399999999999999" thickBot="1" x14ac:dyDescent="0.45">
      <c r="D662" s="4"/>
      <c r="E662" s="4"/>
      <c r="F662" s="4"/>
    </row>
    <row r="663" spans="4:6" ht="17.399999999999999" thickBot="1" x14ac:dyDescent="0.45">
      <c r="D663" s="4"/>
      <c r="E663" s="4"/>
      <c r="F663" s="4"/>
    </row>
    <row r="664" spans="4:6" ht="17.399999999999999" thickBot="1" x14ac:dyDescent="0.45">
      <c r="D664" s="4"/>
      <c r="E664" s="4"/>
      <c r="F664" s="4"/>
    </row>
    <row r="665" spans="4:6" ht="17.399999999999999" thickBot="1" x14ac:dyDescent="0.45">
      <c r="D665" s="4"/>
      <c r="E665" s="4"/>
      <c r="F665" s="4"/>
    </row>
    <row r="666" spans="4:6" ht="17.399999999999999" thickBot="1" x14ac:dyDescent="0.45">
      <c r="D666" s="4"/>
      <c r="E666" s="4"/>
      <c r="F666" s="4"/>
    </row>
    <row r="667" spans="4:6" ht="17.399999999999999" thickBot="1" x14ac:dyDescent="0.45">
      <c r="D667" s="4"/>
      <c r="E667" s="4"/>
      <c r="F667" s="4"/>
    </row>
    <row r="668" spans="4:6" ht="17.399999999999999" thickBot="1" x14ac:dyDescent="0.45">
      <c r="D668" s="4"/>
      <c r="E668" s="4"/>
      <c r="F668" s="4"/>
    </row>
    <row r="669" spans="4:6" ht="17.399999999999999" thickBot="1" x14ac:dyDescent="0.45">
      <c r="D669" s="4"/>
      <c r="E669" s="4"/>
      <c r="F669" s="4"/>
    </row>
    <row r="670" spans="4:6" ht="17.399999999999999" thickBot="1" x14ac:dyDescent="0.45">
      <c r="D670" s="4"/>
      <c r="E670" s="4"/>
      <c r="F670" s="4"/>
    </row>
    <row r="671" spans="4:6" ht="17.399999999999999" thickBot="1" x14ac:dyDescent="0.45">
      <c r="D671" s="4"/>
      <c r="E671" s="4"/>
      <c r="F671" s="4"/>
    </row>
    <row r="672" spans="4:6" ht="17.399999999999999" thickBot="1" x14ac:dyDescent="0.45">
      <c r="D672" s="4"/>
      <c r="E672" s="4"/>
      <c r="F672" s="4"/>
    </row>
    <row r="673" spans="4:6" ht="17.399999999999999" thickBot="1" x14ac:dyDescent="0.45">
      <c r="D673" s="4"/>
      <c r="E673" s="4"/>
      <c r="F673" s="4"/>
    </row>
    <row r="674" spans="4:6" ht="17.399999999999999" thickBot="1" x14ac:dyDescent="0.45">
      <c r="D674" s="4"/>
      <c r="E674" s="4"/>
      <c r="F674" s="4"/>
    </row>
    <row r="675" spans="4:6" ht="17.399999999999999" thickBot="1" x14ac:dyDescent="0.45">
      <c r="D675" s="4"/>
      <c r="E675" s="4"/>
      <c r="F675" s="4"/>
    </row>
    <row r="676" spans="4:6" ht="17.399999999999999" thickBot="1" x14ac:dyDescent="0.45">
      <c r="D676" s="4"/>
      <c r="E676" s="4"/>
      <c r="F676" s="4"/>
    </row>
    <row r="677" spans="4:6" ht="17.399999999999999" thickBot="1" x14ac:dyDescent="0.45">
      <c r="D677" s="4"/>
      <c r="E677" s="4"/>
      <c r="F677" s="4"/>
    </row>
    <row r="678" spans="4:6" ht="17.399999999999999" thickBot="1" x14ac:dyDescent="0.45">
      <c r="D678" s="4"/>
      <c r="E678" s="4"/>
      <c r="F678" s="4"/>
    </row>
    <row r="679" spans="4:6" ht="17.399999999999999" thickBot="1" x14ac:dyDescent="0.45">
      <c r="D679" s="4"/>
      <c r="E679" s="4"/>
      <c r="F679" s="4"/>
    </row>
    <row r="680" spans="4:6" ht="17.399999999999999" thickBot="1" x14ac:dyDescent="0.45">
      <c r="D680" s="4"/>
      <c r="E680" s="4"/>
      <c r="F680" s="4"/>
    </row>
    <row r="681" spans="4:6" ht="17.399999999999999" thickBot="1" x14ac:dyDescent="0.45">
      <c r="D681" s="4"/>
      <c r="E681" s="4"/>
      <c r="F681" s="4"/>
    </row>
    <row r="682" spans="4:6" ht="17.399999999999999" thickBot="1" x14ac:dyDescent="0.45">
      <c r="D682" s="4"/>
      <c r="E682" s="4"/>
      <c r="F682" s="4"/>
    </row>
    <row r="683" spans="4:6" ht="17.399999999999999" thickBot="1" x14ac:dyDescent="0.45">
      <c r="D683" s="4"/>
      <c r="E683" s="4"/>
      <c r="F683" s="4"/>
    </row>
    <row r="684" spans="4:6" ht="17.399999999999999" thickBot="1" x14ac:dyDescent="0.45">
      <c r="D684" s="4"/>
      <c r="E684" s="4"/>
      <c r="F684" s="4"/>
    </row>
    <row r="685" spans="4:6" ht="17.399999999999999" thickBot="1" x14ac:dyDescent="0.45">
      <c r="D685" s="4"/>
      <c r="E685" s="4"/>
      <c r="F685" s="4"/>
    </row>
    <row r="686" spans="4:6" ht="17.399999999999999" thickBot="1" x14ac:dyDescent="0.45">
      <c r="D686" s="4"/>
      <c r="E686" s="4"/>
      <c r="F686" s="4"/>
    </row>
    <row r="687" spans="4:6" ht="17.399999999999999" thickBot="1" x14ac:dyDescent="0.45">
      <c r="D687" s="4"/>
      <c r="E687" s="4"/>
      <c r="F687" s="4"/>
    </row>
    <row r="688" spans="4:6" ht="17.399999999999999" thickBot="1" x14ac:dyDescent="0.45">
      <c r="D688" s="4"/>
      <c r="E688" s="4"/>
      <c r="F688" s="4"/>
    </row>
    <row r="689" spans="4:6" ht="17.399999999999999" thickBot="1" x14ac:dyDescent="0.45">
      <c r="D689" s="4"/>
      <c r="E689" s="4"/>
      <c r="F689" s="4"/>
    </row>
    <row r="690" spans="4:6" ht="17.399999999999999" thickBot="1" x14ac:dyDescent="0.45">
      <c r="D690" s="4"/>
      <c r="E690" s="4"/>
      <c r="F690" s="4"/>
    </row>
    <row r="691" spans="4:6" ht="17.399999999999999" thickBot="1" x14ac:dyDescent="0.45">
      <c r="D691" s="4"/>
      <c r="E691" s="4"/>
      <c r="F691" s="4"/>
    </row>
    <row r="692" spans="4:6" ht="17.399999999999999" thickBot="1" x14ac:dyDescent="0.45">
      <c r="D692" s="4"/>
      <c r="E692" s="4"/>
      <c r="F692" s="4"/>
    </row>
    <row r="693" spans="4:6" ht="17.399999999999999" thickBot="1" x14ac:dyDescent="0.45">
      <c r="D693" s="4"/>
      <c r="E693" s="4"/>
      <c r="F693" s="4"/>
    </row>
    <row r="694" spans="4:6" ht="17.399999999999999" thickBot="1" x14ac:dyDescent="0.45">
      <c r="D694" s="4"/>
      <c r="E694" s="4"/>
      <c r="F694" s="4"/>
    </row>
    <row r="695" spans="4:6" ht="17.399999999999999" thickBot="1" x14ac:dyDescent="0.45">
      <c r="D695" s="4"/>
      <c r="E695" s="4"/>
      <c r="F695" s="4"/>
    </row>
    <row r="696" spans="4:6" ht="17.399999999999999" thickBot="1" x14ac:dyDescent="0.45">
      <c r="D696" s="4"/>
      <c r="E696" s="4"/>
      <c r="F696" s="4"/>
    </row>
    <row r="697" spans="4:6" ht="17.399999999999999" thickBot="1" x14ac:dyDescent="0.45">
      <c r="D697" s="4"/>
      <c r="E697" s="4"/>
      <c r="F697" s="4"/>
    </row>
    <row r="698" spans="4:6" ht="17.399999999999999" thickBot="1" x14ac:dyDescent="0.45">
      <c r="D698" s="4"/>
      <c r="E698" s="4"/>
      <c r="F698" s="4"/>
    </row>
    <row r="699" spans="4:6" ht="17.399999999999999" thickBot="1" x14ac:dyDescent="0.45">
      <c r="D699" s="4"/>
      <c r="E699" s="4"/>
      <c r="F699" s="4"/>
    </row>
    <row r="700" spans="4:6" ht="17.399999999999999" thickBot="1" x14ac:dyDescent="0.45">
      <c r="D700" s="4"/>
      <c r="E700" s="4"/>
      <c r="F700" s="4"/>
    </row>
    <row r="701" spans="4:6" ht="17.399999999999999" thickBot="1" x14ac:dyDescent="0.45">
      <c r="D701" s="4"/>
      <c r="E701" s="4"/>
      <c r="F701" s="4"/>
    </row>
    <row r="702" spans="4:6" ht="17.399999999999999" thickBot="1" x14ac:dyDescent="0.45">
      <c r="D702" s="4"/>
      <c r="E702" s="4"/>
      <c r="F702" s="4"/>
    </row>
    <row r="703" spans="4:6" ht="17.399999999999999" thickBot="1" x14ac:dyDescent="0.45">
      <c r="D703" s="4"/>
      <c r="E703" s="4"/>
      <c r="F703" s="4"/>
    </row>
    <row r="704" spans="4:6" ht="17.399999999999999" thickBot="1" x14ac:dyDescent="0.45">
      <c r="D704" s="4"/>
      <c r="E704" s="4"/>
      <c r="F704" s="4"/>
    </row>
    <row r="705" spans="4:6" ht="17.399999999999999" thickBot="1" x14ac:dyDescent="0.45">
      <c r="D705" s="4"/>
      <c r="E705" s="4"/>
      <c r="F705" s="4"/>
    </row>
    <row r="706" spans="4:6" ht="17.399999999999999" thickBot="1" x14ac:dyDescent="0.45">
      <c r="D706" s="4"/>
      <c r="E706" s="4"/>
      <c r="F706" s="4"/>
    </row>
    <row r="707" spans="4:6" ht="17.399999999999999" thickBot="1" x14ac:dyDescent="0.45">
      <c r="D707" s="4"/>
      <c r="E707" s="4"/>
      <c r="F707" s="4"/>
    </row>
    <row r="708" spans="4:6" ht="17.399999999999999" thickBot="1" x14ac:dyDescent="0.45">
      <c r="D708" s="4"/>
      <c r="E708" s="4"/>
      <c r="F708" s="4"/>
    </row>
    <row r="709" spans="4:6" ht="17.399999999999999" thickBot="1" x14ac:dyDescent="0.45">
      <c r="D709" s="4"/>
      <c r="E709" s="4"/>
      <c r="F709" s="4"/>
    </row>
    <row r="710" spans="4:6" ht="17.399999999999999" thickBot="1" x14ac:dyDescent="0.45">
      <c r="D710" s="4"/>
      <c r="E710" s="4"/>
      <c r="F710" s="4"/>
    </row>
    <row r="711" spans="4:6" ht="17.399999999999999" thickBot="1" x14ac:dyDescent="0.45">
      <c r="D711" s="4"/>
      <c r="E711" s="4"/>
      <c r="F711" s="4"/>
    </row>
    <row r="712" spans="4:6" ht="17.399999999999999" thickBot="1" x14ac:dyDescent="0.45">
      <c r="D712" s="4"/>
      <c r="E712" s="4"/>
      <c r="F712" s="4"/>
    </row>
    <row r="713" spans="4:6" ht="17.399999999999999" thickBot="1" x14ac:dyDescent="0.45">
      <c r="D713" s="4"/>
      <c r="E713" s="4"/>
      <c r="F713" s="4"/>
    </row>
    <row r="714" spans="4:6" ht="17.399999999999999" thickBot="1" x14ac:dyDescent="0.45">
      <c r="D714" s="4"/>
      <c r="E714" s="4"/>
      <c r="F714" s="4"/>
    </row>
    <row r="715" spans="4:6" ht="17.399999999999999" thickBot="1" x14ac:dyDescent="0.45">
      <c r="D715" s="4"/>
      <c r="E715" s="4"/>
      <c r="F715" s="4"/>
    </row>
    <row r="716" spans="4:6" ht="17.399999999999999" thickBot="1" x14ac:dyDescent="0.45">
      <c r="D716" s="4"/>
      <c r="E716" s="4"/>
      <c r="F716" s="4"/>
    </row>
    <row r="717" spans="4:6" ht="17.399999999999999" thickBot="1" x14ac:dyDescent="0.45">
      <c r="D717" s="4"/>
      <c r="E717" s="4"/>
      <c r="F717" s="4"/>
    </row>
    <row r="718" spans="4:6" ht="17.399999999999999" thickBot="1" x14ac:dyDescent="0.45">
      <c r="D718" s="4"/>
      <c r="E718" s="4"/>
      <c r="F718" s="4"/>
    </row>
    <row r="719" spans="4:6" ht="17.399999999999999" thickBot="1" x14ac:dyDescent="0.45">
      <c r="D719" s="4"/>
      <c r="E719" s="4"/>
      <c r="F719" s="4"/>
    </row>
    <row r="720" spans="4:6" ht="17.399999999999999" thickBot="1" x14ac:dyDescent="0.45">
      <c r="D720" s="4"/>
      <c r="E720" s="4"/>
      <c r="F720" s="4"/>
    </row>
    <row r="721" spans="4:6" ht="17.399999999999999" thickBot="1" x14ac:dyDescent="0.45">
      <c r="D721" s="4"/>
      <c r="E721" s="4"/>
      <c r="F721" s="4"/>
    </row>
    <row r="722" spans="4:6" ht="17.399999999999999" thickBot="1" x14ac:dyDescent="0.45">
      <c r="D722" s="4"/>
      <c r="E722" s="4"/>
      <c r="F722" s="4"/>
    </row>
    <row r="723" spans="4:6" ht="17.399999999999999" thickBot="1" x14ac:dyDescent="0.45">
      <c r="D723" s="4"/>
      <c r="E723" s="4"/>
      <c r="F723" s="4"/>
    </row>
    <row r="724" spans="4:6" ht="17.399999999999999" thickBot="1" x14ac:dyDescent="0.45">
      <c r="D724" s="4"/>
      <c r="E724" s="4"/>
      <c r="F724" s="4"/>
    </row>
    <row r="725" spans="4:6" ht="17.399999999999999" thickBot="1" x14ac:dyDescent="0.45">
      <c r="D725" s="4"/>
      <c r="E725" s="4"/>
      <c r="F725" s="4"/>
    </row>
    <row r="726" spans="4:6" ht="17.399999999999999" thickBot="1" x14ac:dyDescent="0.45">
      <c r="D726" s="4"/>
      <c r="E726" s="4"/>
      <c r="F726" s="4"/>
    </row>
    <row r="727" spans="4:6" ht="17.399999999999999" thickBot="1" x14ac:dyDescent="0.45">
      <c r="D727" s="4"/>
      <c r="E727" s="4"/>
      <c r="F727" s="4"/>
    </row>
    <row r="728" spans="4:6" ht="17.399999999999999" thickBot="1" x14ac:dyDescent="0.45">
      <c r="D728" s="4"/>
      <c r="E728" s="4"/>
      <c r="F728" s="4"/>
    </row>
    <row r="729" spans="4:6" ht="17.399999999999999" thickBot="1" x14ac:dyDescent="0.45">
      <c r="D729" s="4"/>
      <c r="E729" s="4"/>
      <c r="F729" s="4"/>
    </row>
    <row r="730" spans="4:6" ht="17.399999999999999" thickBot="1" x14ac:dyDescent="0.45">
      <c r="D730" s="4"/>
      <c r="E730" s="4"/>
      <c r="F730" s="4"/>
    </row>
    <row r="731" spans="4:6" ht="17.399999999999999" thickBot="1" x14ac:dyDescent="0.45">
      <c r="D731" s="4"/>
      <c r="E731" s="4"/>
      <c r="F731" s="4"/>
    </row>
    <row r="732" spans="4:6" ht="17.399999999999999" thickBot="1" x14ac:dyDescent="0.45">
      <c r="D732" s="4"/>
      <c r="E732" s="4"/>
      <c r="F732" s="4"/>
    </row>
    <row r="733" spans="4:6" ht="17.399999999999999" thickBot="1" x14ac:dyDescent="0.45">
      <c r="D733" s="4"/>
      <c r="E733" s="4"/>
      <c r="F733" s="4"/>
    </row>
    <row r="734" spans="4:6" ht="17.399999999999999" thickBot="1" x14ac:dyDescent="0.45">
      <c r="D734" s="4"/>
      <c r="E734" s="4"/>
      <c r="F734" s="4"/>
    </row>
    <row r="735" spans="4:6" ht="17.399999999999999" thickBot="1" x14ac:dyDescent="0.45">
      <c r="D735" s="4"/>
      <c r="E735" s="4"/>
      <c r="F735" s="4"/>
    </row>
    <row r="736" spans="4:6" ht="17.399999999999999" thickBot="1" x14ac:dyDescent="0.45">
      <c r="D736" s="4"/>
      <c r="E736" s="4"/>
      <c r="F736" s="4"/>
    </row>
    <row r="737" spans="4:6" ht="17.399999999999999" thickBot="1" x14ac:dyDescent="0.45">
      <c r="D737" s="4"/>
      <c r="E737" s="4"/>
      <c r="F737" s="4"/>
    </row>
    <row r="738" spans="4:6" ht="17.399999999999999" thickBot="1" x14ac:dyDescent="0.45">
      <c r="D738" s="4"/>
      <c r="E738" s="4"/>
      <c r="F738" s="4"/>
    </row>
    <row r="739" spans="4:6" ht="17.399999999999999" thickBot="1" x14ac:dyDescent="0.45">
      <c r="D739" s="4"/>
      <c r="E739" s="4"/>
      <c r="F739" s="4"/>
    </row>
    <row r="740" spans="4:6" ht="17.399999999999999" thickBot="1" x14ac:dyDescent="0.45">
      <c r="D740" s="4"/>
      <c r="E740" s="4"/>
      <c r="F740" s="4"/>
    </row>
    <row r="741" spans="4:6" ht="17.399999999999999" thickBot="1" x14ac:dyDescent="0.45">
      <c r="D741" s="4"/>
      <c r="E741" s="4"/>
      <c r="F741" s="4"/>
    </row>
    <row r="742" spans="4:6" ht="17.399999999999999" thickBot="1" x14ac:dyDescent="0.45">
      <c r="D742" s="4"/>
      <c r="E742" s="4"/>
      <c r="F742" s="4"/>
    </row>
    <row r="743" spans="4:6" ht="17.399999999999999" thickBot="1" x14ac:dyDescent="0.45">
      <c r="D743" s="4"/>
      <c r="E743" s="4"/>
      <c r="F743" s="4"/>
    </row>
    <row r="744" spans="4:6" ht="17.399999999999999" thickBot="1" x14ac:dyDescent="0.45">
      <c r="D744" s="4"/>
      <c r="E744" s="4"/>
      <c r="F744" s="4"/>
    </row>
    <row r="745" spans="4:6" ht="17.399999999999999" thickBot="1" x14ac:dyDescent="0.45">
      <c r="D745" s="4"/>
      <c r="E745" s="4"/>
      <c r="F745" s="4"/>
    </row>
    <row r="746" spans="4:6" ht="17.399999999999999" thickBot="1" x14ac:dyDescent="0.45">
      <c r="D746" s="4"/>
      <c r="E746" s="4"/>
      <c r="F746" s="4"/>
    </row>
    <row r="747" spans="4:6" ht="17.399999999999999" thickBot="1" x14ac:dyDescent="0.45">
      <c r="D747" s="4"/>
      <c r="E747" s="4"/>
      <c r="F747" s="4"/>
    </row>
    <row r="748" spans="4:6" ht="17.399999999999999" thickBot="1" x14ac:dyDescent="0.45">
      <c r="D748" s="4"/>
      <c r="E748" s="4"/>
      <c r="F748" s="4"/>
    </row>
    <row r="749" spans="4:6" ht="17.399999999999999" thickBot="1" x14ac:dyDescent="0.45">
      <c r="D749" s="4"/>
      <c r="E749" s="4"/>
      <c r="F749" s="4"/>
    </row>
    <row r="750" spans="4:6" ht="17.399999999999999" thickBot="1" x14ac:dyDescent="0.45">
      <c r="D750" s="4"/>
      <c r="E750" s="4"/>
      <c r="F750" s="4"/>
    </row>
    <row r="751" spans="4:6" ht="17.399999999999999" thickBot="1" x14ac:dyDescent="0.45">
      <c r="D751" s="4"/>
      <c r="E751" s="4"/>
      <c r="F751" s="4"/>
    </row>
    <row r="752" spans="4:6" ht="17.399999999999999" thickBot="1" x14ac:dyDescent="0.45">
      <c r="D752" s="4"/>
      <c r="E752" s="4"/>
      <c r="F752" s="4"/>
    </row>
    <row r="753" spans="4:6" ht="17.399999999999999" thickBot="1" x14ac:dyDescent="0.45">
      <c r="D753" s="4"/>
      <c r="E753" s="4"/>
      <c r="F753" s="4"/>
    </row>
    <row r="754" spans="4:6" ht="17.399999999999999" thickBot="1" x14ac:dyDescent="0.45">
      <c r="D754" s="4"/>
      <c r="E754" s="4"/>
      <c r="F754" s="4"/>
    </row>
    <row r="755" spans="4:6" ht="17.399999999999999" thickBot="1" x14ac:dyDescent="0.45">
      <c r="D755" s="4"/>
      <c r="E755" s="4"/>
      <c r="F755" s="4"/>
    </row>
    <row r="756" spans="4:6" ht="17.399999999999999" thickBot="1" x14ac:dyDescent="0.45">
      <c r="D756" s="4"/>
      <c r="E756" s="4"/>
      <c r="F756" s="4"/>
    </row>
    <row r="757" spans="4:6" ht="17.399999999999999" thickBot="1" x14ac:dyDescent="0.45">
      <c r="D757" s="4"/>
      <c r="E757" s="4"/>
      <c r="F757" s="4"/>
    </row>
    <row r="758" spans="4:6" ht="17.399999999999999" thickBot="1" x14ac:dyDescent="0.45">
      <c r="D758" s="4"/>
      <c r="E758" s="4"/>
      <c r="F758" s="4"/>
    </row>
    <row r="759" spans="4:6" ht="17.399999999999999" thickBot="1" x14ac:dyDescent="0.45">
      <c r="D759" s="4"/>
      <c r="E759" s="4"/>
      <c r="F759" s="4"/>
    </row>
    <row r="760" spans="4:6" ht="17.399999999999999" thickBot="1" x14ac:dyDescent="0.45">
      <c r="D760" s="4"/>
      <c r="E760" s="4"/>
      <c r="F760" s="4"/>
    </row>
    <row r="761" spans="4:6" ht="17.399999999999999" thickBot="1" x14ac:dyDescent="0.45">
      <c r="D761" s="4"/>
      <c r="E761" s="4"/>
      <c r="F761" s="4"/>
    </row>
    <row r="762" spans="4:6" ht="17.399999999999999" thickBot="1" x14ac:dyDescent="0.45">
      <c r="D762" s="4"/>
      <c r="E762" s="4"/>
      <c r="F762" s="4"/>
    </row>
    <row r="763" spans="4:6" ht="17.399999999999999" thickBot="1" x14ac:dyDescent="0.45">
      <c r="D763" s="4"/>
      <c r="E763" s="4"/>
      <c r="F763" s="4"/>
    </row>
    <row r="764" spans="4:6" ht="17.399999999999999" thickBot="1" x14ac:dyDescent="0.45">
      <c r="D764" s="4"/>
      <c r="E764" s="4"/>
      <c r="F764" s="4"/>
    </row>
    <row r="765" spans="4:6" ht="17.399999999999999" thickBot="1" x14ac:dyDescent="0.45">
      <c r="D765" s="4"/>
      <c r="E765" s="4"/>
      <c r="F765" s="4"/>
    </row>
    <row r="766" spans="4:6" ht="17.399999999999999" thickBot="1" x14ac:dyDescent="0.45">
      <c r="D766" s="4"/>
      <c r="E766" s="4"/>
      <c r="F766" s="4"/>
    </row>
    <row r="767" spans="4:6" ht="17.399999999999999" thickBot="1" x14ac:dyDescent="0.45">
      <c r="D767" s="4"/>
      <c r="E767" s="4"/>
      <c r="F767" s="4"/>
    </row>
    <row r="768" spans="4:6" ht="17.399999999999999" thickBot="1" x14ac:dyDescent="0.45">
      <c r="D768" s="4"/>
      <c r="E768" s="4"/>
      <c r="F768" s="4"/>
    </row>
    <row r="769" spans="4:6" ht="17.399999999999999" thickBot="1" x14ac:dyDescent="0.45">
      <c r="D769" s="4"/>
      <c r="E769" s="4"/>
      <c r="F769" s="4"/>
    </row>
    <row r="770" spans="4:6" ht="17.399999999999999" thickBot="1" x14ac:dyDescent="0.45">
      <c r="D770" s="4"/>
      <c r="E770" s="4"/>
      <c r="F770" s="4"/>
    </row>
    <row r="771" spans="4:6" ht="17.399999999999999" thickBot="1" x14ac:dyDescent="0.45">
      <c r="D771" s="4"/>
      <c r="E771" s="4"/>
      <c r="F771" s="4"/>
    </row>
    <row r="772" spans="4:6" ht="17.399999999999999" thickBot="1" x14ac:dyDescent="0.45">
      <c r="D772" s="4"/>
      <c r="E772" s="4"/>
      <c r="F772" s="4"/>
    </row>
    <row r="773" spans="4:6" ht="17.399999999999999" thickBot="1" x14ac:dyDescent="0.45">
      <c r="D773" s="4"/>
      <c r="E773" s="4"/>
      <c r="F773" s="4"/>
    </row>
    <row r="774" spans="4:6" ht="17.399999999999999" thickBot="1" x14ac:dyDescent="0.45">
      <c r="D774" s="4"/>
      <c r="E774" s="4"/>
      <c r="F774" s="4"/>
    </row>
    <row r="775" spans="4:6" ht="17.399999999999999" thickBot="1" x14ac:dyDescent="0.45">
      <c r="D775" s="4"/>
      <c r="E775" s="4"/>
      <c r="F775" s="4"/>
    </row>
    <row r="776" spans="4:6" ht="17.399999999999999" thickBot="1" x14ac:dyDescent="0.45">
      <c r="D776" s="4"/>
      <c r="E776" s="4"/>
      <c r="F776" s="4"/>
    </row>
    <row r="777" spans="4:6" ht="17.399999999999999" thickBot="1" x14ac:dyDescent="0.45">
      <c r="D777" s="4"/>
      <c r="E777" s="4"/>
      <c r="F777" s="4"/>
    </row>
    <row r="778" spans="4:6" ht="17.399999999999999" thickBot="1" x14ac:dyDescent="0.45">
      <c r="D778" s="4"/>
      <c r="E778" s="4"/>
      <c r="F778" s="4"/>
    </row>
    <row r="779" spans="4:6" ht="17.399999999999999" thickBot="1" x14ac:dyDescent="0.45">
      <c r="D779" s="4"/>
      <c r="E779" s="4"/>
      <c r="F779" s="4"/>
    </row>
    <row r="780" spans="4:6" ht="17.399999999999999" thickBot="1" x14ac:dyDescent="0.45">
      <c r="D780" s="4"/>
      <c r="E780" s="4"/>
      <c r="F780" s="4"/>
    </row>
    <row r="781" spans="4:6" ht="17.399999999999999" thickBot="1" x14ac:dyDescent="0.45">
      <c r="D781" s="4"/>
      <c r="E781" s="4"/>
      <c r="F781" s="4"/>
    </row>
    <row r="782" spans="4:6" ht="17.399999999999999" thickBot="1" x14ac:dyDescent="0.45">
      <c r="D782" s="4"/>
      <c r="E782" s="4"/>
      <c r="F782" s="4"/>
    </row>
    <row r="783" spans="4:6" ht="17.399999999999999" thickBot="1" x14ac:dyDescent="0.45">
      <c r="D783" s="4"/>
      <c r="E783" s="4"/>
      <c r="F783" s="4"/>
    </row>
    <row r="784" spans="4:6" ht="17.399999999999999" thickBot="1" x14ac:dyDescent="0.45">
      <c r="D784" s="4"/>
      <c r="E784" s="4"/>
      <c r="F784" s="4"/>
    </row>
    <row r="785" spans="4:6" ht="17.399999999999999" thickBot="1" x14ac:dyDescent="0.45">
      <c r="D785" s="4"/>
      <c r="E785" s="4"/>
      <c r="F785" s="4"/>
    </row>
    <row r="786" spans="4:6" ht="17.399999999999999" thickBot="1" x14ac:dyDescent="0.45">
      <c r="D786" s="4"/>
      <c r="E786" s="4"/>
      <c r="F786" s="4"/>
    </row>
    <row r="787" spans="4:6" ht="17.399999999999999" thickBot="1" x14ac:dyDescent="0.45">
      <c r="D787" s="4"/>
      <c r="E787" s="4"/>
      <c r="F787" s="4"/>
    </row>
    <row r="788" spans="4:6" ht="17.399999999999999" thickBot="1" x14ac:dyDescent="0.45">
      <c r="D788" s="4"/>
      <c r="E788" s="4"/>
      <c r="F788" s="4"/>
    </row>
    <row r="789" spans="4:6" ht="17.399999999999999" thickBot="1" x14ac:dyDescent="0.45">
      <c r="D789" s="4"/>
      <c r="E789" s="4"/>
      <c r="F789" s="4"/>
    </row>
    <row r="790" spans="4:6" ht="17.399999999999999" thickBot="1" x14ac:dyDescent="0.45">
      <c r="D790" s="4"/>
      <c r="E790" s="4"/>
      <c r="F790" s="4"/>
    </row>
    <row r="791" spans="4:6" ht="17.399999999999999" thickBot="1" x14ac:dyDescent="0.45">
      <c r="D791" s="4"/>
      <c r="E791" s="4"/>
      <c r="F791" s="4"/>
    </row>
    <row r="792" spans="4:6" ht="17.399999999999999" thickBot="1" x14ac:dyDescent="0.45">
      <c r="D792" s="4"/>
      <c r="E792" s="4"/>
      <c r="F792" s="4"/>
    </row>
    <row r="793" spans="4:6" ht="17.399999999999999" thickBot="1" x14ac:dyDescent="0.45">
      <c r="D793" s="4"/>
      <c r="E793" s="4"/>
      <c r="F793" s="4"/>
    </row>
    <row r="794" spans="4:6" ht="17.399999999999999" thickBot="1" x14ac:dyDescent="0.45">
      <c r="D794" s="4"/>
      <c r="E794" s="4"/>
      <c r="F794" s="4"/>
    </row>
    <row r="795" spans="4:6" ht="17.399999999999999" thickBot="1" x14ac:dyDescent="0.45">
      <c r="D795" s="4"/>
      <c r="E795" s="4"/>
      <c r="F795" s="4"/>
    </row>
    <row r="796" spans="4:6" ht="17.399999999999999" thickBot="1" x14ac:dyDescent="0.45">
      <c r="D796" s="4"/>
      <c r="E796" s="4"/>
      <c r="F796" s="4"/>
    </row>
    <row r="797" spans="4:6" ht="17.399999999999999" thickBot="1" x14ac:dyDescent="0.45">
      <c r="D797" s="4"/>
      <c r="E797" s="4"/>
      <c r="F797" s="4"/>
    </row>
    <row r="798" spans="4:6" ht="17.399999999999999" thickBot="1" x14ac:dyDescent="0.45">
      <c r="D798" s="4"/>
      <c r="E798" s="4"/>
      <c r="F798" s="4"/>
    </row>
    <row r="799" spans="4:6" ht="17.399999999999999" thickBot="1" x14ac:dyDescent="0.45">
      <c r="D799" s="4"/>
      <c r="E799" s="4"/>
      <c r="F799" s="4"/>
    </row>
    <row r="800" spans="4:6" ht="17.399999999999999" thickBot="1" x14ac:dyDescent="0.45">
      <c r="D800" s="4"/>
      <c r="E800" s="4"/>
      <c r="F800" s="4"/>
    </row>
    <row r="801" spans="4:6" ht="17.399999999999999" thickBot="1" x14ac:dyDescent="0.45">
      <c r="D801" s="4"/>
      <c r="E801" s="4"/>
      <c r="F801" s="4"/>
    </row>
    <row r="802" spans="4:6" ht="17.399999999999999" thickBot="1" x14ac:dyDescent="0.45">
      <c r="D802" s="4"/>
      <c r="E802" s="4"/>
      <c r="F802" s="4"/>
    </row>
    <row r="803" spans="4:6" ht="17.399999999999999" thickBot="1" x14ac:dyDescent="0.45">
      <c r="D803" s="4"/>
      <c r="E803" s="4"/>
      <c r="F803" s="4"/>
    </row>
    <row r="804" spans="4:6" ht="17.399999999999999" thickBot="1" x14ac:dyDescent="0.45">
      <c r="D804" s="4"/>
      <c r="E804" s="4"/>
      <c r="F804" s="4"/>
    </row>
    <row r="805" spans="4:6" ht="17.399999999999999" thickBot="1" x14ac:dyDescent="0.45">
      <c r="D805" s="4"/>
      <c r="E805" s="4"/>
      <c r="F805" s="4"/>
    </row>
    <row r="806" spans="4:6" ht="17.399999999999999" thickBot="1" x14ac:dyDescent="0.45">
      <c r="D806" s="4"/>
      <c r="E806" s="4"/>
      <c r="F806" s="4"/>
    </row>
    <row r="807" spans="4:6" ht="17.399999999999999" thickBot="1" x14ac:dyDescent="0.45">
      <c r="D807" s="4"/>
      <c r="E807" s="4"/>
      <c r="F807" s="4"/>
    </row>
    <row r="808" spans="4:6" ht="17.399999999999999" thickBot="1" x14ac:dyDescent="0.45">
      <c r="D808" s="4"/>
      <c r="E808" s="4"/>
      <c r="F808" s="4"/>
    </row>
    <row r="809" spans="4:6" ht="17.399999999999999" thickBot="1" x14ac:dyDescent="0.45">
      <c r="D809" s="4"/>
      <c r="E809" s="4"/>
      <c r="F809" s="4"/>
    </row>
    <row r="810" spans="4:6" ht="17.399999999999999" thickBot="1" x14ac:dyDescent="0.45">
      <c r="D810" s="4"/>
      <c r="E810" s="4"/>
      <c r="F810" s="4"/>
    </row>
    <row r="811" spans="4:6" ht="17.399999999999999" thickBot="1" x14ac:dyDescent="0.45">
      <c r="D811" s="4"/>
      <c r="E811" s="4"/>
      <c r="F811" s="4"/>
    </row>
    <row r="812" spans="4:6" ht="17.399999999999999" thickBot="1" x14ac:dyDescent="0.45">
      <c r="D812" s="4"/>
      <c r="E812" s="4"/>
      <c r="F812" s="4"/>
    </row>
    <row r="813" spans="4:6" ht="17.399999999999999" thickBot="1" x14ac:dyDescent="0.45">
      <c r="D813" s="4"/>
      <c r="E813" s="4"/>
      <c r="F813" s="4"/>
    </row>
    <row r="814" spans="4:6" ht="17.399999999999999" thickBot="1" x14ac:dyDescent="0.45">
      <c r="D814" s="4"/>
      <c r="E814" s="4"/>
      <c r="F814" s="4"/>
    </row>
    <row r="815" spans="4:6" ht="17.399999999999999" thickBot="1" x14ac:dyDescent="0.45">
      <c r="D815" s="4"/>
      <c r="E815" s="4"/>
      <c r="F815" s="4"/>
    </row>
    <row r="816" spans="4:6" ht="17.399999999999999" thickBot="1" x14ac:dyDescent="0.45">
      <c r="D816" s="4"/>
      <c r="E816" s="4"/>
      <c r="F816" s="4"/>
    </row>
    <row r="817" spans="4:6" ht="17.399999999999999" thickBot="1" x14ac:dyDescent="0.45">
      <c r="D817" s="4"/>
      <c r="E817" s="4"/>
      <c r="F817" s="4"/>
    </row>
    <row r="818" spans="4:6" ht="17.399999999999999" thickBot="1" x14ac:dyDescent="0.45">
      <c r="D818" s="4"/>
      <c r="E818" s="4"/>
      <c r="F818" s="4"/>
    </row>
    <row r="819" spans="4:6" ht="17.399999999999999" thickBot="1" x14ac:dyDescent="0.45">
      <c r="D819" s="4"/>
      <c r="E819" s="4"/>
      <c r="F819" s="4"/>
    </row>
    <row r="820" spans="4:6" ht="17.399999999999999" thickBot="1" x14ac:dyDescent="0.45">
      <c r="D820" s="4"/>
      <c r="E820" s="4"/>
      <c r="F820" s="4"/>
    </row>
    <row r="821" spans="4:6" ht="17.399999999999999" thickBot="1" x14ac:dyDescent="0.45">
      <c r="D821" s="4"/>
      <c r="E821" s="4"/>
      <c r="F821" s="4"/>
    </row>
    <row r="822" spans="4:6" ht="17.399999999999999" thickBot="1" x14ac:dyDescent="0.45">
      <c r="D822" s="4"/>
      <c r="E822" s="4"/>
      <c r="F822" s="4"/>
    </row>
    <row r="823" spans="4:6" ht="17.399999999999999" thickBot="1" x14ac:dyDescent="0.45">
      <c r="D823" s="4"/>
      <c r="E823" s="4"/>
      <c r="F823" s="4"/>
    </row>
    <row r="824" spans="4:6" ht="17.399999999999999" thickBot="1" x14ac:dyDescent="0.45">
      <c r="D824" s="4"/>
      <c r="E824" s="4"/>
      <c r="F824" s="4"/>
    </row>
    <row r="825" spans="4:6" ht="17.399999999999999" thickBot="1" x14ac:dyDescent="0.45">
      <c r="D825" s="4"/>
      <c r="E825" s="4"/>
      <c r="F825" s="4"/>
    </row>
    <row r="826" spans="4:6" ht="17.399999999999999" thickBot="1" x14ac:dyDescent="0.45">
      <c r="D826" s="4"/>
      <c r="E826" s="4"/>
      <c r="F826" s="4"/>
    </row>
    <row r="827" spans="4:6" ht="17.399999999999999" thickBot="1" x14ac:dyDescent="0.45">
      <c r="D827" s="4"/>
      <c r="E827" s="4"/>
      <c r="F827" s="4"/>
    </row>
    <row r="828" spans="4:6" ht="17.399999999999999" thickBot="1" x14ac:dyDescent="0.45">
      <c r="D828" s="4"/>
      <c r="E828" s="4"/>
      <c r="F828" s="4"/>
    </row>
    <row r="829" spans="4:6" ht="17.399999999999999" thickBot="1" x14ac:dyDescent="0.45">
      <c r="D829" s="4"/>
      <c r="E829" s="4"/>
      <c r="F829" s="4"/>
    </row>
    <row r="830" spans="4:6" ht="17.399999999999999" thickBot="1" x14ac:dyDescent="0.45">
      <c r="D830" s="4"/>
      <c r="E830" s="4"/>
      <c r="F830" s="4"/>
    </row>
    <row r="831" spans="4:6" ht="17.399999999999999" thickBot="1" x14ac:dyDescent="0.45">
      <c r="D831" s="4"/>
      <c r="E831" s="4"/>
      <c r="F831" s="4"/>
    </row>
    <row r="832" spans="4:6" ht="17.399999999999999" thickBot="1" x14ac:dyDescent="0.45">
      <c r="D832" s="4"/>
      <c r="E832" s="4"/>
      <c r="F832" s="4"/>
    </row>
    <row r="833" spans="4:6" ht="17.399999999999999" thickBot="1" x14ac:dyDescent="0.45">
      <c r="D833" s="4"/>
      <c r="E833" s="4"/>
      <c r="F833" s="4"/>
    </row>
    <row r="834" spans="4:6" ht="17.399999999999999" thickBot="1" x14ac:dyDescent="0.45">
      <c r="D834" s="4"/>
      <c r="E834" s="4"/>
      <c r="F834" s="4"/>
    </row>
    <row r="835" spans="4:6" ht="17.399999999999999" thickBot="1" x14ac:dyDescent="0.45">
      <c r="D835" s="4"/>
      <c r="E835" s="4"/>
      <c r="F835" s="4"/>
    </row>
    <row r="836" spans="4:6" ht="17.399999999999999" thickBot="1" x14ac:dyDescent="0.45">
      <c r="D836" s="4"/>
      <c r="E836" s="4"/>
      <c r="F836" s="4"/>
    </row>
    <row r="837" spans="4:6" ht="17.399999999999999" thickBot="1" x14ac:dyDescent="0.45">
      <c r="D837" s="4"/>
      <c r="E837" s="4"/>
      <c r="F837" s="4"/>
    </row>
    <row r="838" spans="4:6" ht="17.399999999999999" thickBot="1" x14ac:dyDescent="0.45">
      <c r="D838" s="4"/>
      <c r="E838" s="4"/>
      <c r="F838" s="4"/>
    </row>
    <row r="839" spans="4:6" ht="17.399999999999999" thickBot="1" x14ac:dyDescent="0.45">
      <c r="D839" s="4"/>
      <c r="E839" s="4"/>
      <c r="F839" s="4"/>
    </row>
    <row r="840" spans="4:6" ht="17.399999999999999" thickBot="1" x14ac:dyDescent="0.45">
      <c r="D840" s="4"/>
      <c r="E840" s="4"/>
      <c r="F840" s="4"/>
    </row>
    <row r="841" spans="4:6" ht="17.399999999999999" thickBot="1" x14ac:dyDescent="0.45">
      <c r="D841" s="4"/>
      <c r="E841" s="4"/>
      <c r="F841" s="4"/>
    </row>
    <row r="842" spans="4:6" ht="17.399999999999999" thickBot="1" x14ac:dyDescent="0.45">
      <c r="D842" s="4"/>
      <c r="E842" s="4"/>
      <c r="F842" s="4"/>
    </row>
    <row r="843" spans="4:6" ht="17.399999999999999" thickBot="1" x14ac:dyDescent="0.45">
      <c r="D843" s="4"/>
      <c r="E843" s="4"/>
      <c r="F843" s="4"/>
    </row>
    <row r="844" spans="4:6" ht="17.399999999999999" thickBot="1" x14ac:dyDescent="0.45">
      <c r="D844" s="4"/>
      <c r="E844" s="4"/>
      <c r="F844" s="4"/>
    </row>
    <row r="845" spans="4:6" ht="17.399999999999999" thickBot="1" x14ac:dyDescent="0.45">
      <c r="D845" s="4"/>
      <c r="E845" s="4"/>
      <c r="F845" s="4"/>
    </row>
    <row r="846" spans="4:6" ht="17.399999999999999" thickBot="1" x14ac:dyDescent="0.45">
      <c r="D846" s="4"/>
      <c r="E846" s="4"/>
      <c r="F846" s="4"/>
    </row>
    <row r="847" spans="4:6" ht="17.399999999999999" thickBot="1" x14ac:dyDescent="0.45">
      <c r="D847" s="4"/>
      <c r="E847" s="4"/>
      <c r="F847" s="4"/>
    </row>
    <row r="848" spans="4:6" ht="17.399999999999999" thickBot="1" x14ac:dyDescent="0.45">
      <c r="D848" s="4"/>
      <c r="E848" s="4"/>
      <c r="F848" s="4"/>
    </row>
    <row r="849" spans="4:6" ht="17.399999999999999" thickBot="1" x14ac:dyDescent="0.45">
      <c r="D849" s="4"/>
      <c r="E849" s="4"/>
      <c r="F849" s="4"/>
    </row>
    <row r="850" spans="4:6" ht="17.399999999999999" thickBot="1" x14ac:dyDescent="0.45">
      <c r="D850" s="4"/>
      <c r="E850" s="4"/>
      <c r="F850" s="4"/>
    </row>
    <row r="851" spans="4:6" ht="17.399999999999999" thickBot="1" x14ac:dyDescent="0.45">
      <c r="D851" s="4"/>
      <c r="E851" s="4"/>
      <c r="F851" s="4"/>
    </row>
    <row r="852" spans="4:6" ht="17.399999999999999" thickBot="1" x14ac:dyDescent="0.45">
      <c r="D852" s="4"/>
      <c r="E852" s="4"/>
      <c r="F852" s="4"/>
    </row>
    <row r="853" spans="4:6" ht="17.399999999999999" thickBot="1" x14ac:dyDescent="0.45">
      <c r="D853" s="4"/>
      <c r="E853" s="4"/>
      <c r="F853" s="4"/>
    </row>
    <row r="854" spans="4:6" ht="17.399999999999999" thickBot="1" x14ac:dyDescent="0.45">
      <c r="D854" s="4"/>
      <c r="E854" s="4"/>
      <c r="F854" s="4"/>
    </row>
    <row r="855" spans="4:6" ht="17.399999999999999" thickBot="1" x14ac:dyDescent="0.45">
      <c r="D855" s="4"/>
      <c r="E855" s="4"/>
      <c r="F855" s="4"/>
    </row>
    <row r="856" spans="4:6" ht="17.399999999999999" thickBot="1" x14ac:dyDescent="0.45">
      <c r="D856" s="4"/>
      <c r="E856" s="4"/>
      <c r="F856" s="4"/>
    </row>
    <row r="857" spans="4:6" ht="17.399999999999999" thickBot="1" x14ac:dyDescent="0.45">
      <c r="D857" s="4"/>
      <c r="E857" s="4"/>
      <c r="F857" s="4"/>
    </row>
    <row r="858" spans="4:6" ht="17.399999999999999" thickBot="1" x14ac:dyDescent="0.45">
      <c r="D858" s="4"/>
      <c r="E858" s="4"/>
      <c r="F858" s="4"/>
    </row>
    <row r="859" spans="4:6" ht="17.399999999999999" thickBot="1" x14ac:dyDescent="0.45">
      <c r="D859" s="4"/>
      <c r="E859" s="4"/>
      <c r="F859" s="4"/>
    </row>
    <row r="860" spans="4:6" ht="17.399999999999999" thickBot="1" x14ac:dyDescent="0.45">
      <c r="D860" s="4"/>
      <c r="E860" s="4"/>
      <c r="F860" s="4"/>
    </row>
    <row r="861" spans="4:6" ht="17.399999999999999" thickBot="1" x14ac:dyDescent="0.45">
      <c r="D861" s="4"/>
      <c r="E861" s="4"/>
      <c r="F861" s="4"/>
    </row>
    <row r="862" spans="4:6" ht="17.399999999999999" thickBot="1" x14ac:dyDescent="0.45">
      <c r="D862" s="4"/>
      <c r="E862" s="4"/>
      <c r="F862" s="4"/>
    </row>
    <row r="863" spans="4:6" ht="17.399999999999999" thickBot="1" x14ac:dyDescent="0.45">
      <c r="D863" s="4"/>
      <c r="E863" s="4"/>
      <c r="F863" s="4"/>
    </row>
    <row r="864" spans="4:6" ht="17.399999999999999" thickBot="1" x14ac:dyDescent="0.45">
      <c r="D864" s="4"/>
      <c r="E864" s="4"/>
      <c r="F864" s="4"/>
    </row>
    <row r="865" spans="4:6" ht="17.399999999999999" thickBot="1" x14ac:dyDescent="0.45">
      <c r="D865" s="4"/>
      <c r="E865" s="4"/>
      <c r="F865" s="4"/>
    </row>
    <row r="866" spans="4:6" ht="17.399999999999999" thickBot="1" x14ac:dyDescent="0.45">
      <c r="D866" s="4"/>
      <c r="E866" s="4"/>
      <c r="F866" s="4"/>
    </row>
    <row r="867" spans="4:6" ht="17.399999999999999" thickBot="1" x14ac:dyDescent="0.45">
      <c r="D867" s="4"/>
      <c r="E867" s="4"/>
      <c r="F867" s="4"/>
    </row>
    <row r="868" spans="4:6" ht="17.399999999999999" thickBot="1" x14ac:dyDescent="0.45">
      <c r="D868" s="4"/>
      <c r="E868" s="4"/>
      <c r="F868" s="4"/>
    </row>
    <row r="869" spans="4:6" ht="17.399999999999999" thickBot="1" x14ac:dyDescent="0.45">
      <c r="D869" s="4"/>
      <c r="E869" s="4"/>
      <c r="F869" s="4"/>
    </row>
    <row r="870" spans="4:6" ht="17.399999999999999" thickBot="1" x14ac:dyDescent="0.45">
      <c r="D870" s="4"/>
      <c r="E870" s="4"/>
      <c r="F870" s="4"/>
    </row>
    <row r="871" spans="4:6" ht="17.399999999999999" thickBot="1" x14ac:dyDescent="0.45">
      <c r="D871" s="4"/>
      <c r="E871" s="4"/>
      <c r="F871" s="4"/>
    </row>
    <row r="872" spans="4:6" ht="17.399999999999999" thickBot="1" x14ac:dyDescent="0.45">
      <c r="D872" s="4"/>
      <c r="E872" s="4"/>
      <c r="F872" s="4"/>
    </row>
    <row r="873" spans="4:6" ht="17.399999999999999" thickBot="1" x14ac:dyDescent="0.45">
      <c r="D873" s="4"/>
      <c r="E873" s="4"/>
      <c r="F873" s="4"/>
    </row>
    <row r="874" spans="4:6" ht="17.399999999999999" thickBot="1" x14ac:dyDescent="0.45">
      <c r="D874" s="4"/>
      <c r="E874" s="4"/>
      <c r="F874" s="4"/>
    </row>
    <row r="875" spans="4:6" ht="17.399999999999999" thickBot="1" x14ac:dyDescent="0.45">
      <c r="D875" s="4"/>
      <c r="E875" s="4"/>
      <c r="F875" s="4"/>
    </row>
    <row r="876" spans="4:6" ht="17.399999999999999" thickBot="1" x14ac:dyDescent="0.45">
      <c r="D876" s="4"/>
      <c r="E876" s="4"/>
      <c r="F876" s="4"/>
    </row>
    <row r="877" spans="4:6" ht="17.399999999999999" thickBot="1" x14ac:dyDescent="0.45">
      <c r="D877" s="4"/>
      <c r="E877" s="4"/>
      <c r="F877" s="4"/>
    </row>
    <row r="878" spans="4:6" ht="17.399999999999999" thickBot="1" x14ac:dyDescent="0.45">
      <c r="D878" s="4"/>
      <c r="E878" s="4"/>
      <c r="F878" s="4"/>
    </row>
    <row r="879" spans="4:6" ht="17.399999999999999" thickBot="1" x14ac:dyDescent="0.45">
      <c r="D879" s="4"/>
      <c r="E879" s="4"/>
      <c r="F879" s="4"/>
    </row>
    <row r="880" spans="4:6" ht="17.399999999999999" thickBot="1" x14ac:dyDescent="0.45">
      <c r="D880" s="4"/>
      <c r="E880" s="4"/>
      <c r="F880" s="4"/>
    </row>
    <row r="881" spans="4:6" ht="17.399999999999999" thickBot="1" x14ac:dyDescent="0.45">
      <c r="D881" s="4"/>
      <c r="E881" s="4"/>
      <c r="F881" s="4"/>
    </row>
    <row r="882" spans="4:6" ht="17.399999999999999" thickBot="1" x14ac:dyDescent="0.45">
      <c r="D882" s="4"/>
      <c r="E882" s="4"/>
      <c r="F882" s="4"/>
    </row>
    <row r="883" spans="4:6" ht="17.399999999999999" thickBot="1" x14ac:dyDescent="0.45">
      <c r="D883" s="4"/>
      <c r="E883" s="4"/>
      <c r="F883" s="4"/>
    </row>
    <row r="884" spans="4:6" ht="17.399999999999999" thickBot="1" x14ac:dyDescent="0.45">
      <c r="D884" s="4"/>
      <c r="E884" s="4"/>
      <c r="F884" s="4"/>
    </row>
    <row r="885" spans="4:6" ht="17.399999999999999" thickBot="1" x14ac:dyDescent="0.45">
      <c r="D885" s="4"/>
      <c r="E885" s="4"/>
      <c r="F885" s="4"/>
    </row>
    <row r="886" spans="4:6" ht="17.399999999999999" thickBot="1" x14ac:dyDescent="0.45">
      <c r="D886" s="4"/>
      <c r="E886" s="4"/>
      <c r="F886" s="4"/>
    </row>
    <row r="887" spans="4:6" ht="17.399999999999999" thickBot="1" x14ac:dyDescent="0.45">
      <c r="D887" s="4"/>
      <c r="E887" s="4"/>
      <c r="F887" s="4"/>
    </row>
    <row r="888" spans="4:6" ht="17.399999999999999" thickBot="1" x14ac:dyDescent="0.45">
      <c r="D888" s="4"/>
      <c r="E888" s="4"/>
      <c r="F888" s="4"/>
    </row>
    <row r="889" spans="4:6" ht="17.399999999999999" thickBot="1" x14ac:dyDescent="0.45">
      <c r="D889" s="4"/>
      <c r="E889" s="4"/>
      <c r="F889" s="4"/>
    </row>
    <row r="890" spans="4:6" ht="17.399999999999999" thickBot="1" x14ac:dyDescent="0.45">
      <c r="D890" s="4"/>
      <c r="E890" s="4"/>
      <c r="F890" s="4"/>
    </row>
    <row r="891" spans="4:6" ht="17.399999999999999" thickBot="1" x14ac:dyDescent="0.45">
      <c r="D891" s="4"/>
      <c r="E891" s="4"/>
      <c r="F891" s="4"/>
    </row>
    <row r="892" spans="4:6" ht="17.399999999999999" thickBot="1" x14ac:dyDescent="0.45">
      <c r="D892" s="4"/>
      <c r="E892" s="4"/>
      <c r="F892" s="4"/>
    </row>
    <row r="893" spans="4:6" ht="17.399999999999999" thickBot="1" x14ac:dyDescent="0.45">
      <c r="D893" s="4"/>
      <c r="E893" s="4"/>
      <c r="F893" s="4"/>
    </row>
    <row r="894" spans="4:6" ht="17.399999999999999" thickBot="1" x14ac:dyDescent="0.45">
      <c r="D894" s="4"/>
      <c r="E894" s="4"/>
      <c r="F894" s="4"/>
    </row>
    <row r="895" spans="4:6" ht="17.399999999999999" thickBot="1" x14ac:dyDescent="0.45">
      <c r="D895" s="4"/>
      <c r="E895" s="4"/>
      <c r="F895" s="4"/>
    </row>
    <row r="896" spans="4:6" ht="17.399999999999999" thickBot="1" x14ac:dyDescent="0.45">
      <c r="D896" s="4"/>
      <c r="E896" s="4"/>
      <c r="F896" s="4"/>
    </row>
    <row r="897" spans="4:6" ht="17.399999999999999" thickBot="1" x14ac:dyDescent="0.45">
      <c r="D897" s="4"/>
      <c r="E897" s="4"/>
      <c r="F897" s="4"/>
    </row>
    <row r="898" spans="4:6" ht="17.399999999999999" thickBot="1" x14ac:dyDescent="0.45">
      <c r="D898" s="4"/>
      <c r="E898" s="4"/>
      <c r="F898" s="4"/>
    </row>
    <row r="899" spans="4:6" ht="17.399999999999999" thickBot="1" x14ac:dyDescent="0.45">
      <c r="D899" s="4"/>
      <c r="E899" s="4"/>
      <c r="F899" s="4"/>
    </row>
    <row r="900" spans="4:6" ht="17.399999999999999" thickBot="1" x14ac:dyDescent="0.45">
      <c r="D900" s="4"/>
      <c r="E900" s="4"/>
      <c r="F900" s="4"/>
    </row>
    <row r="901" spans="4:6" ht="17.399999999999999" thickBot="1" x14ac:dyDescent="0.45">
      <c r="D901" s="4"/>
      <c r="E901" s="4"/>
      <c r="F901" s="4"/>
    </row>
    <row r="902" spans="4:6" ht="17.399999999999999" thickBot="1" x14ac:dyDescent="0.45">
      <c r="D902" s="4"/>
      <c r="E902" s="4"/>
      <c r="F902" s="4"/>
    </row>
    <row r="903" spans="4:6" ht="17.399999999999999" thickBot="1" x14ac:dyDescent="0.45">
      <c r="D903" s="4"/>
      <c r="E903" s="4"/>
      <c r="F903" s="4"/>
    </row>
    <row r="904" spans="4:6" ht="17.399999999999999" thickBot="1" x14ac:dyDescent="0.45">
      <c r="D904" s="4"/>
      <c r="E904" s="4"/>
      <c r="F904" s="4"/>
    </row>
    <row r="905" spans="4:6" ht="17.399999999999999" thickBot="1" x14ac:dyDescent="0.45">
      <c r="D905" s="4"/>
      <c r="E905" s="4"/>
      <c r="F905" s="4"/>
    </row>
    <row r="906" spans="4:6" ht="17.399999999999999" thickBot="1" x14ac:dyDescent="0.45">
      <c r="D906" s="4"/>
      <c r="E906" s="4"/>
      <c r="F906" s="4"/>
    </row>
    <row r="907" spans="4:6" ht="17.399999999999999" thickBot="1" x14ac:dyDescent="0.45">
      <c r="D907" s="4"/>
      <c r="E907" s="4"/>
      <c r="F907" s="4"/>
    </row>
    <row r="908" spans="4:6" ht="17.399999999999999" thickBot="1" x14ac:dyDescent="0.45">
      <c r="D908" s="4"/>
      <c r="E908" s="4"/>
      <c r="F908" s="4"/>
    </row>
    <row r="909" spans="4:6" ht="17.399999999999999" thickBot="1" x14ac:dyDescent="0.45">
      <c r="D909" s="4"/>
      <c r="E909" s="4"/>
      <c r="F909" s="4"/>
    </row>
    <row r="910" spans="4:6" ht="17.399999999999999" thickBot="1" x14ac:dyDescent="0.45">
      <c r="D910" s="4"/>
      <c r="E910" s="4"/>
      <c r="F910" s="4"/>
    </row>
    <row r="911" spans="4:6" ht="17.399999999999999" thickBot="1" x14ac:dyDescent="0.45">
      <c r="D911" s="4"/>
      <c r="E911" s="4"/>
      <c r="F911" s="4"/>
    </row>
    <row r="912" spans="4:6" ht="17.399999999999999" thickBot="1" x14ac:dyDescent="0.45">
      <c r="D912" s="4"/>
      <c r="E912" s="4"/>
      <c r="F912" s="4"/>
    </row>
    <row r="913" spans="4:6" ht="17.399999999999999" thickBot="1" x14ac:dyDescent="0.45">
      <c r="D913" s="4"/>
      <c r="E913" s="4"/>
      <c r="F913" s="4"/>
    </row>
    <row r="914" spans="4:6" ht="17.399999999999999" thickBot="1" x14ac:dyDescent="0.45">
      <c r="D914" s="4"/>
      <c r="E914" s="4"/>
      <c r="F914" s="4"/>
    </row>
    <row r="915" spans="4:6" ht="17.399999999999999" thickBot="1" x14ac:dyDescent="0.45">
      <c r="D915" s="4"/>
      <c r="E915" s="4"/>
      <c r="F915" s="4"/>
    </row>
    <row r="916" spans="4:6" ht="17.399999999999999" thickBot="1" x14ac:dyDescent="0.45">
      <c r="D916" s="4"/>
      <c r="E916" s="4"/>
      <c r="F916" s="4"/>
    </row>
    <row r="917" spans="4:6" ht="17.399999999999999" thickBot="1" x14ac:dyDescent="0.45">
      <c r="D917" s="4"/>
      <c r="E917" s="4"/>
      <c r="F917" s="4"/>
    </row>
    <row r="918" spans="4:6" ht="17.399999999999999" thickBot="1" x14ac:dyDescent="0.45">
      <c r="D918" s="4"/>
      <c r="E918" s="4"/>
      <c r="F918" s="4"/>
    </row>
    <row r="919" spans="4:6" ht="17.399999999999999" thickBot="1" x14ac:dyDescent="0.45">
      <c r="D919" s="4"/>
      <c r="E919" s="4"/>
      <c r="F919" s="4"/>
    </row>
    <row r="920" spans="4:6" ht="17.399999999999999" thickBot="1" x14ac:dyDescent="0.45">
      <c r="D920" s="4"/>
      <c r="E920" s="4"/>
      <c r="F920" s="4"/>
    </row>
    <row r="921" spans="4:6" ht="17.399999999999999" thickBot="1" x14ac:dyDescent="0.45">
      <c r="D921" s="4"/>
      <c r="E921" s="4"/>
      <c r="F921" s="4"/>
    </row>
    <row r="922" spans="4:6" ht="17.399999999999999" thickBot="1" x14ac:dyDescent="0.45">
      <c r="D922" s="4"/>
      <c r="E922" s="4"/>
      <c r="F922" s="4"/>
    </row>
    <row r="923" spans="4:6" ht="17.399999999999999" thickBot="1" x14ac:dyDescent="0.45">
      <c r="D923" s="4"/>
      <c r="E923" s="4"/>
      <c r="F923" s="4"/>
    </row>
    <row r="924" spans="4:6" ht="17.399999999999999" thickBot="1" x14ac:dyDescent="0.45">
      <c r="D924" s="4"/>
      <c r="E924" s="4"/>
      <c r="F924" s="4"/>
    </row>
    <row r="925" spans="4:6" ht="17.399999999999999" thickBot="1" x14ac:dyDescent="0.45">
      <c r="D925" s="4"/>
      <c r="E925" s="4"/>
      <c r="F925" s="4"/>
    </row>
    <row r="926" spans="4:6" ht="17.399999999999999" thickBot="1" x14ac:dyDescent="0.45">
      <c r="D926" s="4"/>
      <c r="E926" s="4"/>
      <c r="F926" s="4"/>
    </row>
    <row r="927" spans="4:6" ht="17.399999999999999" thickBot="1" x14ac:dyDescent="0.45">
      <c r="D927" s="4"/>
      <c r="E927" s="4"/>
      <c r="F927" s="4"/>
    </row>
    <row r="928" spans="4:6" ht="17.399999999999999" thickBot="1" x14ac:dyDescent="0.45">
      <c r="D928" s="4"/>
      <c r="E928" s="4"/>
      <c r="F928" s="4"/>
    </row>
    <row r="929" spans="4:6" ht="17.399999999999999" thickBot="1" x14ac:dyDescent="0.45">
      <c r="D929" s="4"/>
      <c r="E929" s="4"/>
      <c r="F929" s="4"/>
    </row>
    <row r="930" spans="4:6" ht="17.399999999999999" thickBot="1" x14ac:dyDescent="0.45">
      <c r="D930" s="4"/>
      <c r="E930" s="4"/>
      <c r="F930" s="4"/>
    </row>
    <row r="931" spans="4:6" ht="17.399999999999999" thickBot="1" x14ac:dyDescent="0.45">
      <c r="D931" s="4"/>
      <c r="E931" s="4"/>
      <c r="F931" s="4"/>
    </row>
    <row r="932" spans="4:6" ht="17.399999999999999" thickBot="1" x14ac:dyDescent="0.45">
      <c r="D932" s="4"/>
      <c r="E932" s="4"/>
      <c r="F932" s="4"/>
    </row>
    <row r="933" spans="4:6" ht="17.399999999999999" thickBot="1" x14ac:dyDescent="0.45">
      <c r="D933" s="4"/>
      <c r="E933" s="4"/>
      <c r="F933" s="4"/>
    </row>
    <row r="934" spans="4:6" ht="17.399999999999999" thickBot="1" x14ac:dyDescent="0.45">
      <c r="D934" s="4"/>
      <c r="E934" s="4"/>
      <c r="F934" s="4"/>
    </row>
    <row r="935" spans="4:6" ht="17.399999999999999" thickBot="1" x14ac:dyDescent="0.45">
      <c r="D935" s="4"/>
      <c r="E935" s="4"/>
      <c r="F935" s="4"/>
    </row>
    <row r="936" spans="4:6" ht="17.399999999999999" thickBot="1" x14ac:dyDescent="0.45">
      <c r="D936" s="4"/>
      <c r="E936" s="4"/>
      <c r="F936" s="4"/>
    </row>
    <row r="937" spans="4:6" ht="17.399999999999999" thickBot="1" x14ac:dyDescent="0.45">
      <c r="D937" s="4"/>
      <c r="E937" s="4"/>
      <c r="F937" s="4"/>
    </row>
    <row r="938" spans="4:6" ht="17.399999999999999" thickBot="1" x14ac:dyDescent="0.45">
      <c r="D938" s="4"/>
      <c r="E938" s="4"/>
      <c r="F938" s="4"/>
    </row>
    <row r="939" spans="4:6" ht="17.399999999999999" thickBot="1" x14ac:dyDescent="0.45">
      <c r="D939" s="4"/>
      <c r="E939" s="4"/>
      <c r="F939" s="4"/>
    </row>
    <row r="940" spans="4:6" ht="17.399999999999999" thickBot="1" x14ac:dyDescent="0.45">
      <c r="D940" s="4"/>
      <c r="E940" s="4"/>
      <c r="F940" s="4"/>
    </row>
    <row r="941" spans="4:6" ht="17.399999999999999" thickBot="1" x14ac:dyDescent="0.45">
      <c r="D941" s="4"/>
      <c r="E941" s="4"/>
      <c r="F941" s="4"/>
    </row>
    <row r="942" spans="4:6" ht="17.399999999999999" thickBot="1" x14ac:dyDescent="0.45">
      <c r="D942" s="4"/>
      <c r="E942" s="4"/>
      <c r="F942" s="4"/>
    </row>
    <row r="943" spans="4:6" ht="17.399999999999999" thickBot="1" x14ac:dyDescent="0.45">
      <c r="D943" s="4"/>
      <c r="E943" s="4"/>
      <c r="F943" s="4"/>
    </row>
    <row r="944" spans="4:6" ht="17.399999999999999" thickBot="1" x14ac:dyDescent="0.45">
      <c r="D944" s="4"/>
      <c r="E944" s="4"/>
      <c r="F944" s="4"/>
    </row>
    <row r="945" spans="4:6" ht="17.399999999999999" thickBot="1" x14ac:dyDescent="0.45">
      <c r="D945" s="4"/>
      <c r="E945" s="4"/>
      <c r="F945" s="4"/>
    </row>
    <row r="946" spans="4:6" ht="17.399999999999999" thickBot="1" x14ac:dyDescent="0.45">
      <c r="D946" s="4"/>
      <c r="E946" s="4"/>
      <c r="F946" s="4"/>
    </row>
    <row r="947" spans="4:6" ht="17.399999999999999" thickBot="1" x14ac:dyDescent="0.45">
      <c r="D947" s="4"/>
      <c r="E947" s="4"/>
      <c r="F947" s="4"/>
    </row>
    <row r="948" spans="4:6" ht="17.399999999999999" thickBot="1" x14ac:dyDescent="0.45">
      <c r="D948" s="4"/>
      <c r="E948" s="4"/>
      <c r="F948" s="4"/>
    </row>
    <row r="949" spans="4:6" ht="17.399999999999999" thickBot="1" x14ac:dyDescent="0.45">
      <c r="D949" s="4"/>
      <c r="E949" s="4"/>
      <c r="F949" s="4"/>
    </row>
    <row r="950" spans="4:6" ht="17.399999999999999" thickBot="1" x14ac:dyDescent="0.45">
      <c r="D950" s="4"/>
      <c r="E950" s="4"/>
      <c r="F950" s="4"/>
    </row>
    <row r="951" spans="4:6" ht="17.399999999999999" thickBot="1" x14ac:dyDescent="0.45">
      <c r="D951" s="4"/>
      <c r="E951" s="4"/>
      <c r="F951" s="4"/>
    </row>
    <row r="952" spans="4:6" ht="17.399999999999999" thickBot="1" x14ac:dyDescent="0.45">
      <c r="D952" s="4"/>
      <c r="E952" s="4"/>
      <c r="F952" s="4"/>
    </row>
    <row r="953" spans="4:6" ht="17.399999999999999" thickBot="1" x14ac:dyDescent="0.45">
      <c r="D953" s="4"/>
      <c r="E953" s="4"/>
      <c r="F953" s="4"/>
    </row>
    <row r="954" spans="4:6" ht="17.399999999999999" thickBot="1" x14ac:dyDescent="0.45">
      <c r="D954" s="4"/>
      <c r="E954" s="4"/>
      <c r="F954" s="4"/>
    </row>
    <row r="955" spans="4:6" ht="17.399999999999999" thickBot="1" x14ac:dyDescent="0.45">
      <c r="D955" s="4"/>
      <c r="E955" s="4"/>
      <c r="F955" s="4"/>
    </row>
    <row r="956" spans="4:6" ht="17.399999999999999" thickBot="1" x14ac:dyDescent="0.45">
      <c r="D956" s="4"/>
      <c r="E956" s="4"/>
      <c r="F956" s="4"/>
    </row>
    <row r="957" spans="4:6" ht="17.399999999999999" thickBot="1" x14ac:dyDescent="0.45">
      <c r="D957" s="4"/>
      <c r="E957" s="4"/>
      <c r="F957" s="4"/>
    </row>
    <row r="958" spans="4:6" ht="17.399999999999999" thickBot="1" x14ac:dyDescent="0.45">
      <c r="D958" s="4"/>
      <c r="E958" s="4"/>
      <c r="F958" s="4"/>
    </row>
    <row r="959" spans="4:6" ht="17.399999999999999" thickBot="1" x14ac:dyDescent="0.45">
      <c r="D959" s="4"/>
      <c r="E959" s="4"/>
      <c r="F959" s="4"/>
    </row>
    <row r="960" spans="4:6" ht="17.399999999999999" thickBot="1" x14ac:dyDescent="0.45">
      <c r="D960" s="4"/>
      <c r="E960" s="4"/>
      <c r="F960" s="4"/>
    </row>
    <row r="961" spans="4:6" ht="17.399999999999999" thickBot="1" x14ac:dyDescent="0.45">
      <c r="D961" s="4"/>
      <c r="E961" s="4"/>
      <c r="F961" s="4"/>
    </row>
    <row r="962" spans="4:6" ht="17.399999999999999" thickBot="1" x14ac:dyDescent="0.45">
      <c r="D962" s="4"/>
      <c r="E962" s="4"/>
      <c r="F962" s="4"/>
    </row>
    <row r="963" spans="4:6" ht="17.399999999999999" thickBot="1" x14ac:dyDescent="0.45">
      <c r="D963" s="4"/>
      <c r="E963" s="4"/>
      <c r="F963" s="4"/>
    </row>
    <row r="964" spans="4:6" ht="17.399999999999999" thickBot="1" x14ac:dyDescent="0.45">
      <c r="D964" s="4"/>
      <c r="E964" s="4"/>
      <c r="F964" s="4"/>
    </row>
    <row r="965" spans="4:6" ht="17.399999999999999" thickBot="1" x14ac:dyDescent="0.45">
      <c r="D965" s="4"/>
      <c r="E965" s="4"/>
      <c r="F965" s="4"/>
    </row>
    <row r="966" spans="4:6" ht="17.399999999999999" thickBot="1" x14ac:dyDescent="0.45">
      <c r="D966" s="4"/>
      <c r="E966" s="4"/>
      <c r="F966" s="4"/>
    </row>
    <row r="967" spans="4:6" ht="17.399999999999999" thickBot="1" x14ac:dyDescent="0.45">
      <c r="D967" s="4"/>
      <c r="E967" s="4"/>
      <c r="F967" s="4"/>
    </row>
    <row r="968" spans="4:6" ht="17.399999999999999" thickBot="1" x14ac:dyDescent="0.45">
      <c r="D968" s="4"/>
      <c r="E968" s="4"/>
      <c r="F968" s="4"/>
    </row>
    <row r="969" spans="4:6" ht="17.399999999999999" thickBot="1" x14ac:dyDescent="0.45">
      <c r="D969" s="4"/>
      <c r="E969" s="4"/>
      <c r="F969" s="4"/>
    </row>
    <row r="970" spans="4:6" ht="17.399999999999999" thickBot="1" x14ac:dyDescent="0.45">
      <c r="D970" s="4"/>
      <c r="E970" s="4"/>
      <c r="F970" s="4"/>
    </row>
    <row r="971" spans="4:6" ht="17.399999999999999" thickBot="1" x14ac:dyDescent="0.45">
      <c r="D971" s="4"/>
      <c r="E971" s="4"/>
      <c r="F971" s="4"/>
    </row>
    <row r="972" spans="4:6" ht="17.399999999999999" thickBot="1" x14ac:dyDescent="0.45">
      <c r="D972" s="4"/>
      <c r="E972" s="4"/>
      <c r="F972" s="4"/>
    </row>
    <row r="973" spans="4:6" ht="17.399999999999999" thickBot="1" x14ac:dyDescent="0.45">
      <c r="D973" s="4"/>
      <c r="E973" s="4"/>
      <c r="F973" s="4"/>
    </row>
    <row r="974" spans="4:6" ht="17.399999999999999" thickBot="1" x14ac:dyDescent="0.45">
      <c r="D974" s="4"/>
      <c r="E974" s="4"/>
      <c r="F974" s="4"/>
    </row>
    <row r="975" spans="4:6" ht="17.399999999999999" thickBot="1" x14ac:dyDescent="0.45">
      <c r="D975" s="4"/>
      <c r="E975" s="4"/>
      <c r="F975" s="4"/>
    </row>
    <row r="976" spans="4:6" ht="17.399999999999999" thickBot="1" x14ac:dyDescent="0.45">
      <c r="D976" s="4"/>
      <c r="E976" s="4"/>
      <c r="F976" s="4"/>
    </row>
    <row r="977" spans="4:6" ht="17.399999999999999" thickBot="1" x14ac:dyDescent="0.45">
      <c r="D977" s="4"/>
      <c r="E977" s="4"/>
      <c r="F977" s="4"/>
    </row>
    <row r="978" spans="4:6" ht="17.399999999999999" thickBot="1" x14ac:dyDescent="0.45">
      <c r="D978" s="4"/>
      <c r="E978" s="4"/>
      <c r="F978" s="4"/>
    </row>
    <row r="979" spans="4:6" ht="17.399999999999999" thickBot="1" x14ac:dyDescent="0.45">
      <c r="D979" s="4"/>
      <c r="E979" s="4"/>
      <c r="F979" s="4"/>
    </row>
    <row r="980" spans="4:6" ht="17.399999999999999" thickBot="1" x14ac:dyDescent="0.45">
      <c r="D980" s="4"/>
      <c r="E980" s="4"/>
      <c r="F980" s="4"/>
    </row>
    <row r="981" spans="4:6" ht="17.399999999999999" thickBot="1" x14ac:dyDescent="0.45">
      <c r="D981" s="4"/>
      <c r="E981" s="4"/>
      <c r="F981" s="4"/>
    </row>
    <row r="982" spans="4:6" ht="17.399999999999999" thickBot="1" x14ac:dyDescent="0.45">
      <c r="D982" s="4"/>
      <c r="E982" s="4"/>
      <c r="F982" s="4"/>
    </row>
    <row r="983" spans="4:6" ht="17.399999999999999" thickBot="1" x14ac:dyDescent="0.45">
      <c r="D983" s="4"/>
      <c r="E983" s="4"/>
      <c r="F983" s="4"/>
    </row>
    <row r="984" spans="4:6" ht="17.399999999999999" thickBot="1" x14ac:dyDescent="0.45">
      <c r="D984" s="4"/>
      <c r="E984" s="4"/>
      <c r="F984" s="4"/>
    </row>
    <row r="985" spans="4:6" ht="17.399999999999999" thickBot="1" x14ac:dyDescent="0.45">
      <c r="D985" s="4"/>
      <c r="E985" s="4"/>
      <c r="F985" s="4"/>
    </row>
    <row r="986" spans="4:6" ht="17.399999999999999" thickBot="1" x14ac:dyDescent="0.45">
      <c r="D986" s="4"/>
      <c r="E986" s="4"/>
      <c r="F986" s="4"/>
    </row>
    <row r="987" spans="4:6" ht="17.399999999999999" thickBot="1" x14ac:dyDescent="0.45">
      <c r="D987" s="4"/>
      <c r="E987" s="4"/>
      <c r="F987" s="4"/>
    </row>
    <row r="988" spans="4:6" ht="17.399999999999999" thickBot="1" x14ac:dyDescent="0.45">
      <c r="D988" s="4"/>
      <c r="E988" s="4"/>
      <c r="F988" s="4"/>
    </row>
    <row r="989" spans="4:6" ht="17.399999999999999" thickBot="1" x14ac:dyDescent="0.45">
      <c r="D989" s="4"/>
      <c r="E989" s="4"/>
      <c r="F989" s="4"/>
    </row>
    <row r="990" spans="4:6" ht="17.399999999999999" thickBot="1" x14ac:dyDescent="0.45">
      <c r="D990" s="4"/>
      <c r="E990" s="4"/>
      <c r="F990" s="4"/>
    </row>
    <row r="991" spans="4:6" ht="17.399999999999999" thickBot="1" x14ac:dyDescent="0.45">
      <c r="D991" s="4"/>
      <c r="E991" s="4"/>
      <c r="F991" s="4"/>
    </row>
    <row r="992" spans="4:6" ht="17.399999999999999" thickBot="1" x14ac:dyDescent="0.45">
      <c r="D992" s="4"/>
      <c r="E992" s="4"/>
      <c r="F992" s="4"/>
    </row>
    <row r="993" spans="4:6" ht="17.399999999999999" thickBot="1" x14ac:dyDescent="0.45">
      <c r="D993" s="4"/>
      <c r="E993" s="4"/>
      <c r="F993" s="4"/>
    </row>
    <row r="994" spans="4:6" ht="17.399999999999999" thickBot="1" x14ac:dyDescent="0.45">
      <c r="D994" s="4"/>
      <c r="E994" s="4"/>
      <c r="F994" s="4"/>
    </row>
    <row r="995" spans="4:6" ht="17.399999999999999" thickBot="1" x14ac:dyDescent="0.45">
      <c r="D995" s="4"/>
      <c r="E995" s="4"/>
      <c r="F995" s="4"/>
    </row>
    <row r="996" spans="4:6" ht="17.399999999999999" thickBot="1" x14ac:dyDescent="0.45">
      <c r="D996" s="4"/>
      <c r="E996" s="4"/>
      <c r="F996" s="4"/>
    </row>
    <row r="997" spans="4:6" ht="17.399999999999999" thickBot="1" x14ac:dyDescent="0.45">
      <c r="D997" s="4"/>
      <c r="E997" s="4"/>
      <c r="F997" s="4"/>
    </row>
    <row r="998" spans="4:6" ht="17.399999999999999" thickBot="1" x14ac:dyDescent="0.45">
      <c r="D998" s="4"/>
      <c r="E998" s="4"/>
      <c r="F998" s="4"/>
    </row>
    <row r="999" spans="4:6" ht="17.399999999999999" thickBot="1" x14ac:dyDescent="0.45">
      <c r="D999" s="4"/>
      <c r="E999" s="4"/>
      <c r="F999" s="4"/>
    </row>
    <row r="1000" spans="4:6" ht="17.399999999999999" thickBot="1" x14ac:dyDescent="0.45">
      <c r="D1000" s="4"/>
      <c r="E1000" s="4"/>
      <c r="F1000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f09dce-c865-4f42-901d-32d3d8d3f60f}" enabled="0" method="" siteId="{cdf09dce-c865-4f42-901d-32d3d8d3f6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 Summary</vt:lpstr>
      <vt:lpstr>Channels</vt:lpstr>
      <vt:lpstr>Sheet4</vt:lpstr>
      <vt:lpstr>2025</vt:lpstr>
      <vt:lpstr>Graph</vt:lpstr>
      <vt:lpstr>2026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Lapat Jitwongwai (Jitwongwai Lapat)</dc:creator>
  <cp:lastModifiedBy>Lapat Jitwongwai (Jitwongwai Lapat)</cp:lastModifiedBy>
  <dcterms:created xsi:type="dcterms:W3CDTF">2025-12-04T02:53:08Z</dcterms:created>
  <dcterms:modified xsi:type="dcterms:W3CDTF">2026-01-15T14:25:35Z</dcterms:modified>
</cp:coreProperties>
</file>