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 hidePivotFieldList="1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191" documentId="8_{4185217D-4006-4629-AD3A-0737CE05813A}" xr6:coauthVersionLast="47" xr6:coauthVersionMax="47" xr10:uidLastSave="{E438BC1F-B582-4FB8-A5B5-D6B6EBE11EE2}"/>
  <bookViews>
    <workbookView xWindow="-108" yWindow="-108" windowWidth="23256" windowHeight="12456" xr2:uid="{5982D4A9-2AD8-4F8A-AE0B-0D729A27807E}"/>
  </bookViews>
  <sheets>
    <sheet name="Recruitment" sheetId="2" r:id="rId1"/>
    <sheet name="Dropdown" sheetId="3" r:id="rId2"/>
    <sheet name="Recruitment Funnel" sheetId="12" r:id="rId3"/>
  </sheets>
  <definedNames>
    <definedName name="_xlnm._FilterDatabase" localSheetId="0" hidden="1">Recruitment!$M$145:$M$145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4" i="2" l="1"/>
  <c r="B136" i="2"/>
  <c r="N136" i="2"/>
  <c r="P136" i="2"/>
  <c r="Q136" i="2"/>
  <c r="B135" i="2"/>
  <c r="N135" i="2"/>
  <c r="P135" i="2"/>
  <c r="Q135" i="2"/>
  <c r="P134" i="2"/>
  <c r="Q134" i="2" s="1"/>
  <c r="N134" i="2"/>
  <c r="B108" i="2"/>
  <c r="N108" i="2"/>
  <c r="P108" i="2"/>
  <c r="Q108" i="2"/>
  <c r="B112" i="2"/>
  <c r="B105" i="2"/>
  <c r="B101" i="2"/>
  <c r="B106" i="2"/>
  <c r="B100" i="2"/>
  <c r="B113" i="2"/>
  <c r="B107" i="2"/>
  <c r="B102" i="2"/>
  <c r="B109" i="2"/>
  <c r="B103" i="2"/>
  <c r="B114" i="2"/>
  <c r="B115" i="2"/>
  <c r="B110" i="2"/>
  <c r="B111" i="2"/>
  <c r="B116" i="2"/>
  <c r="B104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99" i="2"/>
  <c r="B73" i="2"/>
  <c r="N3" i="2"/>
  <c r="N24" i="2"/>
  <c r="N39" i="2"/>
  <c r="N5" i="2"/>
  <c r="N6" i="2"/>
  <c r="N4" i="2"/>
  <c r="N7" i="2"/>
  <c r="N8" i="2"/>
  <c r="N10" i="2"/>
  <c r="N9" i="2"/>
  <c r="N13" i="2"/>
  <c r="N11" i="2"/>
  <c r="N12" i="2"/>
  <c r="N14" i="2"/>
  <c r="N2" i="2"/>
  <c r="N15" i="2"/>
  <c r="N45" i="2"/>
  <c r="N17" i="2"/>
  <c r="N16" i="2"/>
  <c r="N19" i="2"/>
  <c r="N18" i="2"/>
  <c r="N20" i="2"/>
  <c r="N30" i="2"/>
  <c r="N31" i="2"/>
  <c r="N22" i="2"/>
  <c r="N41" i="2"/>
  <c r="N23" i="2"/>
  <c r="N26" i="2"/>
  <c r="N32" i="2"/>
  <c r="N33" i="2"/>
  <c r="N28" i="2"/>
  <c r="N34" i="2"/>
  <c r="N36" i="2"/>
  <c r="N29" i="2"/>
  <c r="N27" i="2"/>
  <c r="N35" i="2"/>
  <c r="N21" i="2"/>
  <c r="N25" i="2"/>
  <c r="N51" i="2"/>
  <c r="N42" i="2"/>
  <c r="N38" i="2"/>
  <c r="N40" i="2"/>
  <c r="N50" i="2"/>
  <c r="N49" i="2"/>
  <c r="N46" i="2"/>
  <c r="N37" i="2"/>
  <c r="N43" i="2"/>
  <c r="N44" i="2"/>
  <c r="N53" i="2"/>
  <c r="N64" i="2"/>
  <c r="N52" i="2"/>
  <c r="N47" i="2"/>
  <c r="N48" i="2"/>
  <c r="N54" i="2"/>
  <c r="N57" i="2"/>
  <c r="N58" i="2"/>
  <c r="N55" i="2"/>
  <c r="N59" i="2"/>
  <c r="N60" i="2"/>
  <c r="N56" i="2"/>
  <c r="N63" i="2"/>
  <c r="N62" i="2"/>
  <c r="N61" i="2"/>
  <c r="N65" i="2"/>
  <c r="N68" i="2"/>
  <c r="N66" i="2"/>
  <c r="N67" i="2"/>
  <c r="N69" i="2"/>
  <c r="N70" i="2"/>
  <c r="N75" i="2"/>
  <c r="N73" i="2"/>
  <c r="N74" i="2"/>
  <c r="N72" i="2"/>
  <c r="N71" i="2"/>
  <c r="N81" i="2"/>
  <c r="N78" i="2"/>
  <c r="N77" i="2"/>
  <c r="N79" i="2"/>
  <c r="N76" i="2"/>
  <c r="N89" i="2"/>
  <c r="N85" i="2"/>
  <c r="N88" i="2"/>
  <c r="N84" i="2"/>
  <c r="N82" i="2"/>
  <c r="N80" i="2"/>
  <c r="N86" i="2"/>
  <c r="N93" i="2"/>
  <c r="N92" i="2"/>
  <c r="N87" i="2"/>
  <c r="N90" i="2"/>
  <c r="N83" i="2"/>
  <c r="N96" i="2"/>
  <c r="N98" i="2"/>
  <c r="N91" i="2"/>
  <c r="N95" i="2"/>
  <c r="N97" i="2"/>
  <c r="N94" i="2"/>
  <c r="N99" i="2"/>
  <c r="N103" i="2"/>
  <c r="N104" i="2"/>
  <c r="N105" i="2"/>
  <c r="N101" i="2"/>
  <c r="N100" i="2"/>
  <c r="N102" i="2"/>
  <c r="N106" i="2"/>
  <c r="N107" i="2"/>
  <c r="N109" i="2"/>
  <c r="N111" i="2"/>
  <c r="N110" i="2"/>
  <c r="N115" i="2"/>
  <c r="N113" i="2"/>
  <c r="N116" i="2"/>
  <c r="N114" i="2"/>
  <c r="N112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P3" i="2"/>
  <c r="Q3" i="2" s="1"/>
  <c r="P24" i="2"/>
  <c r="Q24" i="2" s="1"/>
  <c r="P39" i="2"/>
  <c r="P5" i="2"/>
  <c r="P6" i="2"/>
  <c r="P4" i="2"/>
  <c r="P7" i="2"/>
  <c r="Q7" i="2" s="1"/>
  <c r="P8" i="2"/>
  <c r="Q8" i="2" s="1"/>
  <c r="P10" i="2"/>
  <c r="Q10" i="2" s="1"/>
  <c r="P9" i="2"/>
  <c r="Q9" i="2" s="1"/>
  <c r="P13" i="2"/>
  <c r="Q13" i="2" s="1"/>
  <c r="P11" i="2"/>
  <c r="Q11" i="2" s="1"/>
  <c r="P12" i="2"/>
  <c r="Q12" i="2" s="1"/>
  <c r="P14" i="2"/>
  <c r="P2" i="2"/>
  <c r="Q2" i="2" s="1"/>
  <c r="P15" i="2"/>
  <c r="Q15" i="2" s="1"/>
  <c r="P45" i="2"/>
  <c r="Q45" i="2" s="1"/>
  <c r="P17" i="2"/>
  <c r="Q17" i="2" s="1"/>
  <c r="P16" i="2"/>
  <c r="P19" i="2"/>
  <c r="Q19" i="2" s="1"/>
  <c r="P18" i="2"/>
  <c r="Q18" i="2" s="1"/>
  <c r="P20" i="2"/>
  <c r="Q20" i="2" s="1"/>
  <c r="P30" i="2"/>
  <c r="Q30" i="2" s="1"/>
  <c r="P31" i="2"/>
  <c r="Q31" i="2" s="1"/>
  <c r="P22" i="2"/>
  <c r="Q22" i="2" s="1"/>
  <c r="P41" i="2"/>
  <c r="Q41" i="2" s="1"/>
  <c r="P23" i="2"/>
  <c r="Q23" i="2" s="1"/>
  <c r="P26" i="2"/>
  <c r="Q26" i="2" s="1"/>
  <c r="P32" i="2"/>
  <c r="Q32" i="2" s="1"/>
  <c r="P33" i="2"/>
  <c r="Q33" i="2" s="1"/>
  <c r="P28" i="2"/>
  <c r="Q28" i="2" s="1"/>
  <c r="P34" i="2"/>
  <c r="Q34" i="2" s="1"/>
  <c r="P36" i="2"/>
  <c r="Q36" i="2" s="1"/>
  <c r="P29" i="2"/>
  <c r="Q29" i="2" s="1"/>
  <c r="P27" i="2"/>
  <c r="Q27" i="2" s="1"/>
  <c r="P35" i="2"/>
  <c r="Q35" i="2" s="1"/>
  <c r="P21" i="2"/>
  <c r="Q21" i="2" s="1"/>
  <c r="P25" i="2"/>
  <c r="Q25" i="2" s="1"/>
  <c r="P51" i="2"/>
  <c r="Q51" i="2" s="1"/>
  <c r="P42" i="2"/>
  <c r="Q42" i="2" s="1"/>
  <c r="P38" i="2"/>
  <c r="Q38" i="2" s="1"/>
  <c r="P40" i="2"/>
  <c r="Q40" i="2" s="1"/>
  <c r="P50" i="2"/>
  <c r="Q50" i="2" s="1"/>
  <c r="P49" i="2"/>
  <c r="Q49" i="2" s="1"/>
  <c r="P46" i="2"/>
  <c r="Q46" i="2" s="1"/>
  <c r="P37" i="2"/>
  <c r="Q37" i="2" s="1"/>
  <c r="P43" i="2"/>
  <c r="Q43" i="2" s="1"/>
  <c r="P44" i="2"/>
  <c r="Q44" i="2" s="1"/>
  <c r="P53" i="2"/>
  <c r="Q53" i="2" s="1"/>
  <c r="P64" i="2"/>
  <c r="Q64" i="2" s="1"/>
  <c r="P52" i="2"/>
  <c r="Q52" i="2" s="1"/>
  <c r="P47" i="2"/>
  <c r="Q47" i="2" s="1"/>
  <c r="P48" i="2"/>
  <c r="Q48" i="2" s="1"/>
  <c r="P54" i="2"/>
  <c r="Q54" i="2" s="1"/>
  <c r="P57" i="2"/>
  <c r="Q57" i="2" s="1"/>
  <c r="P58" i="2"/>
  <c r="Q58" i="2" s="1"/>
  <c r="P55" i="2"/>
  <c r="Q55" i="2" s="1"/>
  <c r="P59" i="2"/>
  <c r="Q59" i="2" s="1"/>
  <c r="P60" i="2"/>
  <c r="Q60" i="2" s="1"/>
  <c r="P56" i="2"/>
  <c r="Q56" i="2" s="1"/>
  <c r="P63" i="2"/>
  <c r="Q63" i="2" s="1"/>
  <c r="P62" i="2"/>
  <c r="Q62" i="2" s="1"/>
  <c r="P61" i="2"/>
  <c r="Q61" i="2" s="1"/>
  <c r="P65" i="2"/>
  <c r="Q65" i="2" s="1"/>
  <c r="P68" i="2"/>
  <c r="Q68" i="2" s="1"/>
  <c r="P66" i="2"/>
  <c r="Q66" i="2" s="1"/>
  <c r="P67" i="2"/>
  <c r="Q67" i="2" s="1"/>
  <c r="P69" i="2"/>
  <c r="Q69" i="2" s="1"/>
  <c r="P70" i="2"/>
  <c r="Q70" i="2" s="1"/>
  <c r="P75" i="2"/>
  <c r="Q75" i="2" s="1"/>
  <c r="P73" i="2"/>
  <c r="Q73" i="2" s="1"/>
  <c r="P74" i="2"/>
  <c r="Q74" i="2" s="1"/>
  <c r="P72" i="2"/>
  <c r="Q72" i="2" s="1"/>
  <c r="P71" i="2"/>
  <c r="Q71" i="2" s="1"/>
  <c r="P81" i="2"/>
  <c r="Q81" i="2" s="1"/>
  <c r="P78" i="2"/>
  <c r="Q78" i="2" s="1"/>
  <c r="P77" i="2"/>
  <c r="Q77" i="2" s="1"/>
  <c r="P79" i="2"/>
  <c r="Q79" i="2" s="1"/>
  <c r="P76" i="2"/>
  <c r="Q76" i="2" s="1"/>
  <c r="P89" i="2"/>
  <c r="Q89" i="2" s="1"/>
  <c r="P85" i="2"/>
  <c r="Q85" i="2" s="1"/>
  <c r="P88" i="2"/>
  <c r="Q88" i="2" s="1"/>
  <c r="P84" i="2"/>
  <c r="Q84" i="2" s="1"/>
  <c r="P82" i="2"/>
  <c r="Q82" i="2" s="1"/>
  <c r="P80" i="2"/>
  <c r="Q80" i="2" s="1"/>
  <c r="P86" i="2"/>
  <c r="Q86" i="2" s="1"/>
  <c r="P93" i="2"/>
  <c r="Q93" i="2" s="1"/>
  <c r="P92" i="2"/>
  <c r="Q92" i="2" s="1"/>
  <c r="P87" i="2"/>
  <c r="Q87" i="2" s="1"/>
  <c r="P90" i="2"/>
  <c r="Q90" i="2" s="1"/>
  <c r="P83" i="2"/>
  <c r="Q83" i="2" s="1"/>
  <c r="P96" i="2"/>
  <c r="Q96" i="2" s="1"/>
  <c r="P98" i="2"/>
  <c r="Q98" i="2" s="1"/>
  <c r="P91" i="2"/>
  <c r="Q91" i="2" s="1"/>
  <c r="P95" i="2"/>
  <c r="Q95" i="2" s="1"/>
  <c r="P97" i="2"/>
  <c r="Q97" i="2" s="1"/>
  <c r="P94" i="2"/>
  <c r="Q94" i="2" s="1"/>
  <c r="P99" i="2"/>
  <c r="Q99" i="2" s="1"/>
  <c r="P103" i="2"/>
  <c r="Q103" i="2" s="1"/>
  <c r="P104" i="2"/>
  <c r="Q104" i="2" s="1"/>
  <c r="P105" i="2"/>
  <c r="Q105" i="2" s="1"/>
  <c r="P101" i="2"/>
  <c r="Q101" i="2" s="1"/>
  <c r="P100" i="2"/>
  <c r="Q100" i="2" s="1"/>
  <c r="P102" i="2"/>
  <c r="Q102" i="2" s="1"/>
  <c r="P106" i="2"/>
  <c r="Q106" i="2" s="1"/>
  <c r="P107" i="2"/>
  <c r="Q107" i="2" s="1"/>
  <c r="P109" i="2"/>
  <c r="Q109" i="2" s="1"/>
  <c r="P111" i="2"/>
  <c r="Q111" i="2" s="1"/>
  <c r="P110" i="2"/>
  <c r="Q110" i="2" s="1"/>
  <c r="P115" i="2"/>
  <c r="Q115" i="2" s="1"/>
  <c r="P113" i="2"/>
  <c r="Q113" i="2" s="1"/>
  <c r="P116" i="2"/>
  <c r="Q116" i="2" s="1"/>
  <c r="P114" i="2"/>
  <c r="Q114" i="2" s="1"/>
  <c r="P112" i="2"/>
  <c r="Q112" i="2" s="1"/>
  <c r="P117" i="2"/>
  <c r="Q117" i="2" s="1"/>
  <c r="P118" i="2"/>
  <c r="Q118" i="2" s="1"/>
  <c r="P119" i="2"/>
  <c r="Q119" i="2" s="1"/>
  <c r="P120" i="2"/>
  <c r="Q120" i="2" s="1"/>
  <c r="P121" i="2"/>
  <c r="Q121" i="2" s="1"/>
  <c r="P122" i="2"/>
  <c r="Q122" i="2" s="1"/>
  <c r="P123" i="2"/>
  <c r="Q123" i="2" s="1"/>
  <c r="P124" i="2"/>
  <c r="Q124" i="2" s="1"/>
  <c r="P125" i="2"/>
  <c r="Q125" i="2" s="1"/>
  <c r="P126" i="2"/>
  <c r="Q126" i="2" s="1"/>
  <c r="P127" i="2"/>
  <c r="Q127" i="2" s="1"/>
  <c r="P128" i="2"/>
  <c r="Q128" i="2" s="1"/>
  <c r="P129" i="2"/>
  <c r="Q129" i="2" s="1"/>
  <c r="P130" i="2"/>
  <c r="Q130" i="2" s="1"/>
  <c r="P131" i="2"/>
  <c r="Q131" i="2" s="1"/>
  <c r="P132" i="2"/>
  <c r="Q132" i="2" s="1"/>
  <c r="P133" i="2"/>
  <c r="Q133" i="2" s="1"/>
  <c r="Q39" i="2"/>
  <c r="Q5" i="2"/>
  <c r="Q6" i="2"/>
  <c r="Q4" i="2"/>
  <c r="Q14" i="2"/>
  <c r="Q16" i="2"/>
  <c r="B74" i="2"/>
  <c r="B72" i="2"/>
  <c r="B71" i="2"/>
  <c r="B81" i="2"/>
  <c r="B78" i="2"/>
  <c r="B77" i="2"/>
  <c r="B79" i="2"/>
  <c r="B76" i="2"/>
  <c r="B89" i="2"/>
  <c r="B85" i="2"/>
  <c r="B88" i="2"/>
  <c r="B84" i="2"/>
  <c r="B82" i="2"/>
  <c r="B80" i="2"/>
  <c r="B86" i="2"/>
  <c r="B93" i="2"/>
  <c r="B92" i="2"/>
  <c r="B87" i="2"/>
  <c r="B90" i="2"/>
  <c r="B83" i="2"/>
  <c r="B96" i="2"/>
  <c r="B98" i="2"/>
  <c r="B91" i="2"/>
  <c r="B95" i="2"/>
  <c r="B97" i="2"/>
  <c r="B94" i="2"/>
  <c r="B3" i="2"/>
  <c r="B24" i="2"/>
  <c r="B39" i="2"/>
  <c r="B5" i="2"/>
  <c r="B6" i="2"/>
  <c r="B4" i="2"/>
  <c r="B7" i="2"/>
  <c r="B8" i="2"/>
  <c r="B10" i="2"/>
  <c r="B9" i="2"/>
  <c r="B13" i="2"/>
  <c r="B11" i="2"/>
  <c r="B12" i="2"/>
  <c r="B14" i="2"/>
  <c r="B2" i="2"/>
  <c r="B15" i="2"/>
  <c r="B45" i="2"/>
  <c r="B17" i="2"/>
  <c r="B16" i="2"/>
  <c r="B19" i="2"/>
  <c r="B18" i="2"/>
  <c r="B20" i="2"/>
  <c r="B30" i="2"/>
  <c r="B31" i="2"/>
  <c r="B22" i="2"/>
  <c r="B41" i="2"/>
  <c r="B23" i="2"/>
  <c r="B26" i="2"/>
  <c r="B32" i="2"/>
  <c r="B33" i="2"/>
  <c r="B28" i="2"/>
  <c r="B34" i="2"/>
  <c r="B36" i="2"/>
  <c r="B29" i="2"/>
  <c r="B27" i="2"/>
  <c r="B35" i="2"/>
  <c r="B21" i="2"/>
  <c r="B25" i="2"/>
  <c r="B51" i="2"/>
  <c r="B42" i="2"/>
  <c r="B38" i="2"/>
  <c r="B40" i="2"/>
  <c r="B50" i="2"/>
  <c r="B49" i="2"/>
  <c r="B46" i="2"/>
  <c r="B37" i="2"/>
  <c r="B43" i="2"/>
  <c r="B44" i="2"/>
  <c r="B53" i="2"/>
  <c r="B64" i="2"/>
  <c r="B52" i="2"/>
  <c r="B47" i="2"/>
  <c r="B48" i="2"/>
  <c r="B54" i="2"/>
  <c r="B57" i="2"/>
  <c r="B58" i="2"/>
  <c r="B55" i="2"/>
  <c r="B59" i="2"/>
  <c r="B60" i="2"/>
  <c r="B56" i="2"/>
  <c r="B63" i="2"/>
  <c r="B62" i="2"/>
  <c r="B61" i="2"/>
  <c r="B65" i="2"/>
  <c r="B68" i="2"/>
  <c r="B66" i="2"/>
  <c r="B67" i="2"/>
  <c r="B69" i="2"/>
  <c r="B70" i="2"/>
  <c r="B75" i="2"/>
  <c r="C5" i="12"/>
  <c r="C4" i="12"/>
  <c r="C3" i="12"/>
  <c r="C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Suchat Sermsaiprasit (Sermsaiprasit Suchat)</author>
  </authors>
  <commentList>
    <comment ref="D111" authorId="0" shapeId="0" xr:uid="{BBC1413D-A397-4560-ACCB-833B8DA51EA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หมด JDB - ไม่ Match Marketing
</t>
        </r>
      </text>
    </comment>
    <comment ref="D112" authorId="0" shapeId="0" xr:uid="{8ABDD3D8-5D65-43BF-B38C-07CDF71C993D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หมด JDB, Form</t>
        </r>
      </text>
    </comment>
    <comment ref="D113" authorId="0" shapeId="0" xr:uid="{343D2E87-2A3E-4CAA-B9DF-6E7EE7281CF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ส่งเพิ่ม 2 29/6/26
หมดเว็บ เหลือ JDB
</t>
        </r>
      </text>
    </comment>
  </commentList>
</comments>
</file>

<file path=xl/sharedStrings.xml><?xml version="1.0" encoding="utf-8"?>
<sst xmlns="http://schemas.openxmlformats.org/spreadsheetml/2006/main" count="1710" uniqueCount="531">
  <si>
    <t>Year</t>
  </si>
  <si>
    <t>Month</t>
  </si>
  <si>
    <t>Location</t>
  </si>
  <si>
    <t>Position_Request</t>
  </si>
  <si>
    <t>Position_Announce</t>
  </si>
  <si>
    <t>Division</t>
  </si>
  <si>
    <t>Dept</t>
  </si>
  <si>
    <t>Work Unit</t>
  </si>
  <si>
    <t>Type</t>
  </si>
  <si>
    <t>Memo Status</t>
  </si>
  <si>
    <t>Inter/Exter</t>
  </si>
  <si>
    <t>Recruitment Status</t>
  </si>
  <si>
    <t>Approved_Date</t>
  </si>
  <si>
    <t>Target_Date</t>
  </si>
  <si>
    <t>Final Date</t>
  </si>
  <si>
    <t>Diff Date</t>
  </si>
  <si>
    <t>KPI</t>
  </si>
  <si>
    <t>Propose As</t>
  </si>
  <si>
    <t>ID (Being Replaced)</t>
  </si>
  <si>
    <t>Name (being replaced)</t>
  </si>
  <si>
    <t>ID New Employee</t>
  </si>
  <si>
    <t>Name New Employee</t>
  </si>
  <si>
    <t>Join Date</t>
  </si>
  <si>
    <t>Probation Status</t>
  </si>
  <si>
    <t>Start Date</t>
  </si>
  <si>
    <t>Recruitment Channel</t>
  </si>
  <si>
    <t>Remark</t>
  </si>
  <si>
    <t>Notes Qualification</t>
  </si>
  <si>
    <t>Applied Profile</t>
  </si>
  <si>
    <t>First</t>
  </si>
  <si>
    <t>Final</t>
  </si>
  <si>
    <t>Offer</t>
  </si>
  <si>
    <t>Reject Offer</t>
  </si>
  <si>
    <t>hired</t>
  </si>
  <si>
    <t>Probation Tracking</t>
  </si>
  <si>
    <t>Link to Jd</t>
  </si>
  <si>
    <t>SKCN</t>
  </si>
  <si>
    <t>Climate Change Solutions Development Researcher</t>
  </si>
  <si>
    <t xml:space="preserve">Agri Researcher </t>
  </si>
  <si>
    <t>Sustainability Development Division</t>
  </si>
  <si>
    <t>KUBOTA Solutions Department</t>
  </si>
  <si>
    <t>Climate Change Solutions Development</t>
  </si>
  <si>
    <t>S-General</t>
  </si>
  <si>
    <t>Approved</t>
  </si>
  <si>
    <t>Effective</t>
  </si>
  <si>
    <t>suggestion</t>
  </si>
  <si>
    <t>SKCA</t>
  </si>
  <si>
    <t>Engineer</t>
  </si>
  <si>
    <t>IT Infrastructure Engineer</t>
  </si>
  <si>
    <t>Digital Technology Division</t>
  </si>
  <si>
    <t>Cyber Security and Infrastructure Department</t>
  </si>
  <si>
    <t>Amata City Infrastructure</t>
  </si>
  <si>
    <t>S-Special</t>
  </si>
  <si>
    <t>Both</t>
  </si>
  <si>
    <t>JobTopGun</t>
  </si>
  <si>
    <t>KIN</t>
  </si>
  <si>
    <t>Agriculture Academic Executive</t>
  </si>
  <si>
    <t>Agriculture Academic Executive (นักวิชาการเกษตร)</t>
  </si>
  <si>
    <t>Solution Business Office</t>
  </si>
  <si>
    <t>Farming Service</t>
  </si>
  <si>
    <t>Parts Marketing Management Executive</t>
  </si>
  <si>
    <t>Marketing Executive (Parts)</t>
  </si>
  <si>
    <t>Parts Division</t>
  </si>
  <si>
    <t>Overseas Parts Sales &amp; Marketing Department</t>
  </si>
  <si>
    <t>Marketing Management</t>
  </si>
  <si>
    <t>Sales Operation System Development Executive</t>
  </si>
  <si>
    <t>System Development</t>
  </si>
  <si>
    <t>Distribution Network Development Division</t>
  </si>
  <si>
    <t>Sales Operation Excellence Department</t>
  </si>
  <si>
    <t>Sales Operation System Development</t>
  </si>
  <si>
    <t>Marketing</t>
  </si>
  <si>
    <t>Commerce Business Office</t>
  </si>
  <si>
    <t>Marketing Communication</t>
  </si>
  <si>
    <t>Internal</t>
  </si>
  <si>
    <t>Business Planning Executive</t>
  </si>
  <si>
    <t>Business Planning</t>
  </si>
  <si>
    <t>Corporate Strategy Division</t>
  </si>
  <si>
    <t>Business Development Department</t>
  </si>
  <si>
    <t>Mechanic</t>
  </si>
  <si>
    <t>ช่าง</t>
  </si>
  <si>
    <t>Navanakorn Manufacturing Division</t>
  </si>
  <si>
    <t>Engine &amp; Hay baler Production Department</t>
  </si>
  <si>
    <t>-</t>
  </si>
  <si>
    <t>O-General</t>
  </si>
  <si>
    <t>Hold</t>
  </si>
  <si>
    <t>Cancel</t>
  </si>
  <si>
    <t>Service Mechanic</t>
  </si>
  <si>
    <t>ช่างบริการ</t>
  </si>
  <si>
    <t>Customer Service Division</t>
  </si>
  <si>
    <t>Southern Area After - Sales Service</t>
  </si>
  <si>
    <t>Engineer (Product Development)</t>
  </si>
  <si>
    <t>Strategic Marketing Division</t>
  </si>
  <si>
    <t>Product Development Department</t>
  </si>
  <si>
    <t>Tractor &amp; Implement</t>
  </si>
  <si>
    <t>Warehouse Engineer</t>
  </si>
  <si>
    <t>Parts Distribution Department</t>
  </si>
  <si>
    <t>Warehouse System &amp; Automation Development</t>
  </si>
  <si>
    <t>Data Engineer</t>
  </si>
  <si>
    <t>Customer Success System Department</t>
  </si>
  <si>
    <t>Data Engineering</t>
  </si>
  <si>
    <t>Domestic After - Sales Service Department</t>
  </si>
  <si>
    <t>Carbon Neutrality Engineer,   Environment Engineer</t>
  </si>
  <si>
    <t>Carbon Neutrality Department</t>
  </si>
  <si>
    <t>Carbon Neutrality Technology &amp; Solutions</t>
  </si>
  <si>
    <t>Dealers Sales Development Executive</t>
  </si>
  <si>
    <t>Parts Planning &amp; Development Department</t>
  </si>
  <si>
    <t>Engineer (Domestic Dealer Service Development)</t>
  </si>
  <si>
    <t>Service Value Creation Department</t>
  </si>
  <si>
    <t>Domestic Dealer Service Development</t>
  </si>
  <si>
    <t>Engineer (Domestics After-Sales Service)</t>
  </si>
  <si>
    <t>financial analyst</t>
  </si>
  <si>
    <t>Financial Analyst</t>
  </si>
  <si>
    <t>Planning &amp; Control Division</t>
  </si>
  <si>
    <t>Finance &amp; Credit Department</t>
  </si>
  <si>
    <t>Credit Management</t>
  </si>
  <si>
    <t>External</t>
  </si>
  <si>
    <t xml:space="preserve">Operator </t>
  </si>
  <si>
    <t>พนักงานธุรการ</t>
  </si>
  <si>
    <t>Operator</t>
  </si>
  <si>
    <t>Production Development</t>
  </si>
  <si>
    <t>Harvester &amp; Rotary Manufacturing Division</t>
  </si>
  <si>
    <t>Combine Harvester Production Department</t>
  </si>
  <si>
    <t>Production Development 2</t>
  </si>
  <si>
    <t xml:space="preserve">Production Planning </t>
  </si>
  <si>
    <t>Production Planning &amp; Logistics Division</t>
  </si>
  <si>
    <t>Amata City Production Planning &amp; Control Department</t>
  </si>
  <si>
    <t>Part Planning - Tractor</t>
  </si>
  <si>
    <t>Puchasing Engineer</t>
  </si>
  <si>
    <t>Purchasing Division</t>
  </si>
  <si>
    <t>Purchasing 1 Department</t>
  </si>
  <si>
    <t>Purchasing Engineer</t>
  </si>
  <si>
    <t>Purchasing - 1B</t>
  </si>
  <si>
    <t>Purchasing Engineering Staff</t>
  </si>
  <si>
    <t>Purchasing Engineering Department</t>
  </si>
  <si>
    <t>Supplier KPS Promotion</t>
  </si>
  <si>
    <t>Administration staff</t>
  </si>
  <si>
    <t>Administrative Staff</t>
  </si>
  <si>
    <t>Strategic Partnership Management Department</t>
  </si>
  <si>
    <t xml:space="preserve">Education Partnership development </t>
  </si>
  <si>
    <t>Data Analyst</t>
  </si>
  <si>
    <t xml:space="preserve">Data Driven Business </t>
  </si>
  <si>
    <t>Data Analytic</t>
  </si>
  <si>
    <t xml:space="preserve">Farm Experince Developer </t>
  </si>
  <si>
    <t>KUBOTA FARM Department</t>
  </si>
  <si>
    <t xml:space="preserve">Farm experince developer </t>
  </si>
  <si>
    <t>Inspection (Engineer)</t>
  </si>
  <si>
    <t>Inspection Division</t>
  </si>
  <si>
    <t>Engine-Power Tiller Inspection Department</t>
  </si>
  <si>
    <t>New Product Inspection</t>
  </si>
  <si>
    <t>Marketing Executive</t>
  </si>
  <si>
    <t>Construction &amp; Engine Division</t>
  </si>
  <si>
    <t>Engine &amp; Power Tiller Business</t>
  </si>
  <si>
    <t>Marketing researcher</t>
  </si>
  <si>
    <t>Marketing Researcher</t>
  </si>
  <si>
    <t xml:space="preserve">Marketing Research </t>
  </si>
  <si>
    <t>Media Production officer</t>
  </si>
  <si>
    <t>Media Production Officer (Producer)</t>
  </si>
  <si>
    <t>Marketing Communication Department</t>
  </si>
  <si>
    <t>Design and muitimedia</t>
  </si>
  <si>
    <t xml:space="preserve">System Analyst </t>
  </si>
  <si>
    <t>Customer Experience system</t>
  </si>
  <si>
    <t>Internship</t>
  </si>
  <si>
    <t>Admin Service Technician</t>
  </si>
  <si>
    <t>ช่างเทคนิคบริการ</t>
  </si>
  <si>
    <t>Customer Management</t>
  </si>
  <si>
    <t>วิศวกรไฟฟ้า</t>
  </si>
  <si>
    <t>Electrical Engineering</t>
  </si>
  <si>
    <t>Accountant</t>
  </si>
  <si>
    <t>Amata City Accounting Department</t>
  </si>
  <si>
    <t>Manufacturing Cost Analysis 1</t>
  </si>
  <si>
    <t>Environmental Engineer</t>
  </si>
  <si>
    <t>Safety,   Occupational Health and Environment Division</t>
  </si>
  <si>
    <t>Environment Department</t>
  </si>
  <si>
    <t>Social Media</t>
  </si>
  <si>
    <t>Factory Services Staff</t>
  </si>
  <si>
    <t>Human Resources &amp; Administration Division</t>
  </si>
  <si>
    <t>Amata City Administration Department</t>
  </si>
  <si>
    <t>Factory Services</t>
  </si>
  <si>
    <t>Tractor Manufacturing Division</t>
  </si>
  <si>
    <t>L Tractor Production Department</t>
  </si>
  <si>
    <t>Production Development - Assembling</t>
  </si>
  <si>
    <t xml:space="preserve">Engineer </t>
  </si>
  <si>
    <t>Project Engineer</t>
  </si>
  <si>
    <t>Manufacturing Engineering Division</t>
  </si>
  <si>
    <t>Project Management Engineering Department</t>
  </si>
  <si>
    <t>Amata City - Engineering Project 1</t>
  </si>
  <si>
    <t xml:space="preserve">Data Analyst </t>
  </si>
  <si>
    <t>Data Anlyst</t>
  </si>
  <si>
    <t>Digital Accounting Specialist</t>
  </si>
  <si>
    <t>Accounting Solutions and Process Development Department</t>
  </si>
  <si>
    <t>Digital Accounting &amp; Process Design</t>
  </si>
  <si>
    <t>Engineer (Service Publication)</t>
  </si>
  <si>
    <t>Service Publication</t>
  </si>
  <si>
    <t>Engineer (Tractor product support)</t>
  </si>
  <si>
    <t>Technical Service Solutions Department</t>
  </si>
  <si>
    <t>Tractor Technical Service</t>
  </si>
  <si>
    <t>Engineering Assistant</t>
  </si>
  <si>
    <t>Navanakorn Process Development</t>
  </si>
  <si>
    <t>Navanakorn - Engineering Project</t>
  </si>
  <si>
    <t>Technology Innovation Executive,   Senior Technology Innovation Executive</t>
  </si>
  <si>
    <t>Product Development (Farm &amp; machinery management system)</t>
  </si>
  <si>
    <t>Grand Design &amp; Technology Innovation</t>
  </si>
  <si>
    <t>Sustainable Solutions Promotion Executive</t>
  </si>
  <si>
    <t>Kubota Solutions Department</t>
  </si>
  <si>
    <t>Sustainable solutions promotion</t>
  </si>
  <si>
    <t>พนักงานวิเคราะห์ และควบคุมความเคลื่อนไหวของชิ้นส่วนอะไหล่ และสินค้าคงคลัง</t>
  </si>
  <si>
    <t>พนักงานคลังสินค้า</t>
  </si>
  <si>
    <t>Inventory Control</t>
  </si>
  <si>
    <t>พนักงานธุรการขาย</t>
  </si>
  <si>
    <t>Tractor &amp; Farm Machinery Sales Division</t>
  </si>
  <si>
    <t>Northern Region Sales Office</t>
  </si>
  <si>
    <t>Business Intelligence</t>
  </si>
  <si>
    <t>Purchasing - 1A</t>
  </si>
  <si>
    <t>Product Purchasing and Administration Department</t>
  </si>
  <si>
    <t>Product Purchasing</t>
  </si>
  <si>
    <t>Parts Supply Chain Solution</t>
  </si>
  <si>
    <t>Jobdb</t>
  </si>
  <si>
    <t>Production Support</t>
  </si>
  <si>
    <t>Navanakorn Production Planning &amp; Control Department</t>
  </si>
  <si>
    <t>Logistic System</t>
  </si>
  <si>
    <t>KOSEN</t>
  </si>
  <si>
    <t>Finance Planning and Analysis</t>
  </si>
  <si>
    <t>ช่างเทคนิคบริการ(กระบี่)</t>
  </si>
  <si>
    <t>Central and Southern Region After Sales</t>
  </si>
  <si>
    <t>Advance Product Quality Planning Engineer</t>
  </si>
  <si>
    <t>Advance Product Quality Planning Department</t>
  </si>
  <si>
    <t>New Model Managament</t>
  </si>
  <si>
    <t>Production Development - Welding and Painting</t>
  </si>
  <si>
    <t>Safety Officer</t>
  </si>
  <si>
    <t>Safety and Occupational Health Department</t>
  </si>
  <si>
    <t>Amata City Safety and Occupational Health</t>
  </si>
  <si>
    <t xml:space="preserve"> Engineer </t>
  </si>
  <si>
    <t>Overseas Service Engineer</t>
  </si>
  <si>
    <t>Overseas service operation</t>
  </si>
  <si>
    <t>Overseas Service</t>
  </si>
  <si>
    <t xml:space="preserve">Sales Executive </t>
  </si>
  <si>
    <t>Sales Executive (Domestic Parts Sales &amp; Marketing Parts)</t>
  </si>
  <si>
    <t>Domestic Parts Sales &amp; Marketing Department</t>
  </si>
  <si>
    <t>System Analyst</t>
  </si>
  <si>
    <t>Service Sales Solutions</t>
  </si>
  <si>
    <t>พนักงานประสานงานบริการ</t>
  </si>
  <si>
    <t>พนักงานประสานงานบริการ(สุราษฎร์ธานี)</t>
  </si>
  <si>
    <t>Part Logistics Staff</t>
  </si>
  <si>
    <t>พนักงานโลจิสติกส์อะไหล่</t>
  </si>
  <si>
    <t>Parts Logistics</t>
  </si>
  <si>
    <t>Accounting Department</t>
  </si>
  <si>
    <t>ย้ายโมเดลไปรับที่นวนคร</t>
  </si>
  <si>
    <t>Digital Communication</t>
  </si>
  <si>
    <t>Digital Communication (Martech Skill)</t>
  </si>
  <si>
    <t>Engineer (Part Supply &amp; Planning )</t>
  </si>
  <si>
    <t>Part Supply &amp;Planning Management</t>
  </si>
  <si>
    <t>Event Management Executive</t>
  </si>
  <si>
    <t>Event Management</t>
  </si>
  <si>
    <t>Corporate Branding Management Department</t>
  </si>
  <si>
    <t>Service Creativity Executive</t>
  </si>
  <si>
    <t>Service Creativity</t>
  </si>
  <si>
    <t>ชุดาพร</t>
  </si>
  <si>
    <t>Inventory Strategy &amp; Data Analyst</t>
  </si>
  <si>
    <t>Maintenance Engineer</t>
  </si>
  <si>
    <t>Navanakorn Production Engineering Department</t>
  </si>
  <si>
    <t>Maintenance</t>
  </si>
  <si>
    <t>Software Developer</t>
  </si>
  <si>
    <t>Digital Enterprise System Department</t>
  </si>
  <si>
    <t>Manufacturing Software Development</t>
  </si>
  <si>
    <t>System Developer</t>
  </si>
  <si>
    <t>Amata City Environment</t>
  </si>
  <si>
    <t>Purchasing Officer</t>
  </si>
  <si>
    <t>Navanakorn Human Resources Department</t>
  </si>
  <si>
    <t>General Purchasing</t>
  </si>
  <si>
    <t>Product Development Engineer</t>
  </si>
  <si>
    <t>Trading</t>
  </si>
  <si>
    <t>Senior Overseas Part Sales - Cambodia</t>
  </si>
  <si>
    <t>Cambodia - Parts Sales</t>
  </si>
  <si>
    <t>Carbon Neutrality Business Executive</t>
  </si>
  <si>
    <t>Carbon Neutrality Business</t>
  </si>
  <si>
    <t xml:space="preserve"> Carbon Neutrality</t>
  </si>
  <si>
    <t>Overseas Smart Contact Center and Privilege Executive</t>
  </si>
  <si>
    <t>Customer Relationship Management Department</t>
  </si>
  <si>
    <t>Overseas Smart Contact Center &amp; Privilege</t>
  </si>
  <si>
    <t>ERP Developer</t>
  </si>
  <si>
    <t>New Business support</t>
  </si>
  <si>
    <t>Inspection Engineer</t>
  </si>
  <si>
    <t>Tractor &amp; Implement Inspection Department</t>
  </si>
  <si>
    <t>Support Product Inspection</t>
  </si>
  <si>
    <t>Engineer(Part Supply Planning)</t>
  </si>
  <si>
    <t>CSP Engineer</t>
  </si>
  <si>
    <t>QA Engineer</t>
  </si>
  <si>
    <t>Quality Assurance Division</t>
  </si>
  <si>
    <t>CSP Tractor Department</t>
  </si>
  <si>
    <t>Tractor 1</t>
  </si>
  <si>
    <t xml:space="preserve">Risk Management Officer </t>
  </si>
  <si>
    <t>Risk Management</t>
  </si>
  <si>
    <t>GRC &amp; Internal Audit Division</t>
  </si>
  <si>
    <t>Risk Management Department</t>
  </si>
  <si>
    <t>ผู้จัดการสหกรณ์</t>
  </si>
  <si>
    <t>Corporate Human Resources &amp; Administration Department</t>
  </si>
  <si>
    <t>Information System &amp; Operation</t>
  </si>
  <si>
    <t>พนักงานธุุรการ</t>
  </si>
  <si>
    <t>Navanakorn Administration Department</t>
  </si>
  <si>
    <t>Office Services</t>
  </si>
  <si>
    <t>Reporting &amp; Taxation</t>
  </si>
  <si>
    <t>Resign</t>
  </si>
  <si>
    <t>นุจรินทร์ อินต๊ะ</t>
  </si>
  <si>
    <t>ชุดาพร พิทักษ์หุ่นตระกูล</t>
  </si>
  <si>
    <t>Apr16,2026</t>
  </si>
  <si>
    <t>Credit Analyst</t>
  </si>
  <si>
    <t>Finance &amp; Credit Development</t>
  </si>
  <si>
    <t>ขวัญจิรา ช่วยธานี</t>
  </si>
  <si>
    <t>บัณฑิตา อาจวิชัย</t>
  </si>
  <si>
    <t>July 1,2026</t>
  </si>
  <si>
    <t>Business System Analyst</t>
  </si>
  <si>
    <t>Supply Chain System</t>
  </si>
  <si>
    <t>กุลณัฐ ดามัง</t>
  </si>
  <si>
    <t>June 16,2026</t>
  </si>
  <si>
    <t>Electrical Engineer</t>
  </si>
  <si>
    <t>Business Support Department</t>
  </si>
  <si>
    <t>Products Innovation Business</t>
  </si>
  <si>
    <t>Government &amp; Legal Affairs Officer</t>
  </si>
  <si>
    <t>Legal &amp; Compliance Department</t>
  </si>
  <si>
    <t>Government &amp; Legal Affairs</t>
  </si>
  <si>
    <t>External Only</t>
  </si>
  <si>
    <t>อัครชาภา ชลสุวรรณ</t>
  </si>
  <si>
    <t>ณิชาพร ภาคเพียร</t>
  </si>
  <si>
    <t>Apr 4,2026</t>
  </si>
  <si>
    <t>Parts Sales Solutions</t>
  </si>
  <si>
    <t>ชนิกานต์ โสตถิวนิชย์วงศ์</t>
  </si>
  <si>
    <t>May 16,2026</t>
  </si>
  <si>
    <t>ณัฐธนิสชา อัมพรชัยรัชต์</t>
  </si>
  <si>
    <t>เจ้าหน้าที่สหกรณ์</t>
  </si>
  <si>
    <t>Cooperative Officer</t>
  </si>
  <si>
    <t>New Model</t>
  </si>
  <si>
    <t>นรีพัฒน์ จินดามรกฎ</t>
  </si>
  <si>
    <t>June 1,2026</t>
  </si>
  <si>
    <t>Digital Communication Division</t>
  </si>
  <si>
    <t>Domestic Communication - Farm Machinery</t>
  </si>
  <si>
    <t>อนัญญา กาญจนกันทร์</t>
  </si>
  <si>
    <t>พิมพ์มาดา เศรษฐเมธีกุล</t>
  </si>
  <si>
    <t>Special Licensing &amp; Legal Support Officer</t>
  </si>
  <si>
    <t>Special Licensing &amp; Legal Support</t>
  </si>
  <si>
    <t>Rotation</t>
  </si>
  <si>
    <t>ภาวินี สุขสว่าง</t>
  </si>
  <si>
    <t>ธันย์ชนก สีสุวรรณ์</t>
  </si>
  <si>
    <t>Parts Supply Planning &amp; Management</t>
  </si>
  <si>
    <t>Wait to Join</t>
  </si>
  <si>
    <t>16728)</t>
  </si>
  <si>
    <t>ยลดา ประทุม</t>
  </si>
  <si>
    <t xml:space="preserve">ณฐินี พงศ์ปิยะประเสริฐ </t>
  </si>
  <si>
    <t>July 16,2026</t>
  </si>
  <si>
    <t>Service Business Intelligence Engineer/Executive</t>
  </si>
  <si>
    <t xml:space="preserve">Service Business Intelligence </t>
  </si>
  <si>
    <t>Service Business Intelligence</t>
  </si>
  <si>
    <t>ธนัท สระแก้ว</t>
  </si>
  <si>
    <t>ชิษณุพงศ์ พลศรี</t>
  </si>
  <si>
    <t>Aug 1,2026</t>
  </si>
  <si>
    <t>https://kubotagroup.sharepoint.com/:w:/r/sites/SKC-0AAFVK4bNBX3wUk9PVA/Shared%20Documents/(1)%20HRM/Recruitment/JD/Customer%20Service/JD/JD%20SKCN%20Service%20Business%20Intelligence%20Engineer.docx?d=w276f79d7e9dc4bab8d11cd855fc35533&amp;csf=1&amp;web=1&amp;e=Q3msZO</t>
  </si>
  <si>
    <t xml:space="preserve">Service Creativity Executive </t>
  </si>
  <si>
    <t>วิภาวี ชัยนนถี</t>
  </si>
  <si>
    <t>Accountant-Budget Mgt</t>
  </si>
  <si>
    <t>Accountant(Budget Management)</t>
  </si>
  <si>
    <t>Cost Accounting and Budgeting Department</t>
  </si>
  <si>
    <t>Budget Management</t>
  </si>
  <si>
    <t>Screening</t>
  </si>
  <si>
    <t>มี Lot นึง</t>
  </si>
  <si>
    <t>https://kubotagroup.sharepoint.com/:x:/r/sites/SKC-0AAFVK4bNBX3wUk9PVA/Shared%20Documents/(1)%20HRM/Recruitment/JD/Planning%20and%20Control/JD/JD%202026BudgetManagement_Accountant.xlsx?d=wd80c1a3981a544718d62c8a2c060e0a8&amp;csf=1&amp;web=1&amp;e=7as0qq</t>
  </si>
  <si>
    <t>ณัฐนิชา สุภาสืบ</t>
  </si>
  <si>
    <t>Aug 16,2026</t>
  </si>
  <si>
    <t>ทำระบบสำหรับการเก็บข้อมูล เพื่อให้ทาง Data Analyst นำไปวิเคราะห์อีกที - เน้น Coding ต้องรู้โครงสร้างของระบบ, เคยทำ Data Warehouse, Pipeline - 0</t>
  </si>
  <si>
    <t>https://kubotagroup.sharepoint.com/:x:/r/sites/SKC-0AAFVK4bNBX3wUk9PVA/Shared%20Documents/(1)%20HRM/Recruitment/JD/Digital%20Technology/JD/JD%20Data%20Engineer.xlsx?d=w996ce4c70e024098a9426d1ad244ae8e&amp;csf=1&amp;web=1&amp;e=wvM4TE</t>
  </si>
  <si>
    <t>HR Officer</t>
  </si>
  <si>
    <t>Strategy &amp; System</t>
  </si>
  <si>
    <t>Final Interview</t>
  </si>
  <si>
    <t>คละได้ - 0</t>
  </si>
  <si>
    <t>https://superrecruit.jobtopgun.com/SERC?view=jobpostPreview&amp;idPosition=863</t>
  </si>
  <si>
    <t xml:space="preserve">Risk Management </t>
  </si>
  <si>
    <t>ปิยะนุช อโณทยานนท์</t>
  </si>
  <si>
    <t>https://kubotagroup.sharepoint.com/:w:/r/sites/SKC-0AAFVK4bNBX3wUk9PVA/Shared%20Documents/(1)%20HRM/Recruitment/JD/GRC%20%26%20Internal%20Audit%20Division/JD_SKCN_Risk%20Management%20Officer_RM2026_BCM.docx?d=w04b889ec0ed243d0b5da40e501d46bd1&amp;csf=1&amp;web=1&amp;e=NSJh12</t>
  </si>
  <si>
    <t>Associate Business System</t>
  </si>
  <si>
    <t>พนธกร วิชาพร</t>
  </si>
  <si>
    <t>https://kubotagroup.sharepoint.com/:b:/r/sites/SKC-0AAFVK4bNBX3wUk9PVA/Shared%20Documents/(1)%20HRM/Recruitment/JD/Digital%20Technology/JD/Job%20Description%20-%20Software%20Developer%20-%20ABS.pdf?csf=1&amp;web=1&amp;e=zGgfQP</t>
  </si>
  <si>
    <t>Parts Sales Promotion Executive</t>
  </si>
  <si>
    <t>จะไปเปิดที่ทีมสื่อสารแทน - เอาแคนดิเดตที่เคยส่งตำแหน่งนี้ไป ไปสัมไฟนอล</t>
  </si>
  <si>
    <t>จบใหม่ได้, เน้น TU CU, Eng ดีๆ เวลาร่างคอนแทรคต้องใช้ คุยเอเจนซี</t>
  </si>
  <si>
    <t>https://th.jobsdb.com/job/93127572</t>
  </si>
  <si>
    <t>Engineer (Strategic Parts Planning &amp; Localization)</t>
  </si>
  <si>
    <t>Strategic Parts Planning &amp; Localization</t>
  </si>
  <si>
    <t>พัฒนาชิ้นส่วนอะไหล่ของ TR SKC วางแผนพัฒนาชิ้นส่วนทั้งหมด อันไหนควรพัฒนาเอง โคงานเยอะกับทางฝั่งทั้ง QA CS Supplier ทั้งบริษัทการลดต้นทุน
ดู Drawing 
จบใหม่ ปสก 3-5 ปี
ประสานงาน
ถ้าได้สาย Project Management, Procurement</t>
  </si>
  <si>
    <t>https://kubotagroup.sharepoint.com/:b:/r/sites/SKC-0AAFVK4bNBX3wUk9PVA/Shared%20Documents/(1)%20HRM/Recruitment/JD/Parts/JD/JD-Strategic%20Parts%20Planning%20%26%20Localization.pdf?csf=1&amp;web=1&amp;e=PizvdD</t>
  </si>
  <si>
    <t>Holidays</t>
  </si>
  <si>
    <t>Recruit Status</t>
  </si>
  <si>
    <t>Branch</t>
  </si>
  <si>
    <t>Prioritize</t>
  </si>
  <si>
    <t>Channels</t>
  </si>
  <si>
    <t>Probation</t>
  </si>
  <si>
    <t>Division2</t>
  </si>
  <si>
    <t>Department2</t>
  </si>
  <si>
    <t>Work Unit2</t>
  </si>
  <si>
    <t>Column1</t>
  </si>
  <si>
    <t>Pass</t>
  </si>
  <si>
    <t>Production Line - Assembling</t>
  </si>
  <si>
    <t>Second</t>
  </si>
  <si>
    <t>Not Pass</t>
  </si>
  <si>
    <t>On Process</t>
  </si>
  <si>
    <t>Production Line</t>
  </si>
  <si>
    <t>Under Review</t>
  </si>
  <si>
    <t>Scholarship</t>
  </si>
  <si>
    <t>Thrid</t>
  </si>
  <si>
    <t>Product Inspection</t>
  </si>
  <si>
    <t>First Interview</t>
  </si>
  <si>
    <t>FriendsGetFriends</t>
  </si>
  <si>
    <t>Safety, Occupational Health and Environment Division</t>
  </si>
  <si>
    <t>Internal Recruit</t>
  </si>
  <si>
    <t>Roadshow</t>
  </si>
  <si>
    <t>Purchasing 2 Department</t>
  </si>
  <si>
    <t>Assembly Line - Final A</t>
  </si>
  <si>
    <t>Retirement</t>
  </si>
  <si>
    <t>Social Media(FB,TikTok)</t>
  </si>
  <si>
    <t>B Tractor &amp; Part Production Department</t>
  </si>
  <si>
    <t>Production Line - Welding and Painting</t>
  </si>
  <si>
    <t>Part Logistics Department</t>
  </si>
  <si>
    <t>Part Logistics - Tractor Plant</t>
  </si>
  <si>
    <t>Not Completed</t>
  </si>
  <si>
    <t>Parts Production Line</t>
  </si>
  <si>
    <t>Production Technology Development Division</t>
  </si>
  <si>
    <t>Supplier Quality Kaizen 1</t>
  </si>
  <si>
    <t>Assembly Line</t>
  </si>
  <si>
    <t>Warehouse Operation</t>
  </si>
  <si>
    <t>Part Logistics - Combine Harvester Plant</t>
  </si>
  <si>
    <t>Production Line - FGL</t>
  </si>
  <si>
    <t>Amata City - Process Development</t>
  </si>
  <si>
    <t>Production Development - Rotary</t>
  </si>
  <si>
    <t>Harvester Inspection Department</t>
  </si>
  <si>
    <t>Tool Engineering</t>
  </si>
  <si>
    <t>Export/Import Shipping Administration Department</t>
  </si>
  <si>
    <t>Indirect Material Purchasing</t>
  </si>
  <si>
    <t>Amata City Human Resources Department</t>
  </si>
  <si>
    <t>Transportation</t>
  </si>
  <si>
    <t>Sugarcane Harvester &amp; Rotary Production Department</t>
  </si>
  <si>
    <t>Part Planning &amp; Control - FGL</t>
  </si>
  <si>
    <t>Finished Goods Logistics Department</t>
  </si>
  <si>
    <t>Assembly Line - Mission B</t>
  </si>
  <si>
    <t>Amata City Production Engineering Department</t>
  </si>
  <si>
    <t>Import Administration</t>
  </si>
  <si>
    <t>Free Zone</t>
  </si>
  <si>
    <t>KPS Promotion Department</t>
  </si>
  <si>
    <t>Purchasing - 2B</t>
  </si>
  <si>
    <t>Automation Technology Department</t>
  </si>
  <si>
    <t>Purchasing Administration</t>
  </si>
  <si>
    <t>Utility</t>
  </si>
  <si>
    <t>Assembly Line - Mission A</t>
  </si>
  <si>
    <t>Production Development- Sugarcane Harvester</t>
  </si>
  <si>
    <t>General Accounting</t>
  </si>
  <si>
    <t>Manufacturing Cost Analysis 3</t>
  </si>
  <si>
    <t>Part Logistics Engineering</t>
  </si>
  <si>
    <t>Part Inspection</t>
  </si>
  <si>
    <t>Assembly Line - Final B</t>
  </si>
  <si>
    <t>Advanced Product Quality Planning - 1</t>
  </si>
  <si>
    <t>Part Control</t>
  </si>
  <si>
    <t>Production Development 1</t>
  </si>
  <si>
    <t>Siam Kubota Academy</t>
  </si>
  <si>
    <t>Advanced Product Quality Planning - 2</t>
  </si>
  <si>
    <t>Government Affairs &amp; Office Services</t>
  </si>
  <si>
    <t>Accounting System &amp; Process Development</t>
  </si>
  <si>
    <t>Support Part Inspection</t>
  </si>
  <si>
    <t>Supplier Quality Kaizen 2</t>
  </si>
  <si>
    <t>Smart Maintenance</t>
  </si>
  <si>
    <t>GRC Department</t>
  </si>
  <si>
    <t>Employee Relations</t>
  </si>
  <si>
    <t>Internal Audit Department</t>
  </si>
  <si>
    <t>KPS Fundamental</t>
  </si>
  <si>
    <t>Indirect Material Purchasing and Indirect Material Purchasing Engineering</t>
  </si>
  <si>
    <t>Production Planning</t>
  </si>
  <si>
    <t>Privilege &amp; Process Development</t>
  </si>
  <si>
    <t>Production Support - New business</t>
  </si>
  <si>
    <t>Part Planning - Harvester &amp; Implement</t>
  </si>
  <si>
    <t>Power Tiller Production Department</t>
  </si>
  <si>
    <t>Sustainable Environment Development</t>
  </si>
  <si>
    <t>Amata City - Engineering Project 2</t>
  </si>
  <si>
    <t>Export Administration</t>
  </si>
  <si>
    <t>Technology Development - Logistics</t>
  </si>
  <si>
    <t>Overseas &amp; Service Business Department</t>
  </si>
  <si>
    <t>Indirect Material Purchasing Engineering</t>
  </si>
  <si>
    <t>KBT's Export Logistics</t>
  </si>
  <si>
    <t>KPS Administration</t>
  </si>
  <si>
    <t>Marketing Management Department</t>
  </si>
  <si>
    <t>Technology Development - Manufacturing</t>
  </si>
  <si>
    <t>Production Development - FGL</t>
  </si>
  <si>
    <t>Overseas Sales Office</t>
  </si>
  <si>
    <t>Central &amp; Southern Region Sales Office</t>
  </si>
  <si>
    <t>Amata city IT Service</t>
  </si>
  <si>
    <t>Northeastern Region Sales Office</t>
  </si>
  <si>
    <t>Manufacturing Execution System</t>
  </si>
  <si>
    <t>Manufacturing System Planning</t>
  </si>
  <si>
    <t>Construction Business</t>
  </si>
  <si>
    <t>PU1 New Model Costing</t>
  </si>
  <si>
    <t>Distribution Channel Development Department</t>
  </si>
  <si>
    <t>Purchasing - 2A</t>
  </si>
  <si>
    <t>CSP Farm Machinery Department</t>
  </si>
  <si>
    <t>New Project Control</t>
  </si>
  <si>
    <t>CSP Construction &amp; Implement Department</t>
  </si>
  <si>
    <t>PU2 New Model Costing</t>
  </si>
  <si>
    <t>Human Resources Management &amp; Recruitment</t>
  </si>
  <si>
    <t>KLC</t>
  </si>
  <si>
    <t>Manufacturing Cost Analysis 2</t>
  </si>
  <si>
    <t>Data Driven Business</t>
  </si>
  <si>
    <t>Human Resources Development</t>
  </si>
  <si>
    <t>Production Development - Assembly</t>
  </si>
  <si>
    <t>Purchasing - 2C</t>
  </si>
  <si>
    <t>Production Development - Parts Production</t>
  </si>
  <si>
    <t>Digital Communication Department</t>
  </si>
  <si>
    <t>Accounting Solutions and Process 
Development</t>
  </si>
  <si>
    <t>Overseas &amp; Service Operation Department</t>
  </si>
  <si>
    <t>Digital Enterprise System</t>
  </si>
  <si>
    <t>Marketing Research</t>
  </si>
  <si>
    <t xml:space="preserve"> Parts Planning &amp; Development Department</t>
  </si>
  <si>
    <t>Farm experince developer</t>
  </si>
  <si>
    <t>Education Partnership development</t>
  </si>
  <si>
    <t>Service Operation excellence</t>
  </si>
  <si>
    <t>Overseas service Creativity</t>
  </si>
  <si>
    <t>Overseas Network Management</t>
  </si>
  <si>
    <t>Navanakorn Distribution Center</t>
  </si>
  <si>
    <t>Hay Baler Assembling</t>
  </si>
  <si>
    <t>Machining for Navanakorn</t>
  </si>
  <si>
    <t>Cost Analysis 2</t>
  </si>
  <si>
    <t>Subsidiary Support</t>
  </si>
  <si>
    <t>Carbon Neutrality</t>
  </si>
  <si>
    <t>Manufacturing Business Analysis</t>
  </si>
  <si>
    <t xml:space="preserve">Domestic Communication - Farm Machinery 
</t>
  </si>
  <si>
    <t>Stage</t>
  </si>
  <si>
    <t>No.of Resume</t>
  </si>
  <si>
    <t>Applied</t>
  </si>
  <si>
    <t>Hired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</si>
</sst>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[$-1010000]d/m/yyyy;@"/>
    <numFmt numFmtId="166" formatCode="B1d\-mmm\-yy"/>
    <numFmt numFmtId="167" formatCode="d/mm/yyyy;@"/>
  </numFmts>
  <fonts count="19">
    <font>
      <sz val="11"/>
      <color theme="1"/>
      <name val="Tahoma"/>
      <family val="2"/>
      <charset val="222"/>
      <scheme val="minor"/>
    </font>
    <font>
      <b/>
      <sz val="12"/>
      <color theme="1"/>
      <name val="TH Sarabun New"/>
      <family val="2"/>
    </font>
    <font>
      <sz val="12"/>
      <color theme="1"/>
      <name val="TH Sarabun New"/>
      <family val="2"/>
    </font>
    <font>
      <sz val="14"/>
      <color theme="1"/>
      <name val="TH Sarabun New"/>
      <family val="2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1"/>
      <color theme="10"/>
      <name val="Century Gothic"/>
    </font>
    <font>
      <sz val="11"/>
      <color rgb="FF000000"/>
      <name val="Century Gothic"/>
    </font>
    <font>
      <sz val="11"/>
      <name val="Century Gothic"/>
    </font>
    <font>
      <sz val="11"/>
      <color theme="1"/>
      <name val="Century Gothic"/>
    </font>
    <font>
      <b/>
      <sz val="14"/>
      <color rgb="FF000000"/>
      <name val="TH Sarabun New"/>
    </font>
    <font>
      <sz val="11"/>
      <color rgb="FF000000"/>
      <name val="Aptos Display"/>
      <scheme val="major"/>
    </font>
    <font>
      <sz val="11"/>
      <name val="Aptos Display"/>
      <scheme val="major"/>
    </font>
    <font>
      <sz val="12"/>
      <color rgb="FF000000"/>
      <name val="Aptos Display"/>
      <scheme val="major"/>
    </font>
    <font>
      <sz val="12"/>
      <name val="Aptos Display"/>
      <scheme val="maj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29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wrapText="1"/>
    </xf>
    <xf numFmtId="14" fontId="1" fillId="0" borderId="0" xfId="0" applyNumberFormat="1" applyFont="1"/>
    <xf numFmtId="14" fontId="2" fillId="0" borderId="0" xfId="0" applyNumberFormat="1" applyFont="1"/>
    <xf numFmtId="0" fontId="3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167" fontId="8" fillId="2" borderId="9" xfId="0" applyNumberFormat="1" applyFont="1" applyFill="1" applyBorder="1" applyAlignment="1">
      <alignment horizontal="left" vertical="top"/>
    </xf>
    <xf numFmtId="0" fontId="8" fillId="2" borderId="0" xfId="0" applyFont="1" applyFill="1" applyAlignment="1">
      <alignment horizontal="left"/>
    </xf>
    <xf numFmtId="0" fontId="8" fillId="2" borderId="9" xfId="0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top" wrapText="1"/>
    </xf>
    <xf numFmtId="14" fontId="8" fillId="2" borderId="9" xfId="0" applyNumberFormat="1" applyFont="1" applyFill="1" applyBorder="1" applyAlignment="1">
      <alignment horizontal="left" vertical="top" wrapText="1"/>
    </xf>
    <xf numFmtId="164" fontId="8" fillId="2" borderId="9" xfId="1" applyNumberFormat="1" applyFont="1" applyFill="1" applyBorder="1" applyAlignment="1">
      <alignment horizontal="left" vertical="top"/>
    </xf>
    <xf numFmtId="14" fontId="8" fillId="2" borderId="9" xfId="0" applyNumberFormat="1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wrapText="1"/>
    </xf>
    <xf numFmtId="0" fontId="8" fillId="2" borderId="9" xfId="0" applyFont="1" applyFill="1" applyBorder="1" applyAlignment="1">
      <alignment horizontal="left"/>
    </xf>
    <xf numFmtId="0" fontId="8" fillId="0" borderId="9" xfId="0" applyFont="1" applyBorder="1" applyAlignment="1">
      <alignment horizontal="left" readingOrder="1"/>
    </xf>
    <xf numFmtId="167" fontId="8" fillId="2" borderId="9" xfId="0" applyNumberFormat="1" applyFont="1" applyFill="1" applyBorder="1" applyAlignment="1">
      <alignment horizontal="left" vertical="top" wrapText="1"/>
    </xf>
    <xf numFmtId="0" fontId="8" fillId="2" borderId="12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/>
    </xf>
    <xf numFmtId="0" fontId="8" fillId="0" borderId="9" xfId="0" applyFont="1" applyBorder="1" applyAlignment="1">
      <alignment vertical="center" wrapText="1" readingOrder="1"/>
    </xf>
    <xf numFmtId="0" fontId="8" fillId="2" borderId="12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 vertical="top"/>
    </xf>
    <xf numFmtId="0" fontId="8" fillId="2" borderId="15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167" fontId="8" fillId="2" borderId="9" xfId="0" applyNumberFormat="1" applyFont="1" applyFill="1" applyBorder="1" applyAlignment="1">
      <alignment horizontal="left"/>
    </xf>
    <xf numFmtId="167" fontId="8" fillId="0" borderId="9" xfId="0" applyNumberFormat="1" applyFont="1" applyBorder="1" applyAlignment="1">
      <alignment horizontal="left" readingOrder="1"/>
    </xf>
    <xf numFmtId="0" fontId="8" fillId="0" borderId="14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8" fillId="0" borderId="16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3" xfId="0" applyFont="1" applyBorder="1" applyAlignment="1">
      <alignment readingOrder="1"/>
    </xf>
    <xf numFmtId="0" fontId="8" fillId="0" borderId="17" xfId="0" applyFont="1" applyBorder="1" applyAlignment="1">
      <alignment readingOrder="1"/>
    </xf>
    <xf numFmtId="167" fontId="8" fillId="5" borderId="9" xfId="0" applyNumberFormat="1" applyFont="1" applyFill="1" applyBorder="1" applyAlignment="1">
      <alignment horizontal="left" readingOrder="1"/>
    </xf>
    <xf numFmtId="0" fontId="8" fillId="0" borderId="18" xfId="0" applyFont="1" applyBorder="1" applyAlignment="1">
      <alignment readingOrder="1"/>
    </xf>
    <xf numFmtId="0" fontId="8" fillId="0" borderId="19" xfId="0" applyFont="1" applyBorder="1" applyAlignment="1">
      <alignment readingOrder="1"/>
    </xf>
    <xf numFmtId="14" fontId="8" fillId="2" borderId="12" xfId="0" applyNumberFormat="1" applyFont="1" applyFill="1" applyBorder="1" applyAlignment="1">
      <alignment horizontal="left" vertical="top"/>
    </xf>
    <xf numFmtId="0" fontId="8" fillId="2" borderId="1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 vertical="top" wrapText="1"/>
    </xf>
    <xf numFmtId="167" fontId="9" fillId="6" borderId="10" xfId="0" applyNumberFormat="1" applyFont="1" applyFill="1" applyBorder="1" applyAlignment="1">
      <alignment horizontal="left" readingOrder="1"/>
    </xf>
    <xf numFmtId="167" fontId="9" fillId="0" borderId="14" xfId="0" applyNumberFormat="1" applyFont="1" applyBorder="1" applyAlignment="1">
      <alignment horizontal="left" readingOrder="1"/>
    </xf>
    <xf numFmtId="167" fontId="9" fillId="6" borderId="11" xfId="0" applyNumberFormat="1" applyFont="1" applyFill="1" applyBorder="1" applyAlignment="1">
      <alignment horizontal="left" readingOrder="1"/>
    </xf>
    <xf numFmtId="167" fontId="9" fillId="0" borderId="10" xfId="0" applyNumberFormat="1" applyFont="1" applyBorder="1" applyAlignment="1">
      <alignment horizontal="left" readingOrder="1"/>
    </xf>
    <xf numFmtId="0" fontId="8" fillId="2" borderId="19" xfId="0" applyFont="1" applyFill="1" applyBorder="1" applyAlignment="1">
      <alignment horizontal="left"/>
    </xf>
    <xf numFmtId="167" fontId="8" fillId="0" borderId="17" xfId="0" applyNumberFormat="1" applyFont="1" applyBorder="1" applyAlignment="1">
      <alignment horizontal="left" readingOrder="1"/>
    </xf>
    <xf numFmtId="167" fontId="8" fillId="2" borderId="19" xfId="0" applyNumberFormat="1" applyFont="1" applyFill="1" applyBorder="1" applyAlignment="1">
      <alignment horizontal="left" vertical="top"/>
    </xf>
    <xf numFmtId="0" fontId="10" fillId="2" borderId="4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center" wrapText="1"/>
    </xf>
    <xf numFmtId="165" fontId="11" fillId="2" borderId="9" xfId="0" applyNumberFormat="1" applyFont="1" applyFill="1" applyBorder="1" applyAlignment="1">
      <alignment horizontal="left" vertical="top"/>
    </xf>
    <xf numFmtId="167" fontId="11" fillId="2" borderId="9" xfId="0" applyNumberFormat="1" applyFont="1" applyFill="1" applyBorder="1" applyAlignment="1">
      <alignment horizontal="left" vertical="top"/>
    </xf>
    <xf numFmtId="164" fontId="11" fillId="2" borderId="9" xfId="1" applyNumberFormat="1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top"/>
    </xf>
    <xf numFmtId="0" fontId="11" fillId="2" borderId="12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/>
    </xf>
    <xf numFmtId="165" fontId="12" fillId="2" borderId="5" xfId="0" applyNumberFormat="1" applyFont="1" applyFill="1" applyBorder="1" applyAlignment="1">
      <alignment horizontal="left" vertical="top" wrapText="1"/>
    </xf>
    <xf numFmtId="14" fontId="12" fillId="2" borderId="5" xfId="0" applyNumberFormat="1" applyFont="1" applyFill="1" applyBorder="1" applyAlignment="1">
      <alignment horizontal="left" vertical="top" wrapText="1"/>
    </xf>
    <xf numFmtId="167" fontId="13" fillId="2" borderId="2" xfId="0" applyNumberFormat="1" applyFont="1" applyFill="1" applyBorder="1" applyAlignment="1">
      <alignment horizontal="left" readingOrder="1"/>
    </xf>
    <xf numFmtId="164" fontId="12" fillId="2" borderId="5" xfId="1" applyNumberFormat="1" applyFont="1" applyFill="1" applyBorder="1" applyAlignment="1">
      <alignment horizontal="left" vertical="top"/>
    </xf>
    <xf numFmtId="0" fontId="12" fillId="2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top"/>
    </xf>
    <xf numFmtId="165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/>
    </xf>
    <xf numFmtId="164" fontId="12" fillId="2" borderId="2" xfId="1" applyNumberFormat="1" applyFont="1" applyFill="1" applyBorder="1" applyAlignment="1">
      <alignment horizontal="left" vertical="top"/>
    </xf>
    <xf numFmtId="0" fontId="12" fillId="2" borderId="4" xfId="0" applyFont="1" applyFill="1" applyBorder="1" applyAlignment="1">
      <alignment horizontal="left" vertical="top"/>
    </xf>
    <xf numFmtId="0" fontId="12" fillId="2" borderId="3" xfId="0" applyFont="1" applyFill="1" applyBorder="1" applyAlignment="1">
      <alignment horizontal="left" vertical="top"/>
    </xf>
    <xf numFmtId="164" fontId="12" fillId="2" borderId="7" xfId="1" applyNumberFormat="1" applyFont="1" applyFill="1" applyBorder="1" applyAlignment="1">
      <alignment horizontal="left" vertical="top"/>
    </xf>
    <xf numFmtId="164" fontId="12" fillId="2" borderId="4" xfId="1" applyNumberFormat="1" applyFont="1" applyFill="1" applyBorder="1" applyAlignment="1">
      <alignment horizontal="left" vertical="top"/>
    </xf>
    <xf numFmtId="0" fontId="6" fillId="2" borderId="4" xfId="2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 wrapText="1"/>
    </xf>
    <xf numFmtId="165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/>
    </xf>
    <xf numFmtId="164" fontId="12" fillId="2" borderId="6" xfId="1" applyNumberFormat="1" applyFont="1" applyFill="1" applyBorder="1" applyAlignment="1">
      <alignment horizontal="left" vertical="top"/>
    </xf>
    <xf numFmtId="0" fontId="12" fillId="2" borderId="7" xfId="0" applyFont="1" applyFill="1" applyBorder="1" applyAlignment="1">
      <alignment horizontal="left" vertical="top"/>
    </xf>
    <xf numFmtId="0" fontId="10" fillId="2" borderId="7" xfId="2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vertical="center"/>
    </xf>
    <xf numFmtId="14" fontId="11" fillId="2" borderId="9" xfId="0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left" vertical="top" wrapText="1"/>
    </xf>
    <xf numFmtId="167" fontId="11" fillId="7" borderId="9" xfId="0" applyNumberFormat="1" applyFont="1" applyFill="1" applyBorder="1" applyAlignment="1">
      <alignment horizontal="left" vertical="top" wrapText="1"/>
    </xf>
    <xf numFmtId="165" fontId="11" fillId="7" borderId="9" xfId="0" applyNumberFormat="1" applyFont="1" applyFill="1" applyBorder="1" applyAlignment="1">
      <alignment horizontal="left" vertical="top"/>
    </xf>
    <xf numFmtId="167" fontId="11" fillId="7" borderId="9" xfId="0" applyNumberFormat="1" applyFont="1" applyFill="1" applyBorder="1" applyAlignment="1">
      <alignment horizontal="left" vertical="top"/>
    </xf>
    <xf numFmtId="14" fontId="11" fillId="7" borderId="9" xfId="0" applyNumberFormat="1" applyFont="1" applyFill="1" applyBorder="1" applyAlignment="1">
      <alignment horizontal="left" vertical="top" wrapText="1"/>
    </xf>
    <xf numFmtId="164" fontId="11" fillId="7" borderId="9" xfId="1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top"/>
    </xf>
    <xf numFmtId="0" fontId="11" fillId="7" borderId="12" xfId="0" applyFont="1" applyFill="1" applyBorder="1" applyAlignment="1">
      <alignment horizontal="left" vertical="top"/>
    </xf>
    <xf numFmtId="0" fontId="11" fillId="7" borderId="0" xfId="0" applyFont="1" applyFill="1" applyAlignment="1">
      <alignment horizontal="left" vertical="top"/>
    </xf>
    <xf numFmtId="166" fontId="13" fillId="2" borderId="2" xfId="0" applyNumberFormat="1" applyFont="1" applyFill="1" applyBorder="1" applyAlignment="1">
      <alignment horizontal="left" readingOrder="1"/>
    </xf>
    <xf numFmtId="14" fontId="13" fillId="2" borderId="2" xfId="0" applyNumberFormat="1" applyFont="1" applyFill="1" applyBorder="1" applyAlignment="1">
      <alignment horizontal="left" readingOrder="1"/>
    </xf>
    <xf numFmtId="0" fontId="14" fillId="0" borderId="1" xfId="0" applyFont="1" applyBorder="1" applyAlignment="1">
      <alignment wrapText="1"/>
    </xf>
    <xf numFmtId="0" fontId="7" fillId="2" borderId="8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/>
    </xf>
    <xf numFmtId="165" fontId="7" fillId="2" borderId="6" xfId="0" applyNumberFormat="1" applyFont="1" applyFill="1" applyBorder="1" applyAlignment="1">
      <alignment horizontal="left" vertical="center" wrapText="1"/>
    </xf>
    <xf numFmtId="14" fontId="7" fillId="2" borderId="6" xfId="0" applyNumberFormat="1" applyFont="1" applyFill="1" applyBorder="1" applyAlignment="1">
      <alignment horizontal="left" vertical="center" wrapText="1"/>
    </xf>
    <xf numFmtId="167" fontId="7" fillId="2" borderId="6" xfId="0" applyNumberFormat="1" applyFont="1" applyFill="1" applyBorder="1" applyAlignment="1">
      <alignment horizontal="left" vertical="center"/>
    </xf>
    <xf numFmtId="14" fontId="7" fillId="2" borderId="6" xfId="0" applyNumberFormat="1" applyFont="1" applyFill="1" applyBorder="1" applyAlignment="1">
      <alignment horizontal="left" vertical="center"/>
    </xf>
    <xf numFmtId="164" fontId="7" fillId="2" borderId="6" xfId="1" applyNumberFormat="1" applyFont="1" applyFill="1" applyBorder="1" applyAlignment="1">
      <alignment horizontal="left" vertical="center"/>
    </xf>
    <xf numFmtId="164" fontId="7" fillId="2" borderId="7" xfId="1" applyNumberFormat="1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7" fillId="2" borderId="20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/>
    </xf>
    <xf numFmtId="0" fontId="6" fillId="2" borderId="20" xfId="2" applyFill="1" applyBorder="1" applyAlignment="1">
      <alignment horizontal="left" vertical="center"/>
    </xf>
    <xf numFmtId="0" fontId="7" fillId="8" borderId="6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top"/>
    </xf>
    <xf numFmtId="0" fontId="12" fillId="8" borderId="6" xfId="0" applyFont="1" applyFill="1" applyBorder="1" applyAlignment="1">
      <alignment horizontal="left" vertical="top"/>
    </xf>
    <xf numFmtId="0" fontId="15" fillId="7" borderId="9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/>
    </xf>
    <xf numFmtId="0" fontId="16" fillId="2" borderId="6" xfId="0" applyFont="1" applyFill="1" applyBorder="1" applyAlignment="1">
      <alignment horizontal="left" vertical="top"/>
    </xf>
    <xf numFmtId="0" fontId="18" fillId="2" borderId="6" xfId="0" applyFont="1" applyFill="1" applyBorder="1" applyAlignment="1">
      <alignment horizontal="left" vertical="center"/>
    </xf>
    <xf numFmtId="0" fontId="15" fillId="2" borderId="9" xfId="0" applyFont="1" applyFill="1" applyBorder="1" applyAlignment="1">
      <alignment horizontal="left" vertical="top"/>
    </xf>
    <xf numFmtId="0" fontId="16" fillId="2" borderId="9" xfId="0" applyFont="1" applyFill="1" applyBorder="1" applyAlignment="1">
      <alignment horizontal="left" vertical="top"/>
    </xf>
    <xf numFmtId="0" fontId="17" fillId="0" borderId="9" xfId="0" applyFont="1" applyBorder="1"/>
    <xf numFmtId="0" fontId="12" fillId="2" borderId="8" xfId="0" applyFont="1" applyFill="1" applyBorder="1" applyAlignment="1">
      <alignment horizontal="left" vertical="top"/>
    </xf>
    <xf numFmtId="0" fontId="8" fillId="2" borderId="19" xfId="0" applyFont="1" applyFill="1" applyBorder="1" applyAlignment="1">
      <alignment horizontal="left" vertical="top"/>
    </xf>
  </cellXfs>
  <cellStyles count="3">
    <cellStyle name="Comma" xfId="1" builtinId="3"/>
    <cellStyle name="Hyperlink" xfId="2" builtinId="8"/>
    <cellStyle name="Normal" xfId="0" builtinId="0"/>
  </cellStyles>
  <dxfs count="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H Sarabun New"/>
        <family val="2"/>
        <scheme val="none"/>
      </font>
      <numFmt numFmtId="168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64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64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64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64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64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64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68" formatCode="d/m/yyyy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68" formatCode="d/m/yyyy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65" formatCode="[$-1010000]d/m/yyyy;@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scheme val="none"/>
      </font>
      <fill>
        <patternFill patternType="solid">
          <fgColor indexed="64"/>
          <bgColor theme="5" tint="0.5999938962981048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color theme="1"/>
      </font>
      <fill>
        <patternFill patternType="solid">
          <bgColor theme="3" tint="0.8999908444471571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1" tint="0.499984740745262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26EEB-FDFE-42FC-817A-963B6C771FE3}" name="Master" displayName="Master" ref="A1:AJ136" totalsRowShown="0" headerRowDxfId="54" dataDxfId="53" tableBorderDxfId="52">
  <autoFilter ref="A1:AJ136" xr:uid="{2A626EEB-FDFE-42FC-817A-963B6C771FE3}">
    <filterColumn colId="0">
      <filters>
        <filter val="2026"/>
      </filters>
    </filterColumn>
    <filterColumn colId="5">
      <filters>
        <filter val="Customer Service Division"/>
      </filters>
    </filterColumn>
  </autoFilter>
  <sortState xmlns:xlrd2="http://schemas.microsoft.com/office/spreadsheetml/2017/richdata2" ref="A2:AJ133">
    <sortCondition ref="A2:A133"/>
    <sortCondition ref="B2:B133" customList="Jan,Feb,Mar,Apr,May,Jun,Jul,Aug,Sep,Oct,Nov,Dec"/>
  </sortState>
  <tableColumns count="36">
    <tableColumn id="1" xr3:uid="{FF1CE6B1-DB01-49DC-BA43-064CD949FF4D}" name="Year" dataDxfId="51"/>
    <tableColumn id="2" xr3:uid="{7F3A3465-03B1-4D22-80CE-2DF0F09BDF7E}" name="Month" dataDxfId="50">
      <calculatedColumnFormula>IF(M2="", "", TEXT(M2, "[$-en-US]mmmm"))</calculatedColumnFormula>
    </tableColumn>
    <tableColumn id="3" xr3:uid="{A2440747-CD3B-4669-ADF2-9F1CFEF7F3CD}" name="Location" dataDxfId="49"/>
    <tableColumn id="4" xr3:uid="{3A370C0B-3F07-4F40-9C8A-74B066E4B831}" name="Position_Request" dataDxfId="48"/>
    <tableColumn id="5" xr3:uid="{EB078B5D-0D69-4818-99C8-D6E68D752B4E}" name="Position_Announce" dataDxfId="47"/>
    <tableColumn id="6" xr3:uid="{3F127422-0ABD-4AAF-8809-8BBE66B85179}" name="Division" dataDxfId="46"/>
    <tableColumn id="7" xr3:uid="{E002CC14-16CD-4A5B-9C19-21F733EBD1E4}" name="Dept" dataDxfId="45"/>
    <tableColumn id="8" xr3:uid="{29F07533-A51F-4912-9E03-6F726DBCFC9C}" name="Work Unit" dataDxfId="44"/>
    <tableColumn id="9" xr3:uid="{32FCFA25-C37A-4783-A3B2-126CAC832954}" name="Type" dataDxfId="43"/>
    <tableColumn id="10" xr3:uid="{9AD246F5-95E1-4522-997B-12E3A0B09065}" name="Memo Status" dataDxfId="42"/>
    <tableColumn id="11" xr3:uid="{2AE93E46-B5B7-4299-B18C-93970D71B544}" name="Inter/Exter" dataDxfId="41"/>
    <tableColumn id="12" xr3:uid="{7C57089A-6E18-4556-9430-87C32D050DDB}" name="Recruitment Status" dataDxfId="40"/>
    <tableColumn id="13" xr3:uid="{C2F77F35-83CD-4E36-A33E-290B84C04D98}" name="Approved_Date" dataDxfId="39"/>
    <tableColumn id="14" xr3:uid="{52AE79A9-73D6-43D5-8E9F-760888E3DE25}" name="Target_Date" dataDxfId="38">
      <calculatedColumnFormula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calculatedColumnFormula>
    </tableColumn>
    <tableColumn id="15" xr3:uid="{9D7BFBDF-A805-4573-8724-696BD4DE55FC}" name="Final Date" dataDxfId="37"/>
    <tableColumn id="16" xr3:uid="{AEF87AE4-B425-478E-B70E-5B935C739E8F}" name="Diff Date" dataDxfId="36">
      <calculatedColumnFormula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calculatedColumnFormula>
    </tableColumn>
    <tableColumn id="17" xr3:uid="{77DA1B66-9D49-4273-AF86-193D0808B330}" name="KPI" dataDxfId="35">
      <calculatedColumnFormula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calculatedColumnFormula>
    </tableColumn>
    <tableColumn id="23" xr3:uid="{F7FE7E4D-8884-4507-8915-672581B1A2EE}" name="Propose As" dataDxfId="34"/>
    <tableColumn id="18" xr3:uid="{9C93B32A-3262-498B-8E32-2D7BC990E59A}" name="ID (Being Replaced)" dataDxfId="33"/>
    <tableColumn id="19" xr3:uid="{A61748A5-F711-42D2-BB1A-6DA213D2B3AD}" name="Name (being replaced)" dataDxfId="32"/>
    <tableColumn id="21" xr3:uid="{730663BB-D195-4833-B4DA-C7592858B43E}" name="ID New Employee" dataDxfId="31"/>
    <tableColumn id="22" xr3:uid="{D1F0078F-697F-4186-991F-F3A0FEE3C762}" name="Name New Employee" dataDxfId="30"/>
    <tableColumn id="34" xr3:uid="{9EC82B84-A07C-4040-A4C3-B6A5BEE858A1}" name="Join Date" dataDxfId="29"/>
    <tableColumn id="33" xr3:uid="{F69EB419-2824-4BC1-9AAF-FC48B485B353}" name="Probation Status" dataDxfId="28"/>
    <tableColumn id="24" xr3:uid="{0A660594-4051-4127-BD9E-2C601C5CC781}" name="Start Date" dataDxfId="27"/>
    <tableColumn id="25" xr3:uid="{93F5B910-1CF2-464B-8C92-806BA9BF0DE7}" name="Recruitment Channel" dataDxfId="26"/>
    <tableColumn id="26" xr3:uid="{ADFCA5A2-EA66-4841-AA3C-3470C585FA51}" name="Remark" dataDxfId="25"/>
    <tableColumn id="28" xr3:uid="{4EA54873-5BBE-4914-8C9A-B48E9C4983D5}" name="Notes Qualification" dataDxfId="24"/>
    <tableColumn id="30" xr3:uid="{4D08EC1B-0A3A-4A94-B31A-24A8052CFC9F}" name="Applied Profile" dataDxfId="23" dataCellStyle="Comma"/>
    <tableColumn id="31" xr3:uid="{7446C0AF-09AA-4A23-82C1-17EF8B161C36}" name="First" dataDxfId="22" dataCellStyle="Comma"/>
    <tableColumn id="32" xr3:uid="{038EFFC9-6E6F-41CB-8C8A-F6B0D0F714F0}" name="Final" dataDxfId="21" dataCellStyle="Comma"/>
    <tableColumn id="38" xr3:uid="{28E86828-3972-47EE-AB17-9FE941222406}" name="Offer" dataDxfId="20" dataCellStyle="Comma"/>
    <tableColumn id="39" xr3:uid="{C672E10F-6CBC-4EBA-BFE1-BFDADEAA1116}" name="Reject Offer" dataDxfId="19" dataCellStyle="Comma"/>
    <tableColumn id="35" xr3:uid="{531E9309-515F-44A6-A2FD-1822E3AF3610}" name="hired" dataDxfId="18"/>
    <tableColumn id="36" xr3:uid="{21CF1173-55F3-413D-AFAF-EB91CA039B79}" name="Probation Tracking" dataDxfId="17" dataCellStyle="Comma"/>
    <tableColumn id="37" xr3:uid="{436C193C-97DC-41B6-AE40-7FE868949069}" name="Link to Jd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58A6E7-1F6C-4A9C-AF1C-94E69FBBAB9F}" name="Table2" displayName="Table2" ref="A1:N1048576" totalsRowShown="0" headerRowDxfId="15" dataDxfId="14">
  <autoFilter ref="A1:N1048576" xr:uid="{9C58A6E7-1F6C-4A9C-AF1C-94E69FBBAB9F}"/>
  <tableColumns count="14">
    <tableColumn id="1" xr3:uid="{C4193DF0-9CE7-4180-ABDC-36145D403167}" name="Holidays" dataDxfId="13"/>
    <tableColumn id="5" xr3:uid="{B19B46CB-5054-4CC5-A61A-8BBACDF4439F}" name="Type" dataDxfId="12"/>
    <tableColumn id="6" xr3:uid="{BC3FD27E-0D84-4B1C-9569-EF6AFA629FA1}" name="Recruit Status" dataDxfId="11"/>
    <tableColumn id="7" xr3:uid="{B272A2F8-FD98-477E-8A86-67395E430DAB}" name="Branch" dataDxfId="10"/>
    <tableColumn id="8" xr3:uid="{A720D319-55D0-4FD3-8256-6F13AE0FDC3B}" name="Prioritize" dataDxfId="9"/>
    <tableColumn id="9" xr3:uid="{472EDD7A-7457-494B-B4F2-F3384C125D45}" name="Channels" dataDxfId="8"/>
    <tableColumn id="10" xr3:uid="{1BD2545C-E119-472F-9242-F3F597824223}" name="Internal" dataDxfId="7"/>
    <tableColumn id="11" xr3:uid="{0B54F1A7-F5B4-46E2-935C-0BAD5FD0E017}" name="Probation" dataDxfId="6"/>
    <tableColumn id="12" xr3:uid="{4A889E20-3FAA-4375-A85C-ED8F79BA3E8E}" name="Memo Status" dataDxfId="5"/>
    <tableColumn id="13" xr3:uid="{552F7BC3-8053-4350-BC3A-7EA550CF9142}" name="Division2" dataDxfId="4"/>
    <tableColumn id="14" xr3:uid="{8EFA9A74-9A81-4C0C-A73D-C62F83024972}" name="Department2" dataDxfId="3"/>
    <tableColumn id="15" xr3:uid="{2146B206-AB03-439A-8BEF-22CB50E6537A}" name="Work Unit2" dataDxfId="2"/>
    <tableColumn id="2" xr3:uid="{A2285670-202B-48CF-BFBE-A59C12D7AFF5}" name="Probation Status" dataDxfId="1"/>
    <tableColumn id="3" xr3:uid="{9952BC8D-49A3-43D8-BD7E-4887BC16DFFF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.jobsdb.com/job/93127572" TargetMode="External"/><Relationship Id="rId3" Type="http://schemas.openxmlformats.org/officeDocument/2006/relationships/hyperlink" Target="https://kubotagroup.sharepoint.com/:b:/r/sites/SKC-0AAFVK4bNBX3wUk9PVA/Shared%20Documents/(1)%20HRM/Recruitment/JD/Digital%20Technology/JD/Job%20Description%20-%20Software%20Developer%20-%20ABS.pdf?csf=1&amp;web=1&amp;e=zGgfQP" TargetMode="External"/><Relationship Id="rId7" Type="http://schemas.openxmlformats.org/officeDocument/2006/relationships/hyperlink" Target="https://kubotagroup.sharepoint.com/:b:/r/sites/SKC-0AAFVK4bNBX3wUk9PVA/Shared%20Documents/(1)%20HRM/Recruitment/JD/Parts/JD/JD-Strategic%20Parts%20Planning%20%26%20Localization.pdf?csf=1&amp;web=1&amp;e=PizvdD" TargetMode="External"/><Relationship Id="rId2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1" Type="http://schemas.openxmlformats.org/officeDocument/2006/relationships/hyperlink" Target="https://kubotagroup.sharepoint.com/:x:/r/sites/SKC-0AAFVK4bNBX3wUk9PVA/Shared%20Documents/(1)%20HRM/Recruitment/JD/Digital%20Technology/JD/JD%20Data%20Engineer.xlsx?d=w996ce4c70e024098a9426d1ad244ae8e&amp;csf=1&amp;web=1&amp;e=wvM4TE" TargetMode="External"/><Relationship Id="rId6" Type="http://schemas.openxmlformats.org/officeDocument/2006/relationships/hyperlink" Target="https://kubotagroup.sharepoint.com/:w:/r/sites/SKC-0AAFVK4bNBX3wUk9PVA/Shared%20Documents/(1)%20HRM/Recruitment/JD/Customer%20Service/JD/JD%20SKCN%20Service%20Business%20Intelligence%20Engineer.docx?d=w276f79d7e9dc4bab8d11cd855fc35533&amp;csf=1&amp;web=1&amp;e=Q3msZO" TargetMode="External"/><Relationship Id="rId11" Type="http://schemas.openxmlformats.org/officeDocument/2006/relationships/comments" Target="../comments1.xml"/><Relationship Id="rId5" Type="http://schemas.openxmlformats.org/officeDocument/2006/relationships/hyperlink" Target="https://superrecruit.jobtopgun.com/SERC?view=jobpostPreview&amp;idPosition=863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kubotagroup.sharepoint.com/:x:/r/sites/SKC-0AAFVK4bNBX3wUk9PVA/Shared%20Documents/(1)%20HRM/Recruitment/JD/Planning%20and%20Control/JD/JD%202026BudgetManagement_Accountant.xlsx?d=wd80c1a3981a544718d62c8a2c060e0a8&amp;csf=1&amp;web=1&amp;e=7as0qq" TargetMode="External"/><Relationship Id="rId9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D080-0396-428F-B39B-215D57916061}">
  <dimension ref="A1:AJ136"/>
  <sheetViews>
    <sheetView tabSelected="1" workbookViewId="0">
      <pane xSplit="4" ySplit="1" topLeftCell="E99" activePane="bottomRight" state="frozen"/>
      <selection pane="bottomRight" activeCell="A110" sqref="A110:XFD110"/>
      <selection pane="bottomLeft" activeCell="A2" sqref="A2"/>
      <selection pane="topRight" activeCell="E1" sqref="E1"/>
    </sheetView>
  </sheetViews>
  <sheetFormatPr defaultColWidth="14" defaultRowHeight="20.25" customHeight="1"/>
  <cols>
    <col min="1" max="1" width="9.625" style="83" customWidth="1"/>
    <col min="2" max="2" width="9" style="84" customWidth="1"/>
    <col min="3" max="3" width="9.625" style="84" customWidth="1"/>
    <col min="4" max="4" width="32.25" style="84" customWidth="1"/>
    <col min="5" max="5" width="56.5" style="55" bestFit="1" customWidth="1"/>
    <col min="6" max="6" width="58.625" style="55" bestFit="1" customWidth="1"/>
    <col min="7" max="7" width="81.375" style="55" customWidth="1"/>
    <col min="8" max="8" width="48.125" style="55" bestFit="1" customWidth="1"/>
    <col min="9" max="9" width="12" style="55" bestFit="1" customWidth="1"/>
    <col min="10" max="10" width="17.75" style="55" bestFit="1" customWidth="1"/>
    <col min="11" max="11" width="15.375" style="55" bestFit="1" customWidth="1"/>
    <col min="12" max="12" width="24.125" style="55" bestFit="1" customWidth="1"/>
    <col min="13" max="13" width="16.25" style="53" bestFit="1" customWidth="1"/>
    <col min="14" max="14" width="16.75" style="52" bestFit="1" customWidth="1"/>
    <col min="15" max="15" width="17.375" style="53" bestFit="1" customWidth="1"/>
    <col min="16" max="16" width="13.375" style="55" bestFit="1" customWidth="1"/>
    <col min="17" max="17" width="11.125" style="55" bestFit="1" customWidth="1"/>
    <col min="18" max="18" width="11.125" style="55" customWidth="1"/>
    <col min="19" max="19" width="19.25" style="55" bestFit="1" customWidth="1"/>
    <col min="20" max="20" width="21.75" style="55" bestFit="1" customWidth="1"/>
    <col min="21" max="21" width="17.625" style="55" bestFit="1" customWidth="1"/>
    <col min="22" max="22" width="20.25" style="124" bestFit="1" customWidth="1"/>
    <col min="23" max="23" width="13.875" style="53" bestFit="1" customWidth="1"/>
    <col min="24" max="24" width="22.125" style="55" bestFit="1" customWidth="1"/>
    <col min="25" max="25" width="14.5" style="85" bestFit="1" customWidth="1"/>
    <col min="26" max="26" width="22.75" style="55" bestFit="1" customWidth="1"/>
    <col min="27" max="27" width="11.75" style="55" bestFit="1" customWidth="1"/>
    <col min="28" max="28" width="63.375" style="55" customWidth="1"/>
    <col min="29" max="29" width="21.5" style="54" bestFit="1" customWidth="1"/>
    <col min="30" max="30" width="9.375" style="54" bestFit="1" customWidth="1"/>
    <col min="31" max="31" width="9.875" style="54" bestFit="1" customWidth="1"/>
    <col min="32" max="32" width="10.375" style="54" bestFit="1" customWidth="1"/>
    <col min="33" max="33" width="17.875" style="54" bestFit="1" customWidth="1"/>
    <col min="34" max="34" width="9" style="55" bestFit="1" customWidth="1"/>
    <col min="35" max="35" width="24.75" style="55" bestFit="1" customWidth="1"/>
    <col min="36" max="36" width="40.25" style="56" customWidth="1"/>
    <col min="37" max="16384" width="14" style="57"/>
  </cols>
  <sheetData>
    <row r="1" spans="1:36" s="96" customFormat="1" ht="20.25" customHeight="1">
      <c r="A1" s="86" t="s">
        <v>0</v>
      </c>
      <c r="B1" s="87" t="s">
        <v>1</v>
      </c>
      <c r="C1" s="87" t="s">
        <v>2</v>
      </c>
      <c r="D1" s="87" t="s">
        <v>3</v>
      </c>
      <c r="E1" s="88" t="s">
        <v>4</v>
      </c>
      <c r="F1" s="88" t="s">
        <v>5</v>
      </c>
      <c r="G1" s="88" t="s">
        <v>6</v>
      </c>
      <c r="H1" s="88" t="s">
        <v>7</v>
      </c>
      <c r="I1" s="88" t="s">
        <v>8</v>
      </c>
      <c r="J1" s="88" t="s">
        <v>9</v>
      </c>
      <c r="K1" s="88" t="s">
        <v>10</v>
      </c>
      <c r="L1" s="88" t="s">
        <v>11</v>
      </c>
      <c r="M1" s="89" t="s">
        <v>12</v>
      </c>
      <c r="N1" s="90" t="s">
        <v>13</v>
      </c>
      <c r="O1" s="91" t="s">
        <v>14</v>
      </c>
      <c r="P1" s="88" t="s">
        <v>15</v>
      </c>
      <c r="Q1" s="88" t="s">
        <v>16</v>
      </c>
      <c r="R1" s="88" t="s">
        <v>17</v>
      </c>
      <c r="S1" s="88" t="s">
        <v>18</v>
      </c>
      <c r="T1" s="88" t="s">
        <v>19</v>
      </c>
      <c r="U1" s="88" t="s">
        <v>20</v>
      </c>
      <c r="V1" s="118" t="s">
        <v>21</v>
      </c>
      <c r="W1" s="89" t="s">
        <v>22</v>
      </c>
      <c r="X1" s="88" t="s">
        <v>23</v>
      </c>
      <c r="Y1" s="92" t="s">
        <v>24</v>
      </c>
      <c r="Z1" s="88" t="s">
        <v>25</v>
      </c>
      <c r="AA1" s="88" t="s">
        <v>26</v>
      </c>
      <c r="AB1" s="88" t="s">
        <v>27</v>
      </c>
      <c r="AC1" s="93" t="s">
        <v>28</v>
      </c>
      <c r="AD1" s="93" t="s">
        <v>29</v>
      </c>
      <c r="AE1" s="93" t="s">
        <v>30</v>
      </c>
      <c r="AF1" s="93" t="s">
        <v>31</v>
      </c>
      <c r="AG1" s="93" t="s">
        <v>32</v>
      </c>
      <c r="AH1" s="94" t="s">
        <v>33</v>
      </c>
      <c r="AI1" s="94" t="s">
        <v>34</v>
      </c>
      <c r="AJ1" s="95" t="s">
        <v>35</v>
      </c>
    </row>
    <row r="2" spans="1:36" s="9" customFormat="1" ht="41.45" hidden="1" customHeight="1">
      <c r="A2" s="22">
        <v>2024</v>
      </c>
      <c r="B2" s="22" t="str">
        <f>IF(M2="",   "",   TEXT(M2,   "[$-en-US]mmm"))</f>
        <v>Feb</v>
      </c>
      <c r="C2" s="22" t="s">
        <v>36</v>
      </c>
      <c r="D2" s="22" t="s">
        <v>37</v>
      </c>
      <c r="E2" s="13" t="s">
        <v>38</v>
      </c>
      <c r="F2" s="13" t="s">
        <v>39</v>
      </c>
      <c r="G2" s="13" t="s">
        <v>40</v>
      </c>
      <c r="H2" s="13" t="s">
        <v>41</v>
      </c>
      <c r="I2" s="12" t="s">
        <v>42</v>
      </c>
      <c r="J2" s="12" t="s">
        <v>43</v>
      </c>
      <c r="K2" s="12"/>
      <c r="L2" s="12" t="s">
        <v>44</v>
      </c>
      <c r="M2" s="30">
        <v>45707</v>
      </c>
      <c r="N2" s="14">
        <f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45749</v>
      </c>
      <c r="O2" s="30">
        <v>45716</v>
      </c>
      <c r="P2" s="13">
        <f ca="1"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2" s="13" t="str">
        <f ca="1"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" s="13"/>
      <c r="S2" s="12"/>
      <c r="T2" s="12"/>
      <c r="U2" s="12"/>
      <c r="V2" s="12"/>
      <c r="W2" s="10">
        <v>45839</v>
      </c>
      <c r="X2" s="12"/>
      <c r="Y2" s="12"/>
      <c r="Z2" s="31" t="s">
        <v>45</v>
      </c>
      <c r="AA2" s="12"/>
      <c r="AB2" s="12"/>
      <c r="AC2" s="12"/>
      <c r="AD2" s="12"/>
      <c r="AE2" s="12"/>
      <c r="AF2" s="12"/>
      <c r="AG2" s="12"/>
      <c r="AH2" s="12"/>
      <c r="AI2" s="15"/>
      <c r="AJ2" s="8"/>
    </row>
    <row r="3" spans="1:36" s="9" customFormat="1" ht="41.45" hidden="1" customHeight="1">
      <c r="A3" s="22">
        <v>2024</v>
      </c>
      <c r="B3" s="22" t="str">
        <f>IF(M3="",   "",   TEXT(M3,   "[$-en-US]mmm"))</f>
        <v>Apr</v>
      </c>
      <c r="C3" s="22" t="s">
        <v>46</v>
      </c>
      <c r="D3" s="22" t="s">
        <v>47</v>
      </c>
      <c r="E3" s="13" t="s">
        <v>48</v>
      </c>
      <c r="F3" s="13" t="s">
        <v>49</v>
      </c>
      <c r="G3" s="13" t="s">
        <v>50</v>
      </c>
      <c r="H3" s="13" t="s">
        <v>51</v>
      </c>
      <c r="I3" s="12" t="s">
        <v>52</v>
      </c>
      <c r="J3" s="12" t="s">
        <v>43</v>
      </c>
      <c r="K3" s="12" t="s">
        <v>53</v>
      </c>
      <c r="L3" s="12" t="s">
        <v>44</v>
      </c>
      <c r="M3" s="30">
        <v>45405</v>
      </c>
      <c r="N3" s="14">
        <f>IF(M3="",                                                                                                                                                                                                  "",
   WORKDAY(
      M3,
      IF(I3="S-Special",                                                                                                                                                                                                   45,
         IF(OR(I3="O-General",                                                                                                                                                                                                   I3="S-General"),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45468</v>
      </c>
      <c r="O3" s="30">
        <v>45814</v>
      </c>
      <c r="P3" s="13">
        <f ca="1">IF(M3="",                                                                                                                                                                                                   "",
   NETWORKDAYS(
      M3,
      IF(O3&lt;&gt;"",                                                                                                                                                                                                   O3,                                                                                                                                                                                                   TODAY()),
      Dropdown!$A$2:$A$100
   )
)</f>
        <v>294</v>
      </c>
      <c r="Q3" s="13" t="str">
        <f ca="1">IF(P3="",                                                                                                                                                                                                   "",
   IF(OR(I3="O-General",                                                                                                                                                                                                   I3="S-General"),
      IF(P3&lt;=30,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IF(I3="S-Special",
         IF(P3&lt;=45,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" s="13"/>
      <c r="S3" s="12"/>
      <c r="T3" s="12"/>
      <c r="U3" s="12"/>
      <c r="V3" s="12"/>
      <c r="W3" s="10">
        <v>45839</v>
      </c>
      <c r="X3" s="12"/>
      <c r="Y3" s="12"/>
      <c r="Z3" s="32" t="s">
        <v>54</v>
      </c>
      <c r="AA3" s="12"/>
      <c r="AB3" s="12"/>
      <c r="AC3" s="12"/>
      <c r="AD3" s="12"/>
      <c r="AE3" s="12"/>
      <c r="AF3" s="12"/>
      <c r="AG3" s="12"/>
      <c r="AH3" s="12"/>
      <c r="AI3" s="15"/>
      <c r="AJ3" s="8"/>
    </row>
    <row r="4" spans="1:36" s="9" customFormat="1" ht="41.45" hidden="1" customHeight="1">
      <c r="A4" s="22">
        <v>2024</v>
      </c>
      <c r="B4" s="22" t="str">
        <f>IF(M4="",   "",   TEXT(M4,   "[$-en-US]mmm"))</f>
        <v>Aug</v>
      </c>
      <c r="C4" s="22" t="s">
        <v>55</v>
      </c>
      <c r="D4" s="22" t="s">
        <v>56</v>
      </c>
      <c r="E4" s="13" t="s">
        <v>57</v>
      </c>
      <c r="F4" s="13" t="s">
        <v>55</v>
      </c>
      <c r="G4" s="13" t="s">
        <v>58</v>
      </c>
      <c r="H4" s="13" t="s">
        <v>59</v>
      </c>
      <c r="I4" s="12" t="s">
        <v>52</v>
      </c>
      <c r="J4" s="12" t="s">
        <v>43</v>
      </c>
      <c r="K4" s="12"/>
      <c r="L4" s="12" t="s">
        <v>44</v>
      </c>
      <c r="M4" s="30">
        <v>45530</v>
      </c>
      <c r="N4" s="14">
        <f>IF(M4="",                                                                                                                                                                                                  "",
   WORKDAY(
      M4,
      IF(I4="S-Special",                                                                                                                                                                                                   45,
         IF(OR(I4="O-General",                                                                                                                                                                                                   I4="S-General"),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4" s="30">
        <v>45684</v>
      </c>
      <c r="P4" s="13">
        <f ca="1">IF(M4="",                                                                                                                                                                                                   "",
   NETWORKDAYS(
      M4,
      IF(O4&lt;&gt;"",                                                                                                                                                                                                   O4,                                                                                                                                                                                                   TODAY()),
      Dropdown!$A$2:$A$100
   )
)</f>
        <v>111</v>
      </c>
      <c r="Q4" s="13" t="str">
        <f ca="1">IF(P4="",                                                                                                                                                                                                   "",
   IF(OR(I4="O-General",                                                                                                                                                                                                   I4="S-General"),
      IF(P4&lt;=30,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IF(I4="S-Special",
         IF(P4&lt;=45,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4" s="13"/>
      <c r="S4" s="12"/>
      <c r="T4" s="12"/>
      <c r="U4" s="12"/>
      <c r="V4" s="12"/>
      <c r="W4" s="10"/>
      <c r="X4" s="12"/>
      <c r="Y4" s="12"/>
      <c r="Z4" s="32" t="s">
        <v>54</v>
      </c>
      <c r="AA4" s="12"/>
      <c r="AB4" s="12"/>
      <c r="AC4" s="12"/>
      <c r="AD4" s="12"/>
      <c r="AE4" s="12"/>
      <c r="AF4" s="12"/>
      <c r="AG4" s="12"/>
      <c r="AH4" s="12"/>
      <c r="AI4" s="15"/>
      <c r="AJ4" s="8"/>
    </row>
    <row r="5" spans="1:36" s="9" customFormat="1" ht="41.45" hidden="1" customHeight="1">
      <c r="A5" s="22">
        <v>2024</v>
      </c>
      <c r="B5" s="22" t="str">
        <f>IF(M5="",   "",   TEXT(M5,   "[$-en-US]mmm"))</f>
        <v>Aug</v>
      </c>
      <c r="C5" s="22" t="s">
        <v>36</v>
      </c>
      <c r="D5" s="22" t="s">
        <v>60</v>
      </c>
      <c r="E5" s="13" t="s">
        <v>61</v>
      </c>
      <c r="F5" s="13" t="s">
        <v>62</v>
      </c>
      <c r="G5" s="13" t="s">
        <v>63</v>
      </c>
      <c r="H5" s="13" t="s">
        <v>64</v>
      </c>
      <c r="I5" s="12" t="s">
        <v>42</v>
      </c>
      <c r="J5" s="12" t="s">
        <v>43</v>
      </c>
      <c r="K5" s="12"/>
      <c r="L5" s="12" t="s">
        <v>44</v>
      </c>
      <c r="M5" s="30">
        <v>45505</v>
      </c>
      <c r="N5" s="14">
        <f>IF(M5="",                                                                                                                                                                                                  "",
   WORKDAY(
      M5,
      IF(I5="S-Special",                                                                                                                                                                                                   45,
         IF(OR(I5="O-General",                                                                                                                                                                                                   I5="S-General"),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45547</v>
      </c>
      <c r="O5" s="30">
        <v>45575</v>
      </c>
      <c r="P5" s="13">
        <f ca="1">IF(M5="",                                                                                                                                                                                                   "",
   NETWORKDAYS(
      M5,
      IF(O5&lt;&gt;"",                                                                                                                                                                                                   O5,                                                                                                                                                                                                   TODAY()),
      Dropdown!$A$2:$A$100
   )
)</f>
        <v>51</v>
      </c>
      <c r="Q5" s="13" t="str">
        <f ca="1">IF(P5="",                                                                                                                                                                                                   "",
   IF(OR(I5="O-General",                                                                                                                                                                                                   I5="S-General"),
      IF(P5&lt;=30,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IF(I5="S-Special",
         IF(P5&lt;=45,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5" s="13"/>
      <c r="S5" s="12"/>
      <c r="T5" s="12"/>
      <c r="U5" s="12"/>
      <c r="V5" s="12"/>
      <c r="W5" s="10">
        <v>45673</v>
      </c>
      <c r="X5" s="12"/>
      <c r="Y5" s="12"/>
      <c r="Z5" s="31" t="s">
        <v>54</v>
      </c>
      <c r="AA5" s="12"/>
      <c r="AB5" s="12"/>
      <c r="AC5" s="12"/>
      <c r="AD5" s="12"/>
      <c r="AE5" s="12"/>
      <c r="AF5" s="12"/>
      <c r="AG5" s="12"/>
      <c r="AH5" s="12"/>
      <c r="AI5" s="15"/>
      <c r="AJ5" s="8"/>
    </row>
    <row r="6" spans="1:36" s="9" customFormat="1" ht="41.45" hidden="1" customHeight="1">
      <c r="A6" s="22">
        <v>2024</v>
      </c>
      <c r="B6" s="22" t="str">
        <f>IF(M6="",   "",   TEXT(M6,   "[$-en-US]mmm"))</f>
        <v>Aug</v>
      </c>
      <c r="C6" s="22" t="s">
        <v>36</v>
      </c>
      <c r="D6" s="22" t="s">
        <v>65</v>
      </c>
      <c r="E6" s="13" t="s">
        <v>66</v>
      </c>
      <c r="F6" s="13" t="s">
        <v>67</v>
      </c>
      <c r="G6" s="13" t="s">
        <v>68</v>
      </c>
      <c r="H6" s="13" t="s">
        <v>69</v>
      </c>
      <c r="I6" s="12" t="s">
        <v>42</v>
      </c>
      <c r="J6" s="12" t="s">
        <v>43</v>
      </c>
      <c r="K6" s="12"/>
      <c r="L6" s="12" t="s">
        <v>44</v>
      </c>
      <c r="M6" s="30">
        <v>45530</v>
      </c>
      <c r="N6" s="14">
        <f>IF(M6="",                                                                                                                                                                                                  "",
   WORKDAY(
      M6,
      IF(I6="S-Special",                                                                                                                                                                                                   45,
         IF(OR(I6="O-General",                                                                                                                                                                                                   I6="S-General"),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45572</v>
      </c>
      <c r="O6" s="30">
        <v>45649</v>
      </c>
      <c r="P6" s="13">
        <f ca="1">IF(M6="",                                                                                                                                                                                                   "",
   NETWORKDAYS(
      M6,
      IF(O6&lt;&gt;"",                                                                                                                                                                                                   O6,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6" s="13" t="str">
        <f ca="1">IF(P6="",                                                                                                                                                                                                   "",
   IF(OR(I6="O-General",                                                                                                                                                                                                   I6="S-General"),
      IF(P6&lt;=30,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IF(I6="S-Special",
         IF(P6&lt;=45,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" s="13"/>
      <c r="S6" s="12"/>
      <c r="T6" s="12"/>
      <c r="U6" s="12"/>
      <c r="V6" s="12"/>
      <c r="W6" s="10"/>
      <c r="X6" s="12"/>
      <c r="Y6" s="12"/>
      <c r="Z6" s="31" t="s">
        <v>54</v>
      </c>
      <c r="AA6" s="12"/>
      <c r="AB6" s="12"/>
      <c r="AC6" s="12"/>
      <c r="AD6" s="12"/>
      <c r="AE6" s="12"/>
      <c r="AF6" s="12"/>
      <c r="AG6" s="12"/>
      <c r="AH6" s="12"/>
      <c r="AI6" s="15"/>
      <c r="AJ6" s="8"/>
    </row>
    <row r="7" spans="1:36" s="9" customFormat="1" ht="41.45" hidden="1" customHeight="1">
      <c r="A7" s="22">
        <v>2024</v>
      </c>
      <c r="B7" s="22" t="str">
        <f>IF(M7="",   "",   TEXT(M7,   "[$-en-US]mmm"))</f>
        <v>Sep</v>
      </c>
      <c r="C7" s="22" t="s">
        <v>55</v>
      </c>
      <c r="D7" s="22" t="s">
        <v>70</v>
      </c>
      <c r="E7" s="13" t="s">
        <v>70</v>
      </c>
      <c r="F7" s="13" t="s">
        <v>55</v>
      </c>
      <c r="G7" s="13" t="s">
        <v>71</v>
      </c>
      <c r="H7" s="13" t="s">
        <v>72</v>
      </c>
      <c r="I7" s="12" t="s">
        <v>42</v>
      </c>
      <c r="J7" s="12" t="s">
        <v>43</v>
      </c>
      <c r="K7" s="12"/>
      <c r="L7" s="12" t="s">
        <v>44</v>
      </c>
      <c r="M7" s="30">
        <v>45552</v>
      </c>
      <c r="N7" s="14">
        <f>IF(M7="",                                                                                                                                                                                                  "",
   WORKDAY(
      M7,
      IF(I7="S-Special",                                                                                                                                                                                                   45,
         IF(OR(I7="O-General",                                                                                                                                                                                                   I7="S-General"),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7" s="30">
        <v>45742</v>
      </c>
      <c r="P7" s="13">
        <f ca="1">IF(M7="",                                                                                                                                                                                                   "",
   NETWORKDAYS(
      M7,
      IF(O7&lt;&gt;"",                                                                                                                                                                                                   O7,                                                                                                                                                                                                   TODAY()),
      Dropdown!$A$2:$A$100
   )
)</f>
        <v>137</v>
      </c>
      <c r="Q7" s="13" t="str">
        <f ca="1">IF(P7="",                                                                                                                                                                                                   "",
   IF(OR(I7="O-General",                                                                                                                                                                                                   I7="S-General"),
      IF(P7&lt;=30,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IF(I7="S-Special",
         IF(P7&lt;=45,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" s="13"/>
      <c r="S7" s="12"/>
      <c r="T7" s="12"/>
      <c r="U7" s="12"/>
      <c r="V7" s="12"/>
      <c r="W7" s="10"/>
      <c r="X7" s="12"/>
      <c r="Y7" s="12"/>
      <c r="Z7" s="31" t="s">
        <v>73</v>
      </c>
      <c r="AA7" s="12"/>
      <c r="AB7" s="12"/>
      <c r="AC7" s="12"/>
      <c r="AD7" s="12"/>
      <c r="AE7" s="12"/>
      <c r="AF7" s="12"/>
      <c r="AG7" s="12"/>
      <c r="AH7" s="12"/>
      <c r="AI7" s="15"/>
      <c r="AJ7" s="8"/>
    </row>
    <row r="8" spans="1:36" s="9" customFormat="1" ht="41.45" hidden="1" customHeight="1">
      <c r="A8" s="22">
        <v>2024</v>
      </c>
      <c r="B8" s="22" t="str">
        <f>IF(M8="",   "",   TEXT(M8,   "[$-en-US]mmm"))</f>
        <v>Sep</v>
      </c>
      <c r="C8" s="22" t="s">
        <v>36</v>
      </c>
      <c r="D8" s="22" t="s">
        <v>74</v>
      </c>
      <c r="E8" s="13" t="s">
        <v>75</v>
      </c>
      <c r="F8" s="13" t="s">
        <v>76</v>
      </c>
      <c r="G8" s="13" t="s">
        <v>77</v>
      </c>
      <c r="H8" s="13" t="s">
        <v>75</v>
      </c>
      <c r="I8" s="12" t="s">
        <v>42</v>
      </c>
      <c r="J8" s="12" t="s">
        <v>43</v>
      </c>
      <c r="K8" s="12" t="s">
        <v>53</v>
      </c>
      <c r="L8" s="12" t="s">
        <v>44</v>
      </c>
      <c r="M8" s="30">
        <v>45551</v>
      </c>
      <c r="N8" s="14">
        <f>IF(M8="",                                                                                                                                                                                                  "",
   WORKDAY(
      M8,
      IF(I8="S-Special",                                                                                                                                                                                                   45,
         IF(OR(I8="O-General",                                                                                                                                                                                                   I8="S-General"),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8" s="30">
        <v>45712</v>
      </c>
      <c r="P8" s="13">
        <f ca="1">IF(M8="",                                                                                                                                                                                                   "",
   NETWORKDAYS(
      M8,
      IF(O8&lt;&gt;"",                                                                                                                                                                                                   O8,                                                                                                                                                                                                   TODAY()),
      Dropdown!$A$2:$A$100
   )
)</f>
        <v>116</v>
      </c>
      <c r="Q8" s="13" t="str">
        <f ca="1">IF(P8="",                                                                                                                                                                                                   "",
   IF(OR(I8="O-General",                                                                                                                                                                                                   I8="S-General"),
      IF(P8&lt;=30,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IF(I8="S-Special",
         IF(P8&lt;=45,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" s="13"/>
      <c r="S8" s="12"/>
      <c r="T8" s="12"/>
      <c r="U8" s="12"/>
      <c r="V8" s="12"/>
      <c r="W8" s="10">
        <v>45824</v>
      </c>
      <c r="X8" s="12"/>
      <c r="Y8" s="12"/>
      <c r="Z8" s="32" t="s">
        <v>45</v>
      </c>
      <c r="AA8" s="12"/>
      <c r="AB8" s="12"/>
      <c r="AC8" s="12"/>
      <c r="AD8" s="12"/>
      <c r="AE8" s="12"/>
      <c r="AF8" s="12"/>
      <c r="AG8" s="12"/>
      <c r="AH8" s="12"/>
      <c r="AI8" s="15"/>
      <c r="AJ8" s="8"/>
    </row>
    <row r="9" spans="1:36" s="9" customFormat="1" ht="41.45" hidden="1" customHeight="1">
      <c r="A9" s="22">
        <v>2024</v>
      </c>
      <c r="B9" s="22" t="str">
        <f>IF(M9="",   "",   TEXT(M9,   "[$-en-US]mmm"))</f>
        <v>Sep</v>
      </c>
      <c r="C9" s="22" t="s">
        <v>36</v>
      </c>
      <c r="D9" s="22" t="s">
        <v>78</v>
      </c>
      <c r="E9" s="13" t="s">
        <v>79</v>
      </c>
      <c r="F9" s="13" t="s">
        <v>80</v>
      </c>
      <c r="G9" s="13" t="s">
        <v>81</v>
      </c>
      <c r="H9" s="13" t="s">
        <v>82</v>
      </c>
      <c r="I9" s="12" t="s">
        <v>83</v>
      </c>
      <c r="J9" s="12" t="s">
        <v>84</v>
      </c>
      <c r="K9" s="12"/>
      <c r="L9" s="12" t="s">
        <v>85</v>
      </c>
      <c r="M9" s="30">
        <v>45552</v>
      </c>
      <c r="N9" s="14">
        <f>IF(M9="",                                                                                                                                                                                                  "",
   WORKDAY(
      M9,
      IF(I9="S-Special",                                                                                                                                                                                                   45,
         IF(OR(I9="O-General",                                                                                                                                                                                                   I9="S-General"),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9" s="30">
        <v>45616</v>
      </c>
      <c r="P9" s="13">
        <f ca="1">IF(M9="",                                                                                                                                                                                                   "",
   NETWORKDAYS(
      M9,
      IF(O9&lt;&gt;"",                                                                                                                                                                                                   O9,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" s="13" t="str">
        <f ca="1">IF(P9="",                                                                                                                                                                                                   "",
   IF(OR(I9="O-General",                                                                                                                                                                                                   I9="S-General"),
      IF(P9&lt;=30,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IF(I9="S-Special",
         IF(P9&lt;=45,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" s="13"/>
      <c r="S9" s="12"/>
      <c r="T9" s="12"/>
      <c r="U9" s="12"/>
      <c r="V9" s="12"/>
      <c r="W9" s="10"/>
      <c r="X9" s="12"/>
      <c r="Y9" s="12"/>
      <c r="Z9" s="32"/>
      <c r="AA9" s="12"/>
      <c r="AB9" s="12"/>
      <c r="AC9" s="12"/>
      <c r="AD9" s="12"/>
      <c r="AE9" s="12"/>
      <c r="AF9" s="12"/>
      <c r="AG9" s="12"/>
      <c r="AH9" s="12"/>
      <c r="AI9" s="15"/>
      <c r="AJ9" s="8"/>
    </row>
    <row r="10" spans="1:36" s="9" customFormat="1" ht="41.45" hidden="1" customHeight="1">
      <c r="A10" s="22">
        <v>2024</v>
      </c>
      <c r="B10" s="22" t="str">
        <f>IF(M10="",   "",   TEXT(M10,   "[$-en-US]mmm"))</f>
        <v>Sep</v>
      </c>
      <c r="C10" s="22" t="s">
        <v>36</v>
      </c>
      <c r="D10" s="22" t="s">
        <v>86</v>
      </c>
      <c r="E10" s="13" t="s">
        <v>87</v>
      </c>
      <c r="F10" s="13" t="s">
        <v>88</v>
      </c>
      <c r="G10" s="13"/>
      <c r="H10" s="13" t="s">
        <v>89</v>
      </c>
      <c r="I10" s="12" t="s">
        <v>83</v>
      </c>
      <c r="J10" s="12" t="s">
        <v>43</v>
      </c>
      <c r="K10" s="12"/>
      <c r="L10" s="12" t="s">
        <v>44</v>
      </c>
      <c r="M10" s="30">
        <v>45552</v>
      </c>
      <c r="N10" s="14">
        <f>IF(M10="",                                                                                                                                                                                                  "",
   WORKDAY(
      M10,
      IF(I10="S-Special",                                                                                                                                                                                                   45,
         IF(OR(I10="O-General",                                                                                                                                                                                                   I10="S-General"),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10" s="30">
        <v>45615</v>
      </c>
      <c r="P10" s="13">
        <f ca="1">IF(M10="",                                                                                                                                                                                                   "",
   NETWORKDAYS(
      M10,
      IF(O10&lt;&gt;"",                                                                                                                                                                                                   O10,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10" s="13" t="str">
        <f ca="1">IF(P10="",                                                                                                                                                                                                   "",
   IF(OR(I10="O-General",                                                                                                                                                                                                   I10="S-General"),
      IF(P10&lt;=30,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IF(I10="S-Special",
         IF(P10&lt;=45,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0" s="13"/>
      <c r="S10" s="12"/>
      <c r="T10" s="12"/>
      <c r="U10" s="12"/>
      <c r="V10" s="12"/>
      <c r="W10" s="10">
        <v>45658</v>
      </c>
      <c r="X10" s="12"/>
      <c r="Y10" s="12"/>
      <c r="Z10" s="32" t="s">
        <v>45</v>
      </c>
      <c r="AA10" s="12"/>
      <c r="AB10" s="12"/>
      <c r="AC10" s="12"/>
      <c r="AD10" s="12"/>
      <c r="AE10" s="12"/>
      <c r="AF10" s="12"/>
      <c r="AG10" s="12"/>
      <c r="AH10" s="12"/>
      <c r="AI10" s="15"/>
      <c r="AJ10" s="8"/>
    </row>
    <row r="11" spans="1:36" s="9" customFormat="1" ht="41.45" hidden="1" customHeight="1">
      <c r="A11" s="22">
        <v>2024</v>
      </c>
      <c r="B11" s="22" t="str">
        <f>IF(M11="",   "",   TEXT(M11,   "[$-en-US]mmm"))</f>
        <v>Oct</v>
      </c>
      <c r="C11" s="22" t="s">
        <v>36</v>
      </c>
      <c r="D11" s="22" t="s">
        <v>47</v>
      </c>
      <c r="E11" s="13" t="s">
        <v>90</v>
      </c>
      <c r="F11" s="13" t="s">
        <v>91</v>
      </c>
      <c r="G11" s="13" t="s">
        <v>92</v>
      </c>
      <c r="H11" s="13" t="s">
        <v>93</v>
      </c>
      <c r="I11" s="12" t="s">
        <v>42</v>
      </c>
      <c r="J11" s="12" t="s">
        <v>43</v>
      </c>
      <c r="K11" s="12"/>
      <c r="L11" s="12" t="s">
        <v>44</v>
      </c>
      <c r="M11" s="30">
        <v>45587</v>
      </c>
      <c r="N11" s="14">
        <f>IF(M11="",                                                                                                                                                                                                  "",
   WORKDAY(
      M11,
      IF(I11="S-Special",                                                                                                                                                                                                   45,
         IF(OR(I11="O-General",                                                                                                                                                                                                   I11="S-General"),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1" s="30">
        <v>45649</v>
      </c>
      <c r="P11" s="13">
        <f ca="1">IF(M11="",                                                                                                                                                                                                   "",
   NETWORKDAYS(
      M11,
      IF(O11&lt;&gt;"",                                                                                                                                                                                                   O11,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" s="13" t="str">
        <f ca="1">IF(P11="",                                                                                                                                                                                                   "",
   IF(OR(I11="O-General",                                                                                                                                                                                                   I11="S-General"),
      IF(P11&lt;=30,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IF(I11="S-Special",
         IF(P11&lt;=45,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1" s="13"/>
      <c r="S11" s="12"/>
      <c r="T11" s="12"/>
      <c r="U11" s="12"/>
      <c r="V11" s="12"/>
      <c r="W11" s="10">
        <v>45704</v>
      </c>
      <c r="X11" s="12"/>
      <c r="Y11" s="12"/>
      <c r="Z11" s="32" t="s">
        <v>54</v>
      </c>
      <c r="AA11" s="12"/>
      <c r="AB11" s="12"/>
      <c r="AC11" s="12"/>
      <c r="AD11" s="12"/>
      <c r="AE11" s="12"/>
      <c r="AF11" s="12"/>
      <c r="AG11" s="12"/>
      <c r="AH11" s="12"/>
      <c r="AI11" s="15"/>
      <c r="AJ11" s="8"/>
    </row>
    <row r="12" spans="1:36" s="9" customFormat="1" ht="41.45" hidden="1" customHeight="1">
      <c r="A12" s="22">
        <v>2024</v>
      </c>
      <c r="B12" s="22" t="str">
        <f>IF(M12="",   "",   TEXT(M12,   "[$-en-US]mmm"))</f>
        <v>Oct</v>
      </c>
      <c r="C12" s="22" t="s">
        <v>36</v>
      </c>
      <c r="D12" s="22" t="s">
        <v>60</v>
      </c>
      <c r="E12" s="13" t="s">
        <v>60</v>
      </c>
      <c r="F12" s="13" t="s">
        <v>62</v>
      </c>
      <c r="G12" s="13" t="s">
        <v>63</v>
      </c>
      <c r="H12" s="13" t="s">
        <v>64</v>
      </c>
      <c r="I12" s="12" t="s">
        <v>42</v>
      </c>
      <c r="J12" s="12" t="s">
        <v>43</v>
      </c>
      <c r="K12" s="12"/>
      <c r="L12" s="12" t="s">
        <v>44</v>
      </c>
      <c r="M12" s="30">
        <v>45566</v>
      </c>
      <c r="N12" s="14">
        <f>IF(M12="",                                                                                                                                                                                                  "",
   WORKDAY(
      M12,
      IF(I12="S-Special",                                                                                                                                                                                                   45,
         IF(OR(I12="O-General",                                                                                                                                                                                                   I12="S-General"),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45608</v>
      </c>
      <c r="O12" s="30">
        <v>45622</v>
      </c>
      <c r="P12" s="13">
        <f ca="1">IF(M12="",                                                                                                                                                                                                   "",
   NETWORKDAYS(
      M12,
      IF(O12&lt;&gt;"",                                                                                                                                                                                                   O12,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12" s="13" t="str">
        <f ca="1">IF(P12="",                                                                                                                                                                                                   "",
   IF(OR(I12="O-General",                                                                                                                                                                                                   I12="S-General"),
      IF(P12&lt;=30,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IF(I12="S-Special",
         IF(P12&lt;=45,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2" s="13"/>
      <c r="S12" s="12"/>
      <c r="T12" s="12"/>
      <c r="U12" s="12"/>
      <c r="V12" s="12"/>
      <c r="W12" s="10"/>
      <c r="X12" s="12"/>
      <c r="Y12" s="12"/>
      <c r="Z12" s="31" t="s">
        <v>54</v>
      </c>
      <c r="AA12" s="12"/>
      <c r="AB12" s="12"/>
      <c r="AC12" s="12"/>
      <c r="AD12" s="12"/>
      <c r="AE12" s="12"/>
      <c r="AF12" s="12"/>
      <c r="AG12" s="12"/>
      <c r="AH12" s="12"/>
      <c r="AI12" s="15"/>
      <c r="AJ12" s="8"/>
    </row>
    <row r="13" spans="1:36" s="9" customFormat="1" ht="41.45" hidden="1" customHeight="1">
      <c r="A13" s="22">
        <v>2024</v>
      </c>
      <c r="B13" s="22" t="str">
        <f>IF(M13="",   "",   TEXT(M13,   "[$-en-US]mmm"))</f>
        <v>Oct</v>
      </c>
      <c r="C13" s="22" t="s">
        <v>36</v>
      </c>
      <c r="D13" s="22" t="s">
        <v>47</v>
      </c>
      <c r="E13" s="13" t="s">
        <v>94</v>
      </c>
      <c r="F13" s="13" t="s">
        <v>62</v>
      </c>
      <c r="G13" s="13" t="s">
        <v>95</v>
      </c>
      <c r="H13" s="13" t="s">
        <v>96</v>
      </c>
      <c r="I13" s="12" t="s">
        <v>42</v>
      </c>
      <c r="J13" s="12" t="s">
        <v>43</v>
      </c>
      <c r="K13" s="12"/>
      <c r="L13" s="12" t="s">
        <v>44</v>
      </c>
      <c r="M13" s="30">
        <v>45587</v>
      </c>
      <c r="N13" s="14">
        <f>IF(M13="",                                                                                                                                                                                                  "",
   WORKDAY(
      M13,
      IF(I13="S-Special",                                                                                                                                                                                                   45,
         IF(OR(I13="O-General",                                                                                                                                                                                                   I13="S-General"),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3" s="30">
        <v>45700</v>
      </c>
      <c r="P13" s="13">
        <f ca="1">IF(M13="",                                                                                                                                                                                                   "",
   NETWORKDAYS(
      M13,
      IF(O13&lt;&gt;"",                                                                                                                                                                                                   O13,                                                                                                                                                                                                   TODAY()),
      Dropdown!$A$2:$A$100
   )
)</f>
        <v>82</v>
      </c>
      <c r="Q13" s="13" t="str">
        <f ca="1">IF(P13="",                                                                                                                                                                                                   "",
   IF(OR(I13="O-General",                                                                                                                                                                                                   I13="S-General"),
      IF(P13&lt;=30,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IF(I13="S-Special",
         IF(P13&lt;=45,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3" s="13"/>
      <c r="S13" s="12"/>
      <c r="T13" s="12"/>
      <c r="U13" s="12"/>
      <c r="V13" s="12"/>
      <c r="W13" s="10">
        <v>45717</v>
      </c>
      <c r="X13" s="12"/>
      <c r="Y13" s="12"/>
      <c r="Z13" s="31" t="s">
        <v>54</v>
      </c>
      <c r="AA13" s="12"/>
      <c r="AB13" s="12"/>
      <c r="AC13" s="12"/>
      <c r="AD13" s="12"/>
      <c r="AE13" s="12"/>
      <c r="AF13" s="12"/>
      <c r="AG13" s="12"/>
      <c r="AH13" s="12"/>
      <c r="AI13" s="15"/>
      <c r="AJ13" s="8"/>
    </row>
    <row r="14" spans="1:36" s="9" customFormat="1" ht="41.45" hidden="1" customHeight="1">
      <c r="A14" s="22">
        <v>2024</v>
      </c>
      <c r="B14" s="22" t="str">
        <f>IF(M14="",   "",   TEXT(M14,   "[$-en-US]mmm"))</f>
        <v>Nov</v>
      </c>
      <c r="C14" s="22" t="s">
        <v>36</v>
      </c>
      <c r="D14" s="22" t="s">
        <v>97</v>
      </c>
      <c r="E14" s="13" t="s">
        <v>97</v>
      </c>
      <c r="F14" s="13" t="s">
        <v>49</v>
      </c>
      <c r="G14" s="13" t="s">
        <v>98</v>
      </c>
      <c r="H14" s="13" t="s">
        <v>99</v>
      </c>
      <c r="I14" s="12" t="s">
        <v>52</v>
      </c>
      <c r="J14" s="12" t="s">
        <v>43</v>
      </c>
      <c r="K14" s="12"/>
      <c r="L14" s="12" t="s">
        <v>44</v>
      </c>
      <c r="M14" s="30">
        <v>45616</v>
      </c>
      <c r="N14" s="14">
        <f>IF(M14="",                                                                                                                                                                                                  "",
   WORKDAY(
      M14,
      IF(I14="S-Special",                                                                                                                                                                                                   45,
         IF(OR(I14="O-General",                                                                                                                                                                                                   I14="S-General"),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45679</v>
      </c>
      <c r="O14" s="30">
        <v>45793</v>
      </c>
      <c r="P14" s="13">
        <f ca="1">IF(M14="",                                                                                                                                                                                                   "",
   NETWORKDAYS(
      M14,
      IF(O14&lt;&gt;"",                                                                                                                                                                                                   O14,                                                                                                                                                                                                   TODAY()),
      Dropdown!$A$2:$A$100
   )
)</f>
        <v>128</v>
      </c>
      <c r="Q14" s="13" t="str">
        <f ca="1">IF(P14="",                                                                                                                                                                                                   "",
   IF(OR(I14="O-General",                                                                                                                                                                                                   I14="S-General"),
      IF(P14&lt;=30,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IF(I14="S-Special",
         IF(P14&lt;=45,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4" s="13"/>
      <c r="S14" s="12"/>
      <c r="T14" s="12"/>
      <c r="U14" s="12"/>
      <c r="V14" s="12"/>
      <c r="W14" s="10">
        <v>45839</v>
      </c>
      <c r="X14" s="12"/>
      <c r="Y14" s="12"/>
      <c r="Z14" s="31" t="s">
        <v>54</v>
      </c>
      <c r="AA14" s="12"/>
      <c r="AB14" s="12"/>
      <c r="AC14" s="12"/>
      <c r="AD14" s="12"/>
      <c r="AE14" s="12"/>
      <c r="AF14" s="12"/>
      <c r="AG14" s="12"/>
      <c r="AH14" s="12"/>
      <c r="AI14" s="15"/>
      <c r="AJ14" s="8"/>
    </row>
    <row r="15" spans="1:36" s="9" customFormat="1" ht="41.45" hidden="1" customHeight="1">
      <c r="A15" s="22">
        <v>2024</v>
      </c>
      <c r="B15" s="22" t="str">
        <f>IF(M15="",   "",   TEXT(M15,   "[$-en-US]mmm"))</f>
        <v>Nov</v>
      </c>
      <c r="C15" s="22" t="s">
        <v>36</v>
      </c>
      <c r="D15" s="22" t="s">
        <v>86</v>
      </c>
      <c r="E15" s="13" t="s">
        <v>87</v>
      </c>
      <c r="F15" s="13" t="s">
        <v>88</v>
      </c>
      <c r="G15" s="13" t="s">
        <v>100</v>
      </c>
      <c r="H15" s="13"/>
      <c r="I15" s="12" t="s">
        <v>42</v>
      </c>
      <c r="J15" s="12" t="s">
        <v>43</v>
      </c>
      <c r="K15" s="12"/>
      <c r="L15" s="12" t="s">
        <v>44</v>
      </c>
      <c r="M15" s="30">
        <v>45616</v>
      </c>
      <c r="N15" s="14">
        <f>IF(M15="",                                                                                                                                                                                                  "",
   WORKDAY(
      M15,
      IF(I15="S-Special",                                                                                                                                                                                                   45,
         IF(OR(I15="O-General",                                                                                                                                                                                                   I15="S-General"),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45658</v>
      </c>
      <c r="O15" s="30">
        <v>45597</v>
      </c>
      <c r="P15" s="13">
        <f ca="1">IF(M15="",                                                                                                                                                                                                   "",
   NETWORKDAYS(
      M15,
      IF(O15&lt;&gt;"",                                                                                                                                                                                                   O15,                                                                                                                                                                                                   TODAY()),
      Dropdown!$A$2:$A$100
   )
)</f>
        <v>-14</v>
      </c>
      <c r="Q15" s="13" t="str">
        <f ca="1">IF(P15="",                                                                                                                                                                                                   "",
   IF(OR(I15="O-General",                                                                                                                                                                                                   I15="S-General"),
      IF(P15&lt;=30,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IF(I15="S-Special",
         IF(P15&lt;=45,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5" s="13"/>
      <c r="S15" s="12"/>
      <c r="T15" s="12"/>
      <c r="U15" s="12"/>
      <c r="V15" s="12"/>
      <c r="W15" s="10">
        <v>45658</v>
      </c>
      <c r="X15" s="12"/>
      <c r="Y15" s="12"/>
      <c r="Z15" s="31" t="s">
        <v>54</v>
      </c>
      <c r="AA15" s="12"/>
      <c r="AB15" s="12"/>
      <c r="AC15" s="12"/>
      <c r="AD15" s="12"/>
      <c r="AE15" s="12"/>
      <c r="AF15" s="12"/>
      <c r="AG15" s="12"/>
      <c r="AH15" s="12"/>
      <c r="AI15" s="15"/>
      <c r="AJ15" s="8"/>
    </row>
    <row r="16" spans="1:36" s="9" customFormat="1" ht="41.45" hidden="1" customHeight="1">
      <c r="A16" s="22">
        <v>2024</v>
      </c>
      <c r="B16" s="22" t="str">
        <f>IF(M16="",   "",   TEXT(M16,   "[$-en-US]mmm"))</f>
        <v>Dec</v>
      </c>
      <c r="C16" s="22" t="s">
        <v>36</v>
      </c>
      <c r="D16" s="22" t="s">
        <v>47</v>
      </c>
      <c r="E16" s="13" t="s">
        <v>101</v>
      </c>
      <c r="F16" s="13" t="s">
        <v>39</v>
      </c>
      <c r="G16" s="13" t="s">
        <v>102</v>
      </c>
      <c r="H16" s="13" t="s">
        <v>103</v>
      </c>
      <c r="I16" s="12" t="s">
        <v>42</v>
      </c>
      <c r="J16" s="12" t="s">
        <v>43</v>
      </c>
      <c r="K16" s="12" t="s">
        <v>53</v>
      </c>
      <c r="L16" s="12" t="s">
        <v>44</v>
      </c>
      <c r="M16" s="30">
        <v>45650</v>
      </c>
      <c r="N16" s="14">
        <f>IF(M16="",                                                                                                                                                                                                  "",
   WORKDAY(
      M16,
      IF(I16="S-Special",                                                                                                                                                                                                   45,
         IF(OR(I16="O-General",                                                                                                                                                                                                   I16="S-General"),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6" s="30">
        <v>45684</v>
      </c>
      <c r="P16" s="13">
        <f ca="1">IF(M16="",                                                                                                                                                                                                   "",
   NETWORKDAYS(
      M16,
      IF(O16&lt;&gt;"",                                                                                                                                                                                                   O16,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6" s="13" t="str">
        <f ca="1">IF(P16="",                                                                                                                                                                                                   "",
   IF(OR(I16="O-General",                                                                                                                                                                                                   I16="S-General"),
      IF(P16&lt;=30,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IF(I16="S-Special",
         IF(P16&lt;=45,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6" s="13"/>
      <c r="S16" s="12"/>
      <c r="T16" s="12"/>
      <c r="U16" s="12"/>
      <c r="V16" s="12"/>
      <c r="W16" s="10"/>
      <c r="X16" s="12"/>
      <c r="Y16" s="12"/>
      <c r="Z16" s="32" t="s">
        <v>54</v>
      </c>
      <c r="AA16" s="12"/>
      <c r="AB16" s="12"/>
      <c r="AC16" s="12"/>
      <c r="AD16" s="12"/>
      <c r="AE16" s="12"/>
      <c r="AF16" s="12"/>
      <c r="AG16" s="12"/>
      <c r="AH16" s="12"/>
      <c r="AI16" s="15"/>
      <c r="AJ16" s="8"/>
    </row>
    <row r="17" spans="1:36" s="9" customFormat="1" ht="41.45" hidden="1" customHeight="1">
      <c r="A17" s="22">
        <v>2024</v>
      </c>
      <c r="B17" s="22" t="str">
        <f>IF(M17="",   "",   TEXT(M17,   "[$-en-US]mmm"))</f>
        <v>Dec</v>
      </c>
      <c r="C17" s="22" t="s">
        <v>36</v>
      </c>
      <c r="D17" s="22" t="s">
        <v>104</v>
      </c>
      <c r="E17" s="13" t="s">
        <v>104</v>
      </c>
      <c r="F17" s="13" t="s">
        <v>62</v>
      </c>
      <c r="G17" s="13" t="s">
        <v>105</v>
      </c>
      <c r="H17" s="13"/>
      <c r="I17" s="12" t="s">
        <v>42</v>
      </c>
      <c r="J17" s="12" t="s">
        <v>43</v>
      </c>
      <c r="K17" s="12"/>
      <c r="L17" s="12" t="s">
        <v>44</v>
      </c>
      <c r="M17" s="30">
        <v>45650</v>
      </c>
      <c r="N17" s="14">
        <f>IF(M17="",                                                                                                                                                                                                  "",
   WORKDAY(
      M17,
      IF(I17="S-Special",                                                                                                                                                                                                   45,
         IF(OR(I17="O-General",                                                                                                                                                                                                   I17="S-General"),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7" s="30">
        <v>45650</v>
      </c>
      <c r="P17" s="13">
        <f ca="1">IF(M17="",                                                                                                                                                                                                   "",
   NETWORKDAYS(
      M17,
      IF(O17&lt;&gt;"",                                                                                                                                                                                                   O17,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7" s="13" t="str">
        <f ca="1">IF(P17="",                                                                                                                                                                                                   "",
   IF(OR(I17="O-General",                                                                                                                                                                                                   I17="S-General"),
      IF(P17&lt;=30,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IF(I17="S-Special",
         IF(P17&lt;=45,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7" s="13"/>
      <c r="S17" s="12"/>
      <c r="T17" s="12"/>
      <c r="U17" s="12"/>
      <c r="V17" s="12"/>
      <c r="W17" s="10">
        <v>45673</v>
      </c>
      <c r="X17" s="12"/>
      <c r="Y17" s="12"/>
      <c r="Z17" s="31" t="s">
        <v>54</v>
      </c>
      <c r="AA17" s="12"/>
      <c r="AB17" s="12"/>
      <c r="AC17" s="12"/>
      <c r="AD17" s="12"/>
      <c r="AE17" s="12"/>
      <c r="AF17" s="12"/>
      <c r="AG17" s="12"/>
      <c r="AH17" s="12"/>
      <c r="AI17" s="15"/>
      <c r="AJ17" s="8"/>
    </row>
    <row r="18" spans="1:36" s="9" customFormat="1" ht="41.45" hidden="1" customHeight="1">
      <c r="A18" s="22">
        <v>2024</v>
      </c>
      <c r="B18" s="22" t="str">
        <f>IF(M18="",   "",   TEXT(M18,   "[$-en-US]mmm"))</f>
        <v>Dec</v>
      </c>
      <c r="C18" s="22" t="s">
        <v>36</v>
      </c>
      <c r="D18" s="22" t="s">
        <v>47</v>
      </c>
      <c r="E18" s="13" t="s">
        <v>106</v>
      </c>
      <c r="F18" s="13" t="s">
        <v>88</v>
      </c>
      <c r="G18" s="13" t="s">
        <v>107</v>
      </c>
      <c r="H18" s="13" t="s">
        <v>108</v>
      </c>
      <c r="I18" s="12" t="s">
        <v>42</v>
      </c>
      <c r="J18" s="12" t="s">
        <v>43</v>
      </c>
      <c r="K18" s="12" t="s">
        <v>53</v>
      </c>
      <c r="L18" s="12" t="s">
        <v>44</v>
      </c>
      <c r="M18" s="30">
        <v>45652</v>
      </c>
      <c r="N18" s="14">
        <f>IF(M18="",                                                                                                                                                                                                  "",
   WORKDAY(
      M18,
      IF(I18="S-Special",                                                                                                                                                                                                   45,
         IF(OR(I18="O-General",                                                                                                                                                                                                   I18="S-General"),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45694</v>
      </c>
      <c r="O18" s="30">
        <v>45713</v>
      </c>
      <c r="P18" s="13">
        <f ca="1">IF(M18="",                                                                                                                                                                                                   "",
   NETWORKDAYS(
      M18,
      IF(O18&lt;&gt;"",                                                                                                                                                                                                   O18,                                                                                                                                                                                                   TODAY()),
      Dropdown!$A$2:$A$100
   )
)</f>
        <v>44</v>
      </c>
      <c r="Q18" s="13" t="str">
        <f ca="1">IF(P18="",                                                                                                                                                                                                   "",
   IF(OR(I18="O-General",                                                                                                                                                                                                   I18="S-General"),
      IF(P18&lt;=30,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IF(I18="S-Special",
         IF(P18&lt;=45,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8" s="13"/>
      <c r="S18" s="12"/>
      <c r="T18" s="12"/>
      <c r="U18" s="12"/>
      <c r="V18" s="12"/>
      <c r="W18" s="10"/>
      <c r="X18" s="12"/>
      <c r="Y18" s="12"/>
      <c r="Z18" s="31" t="s">
        <v>73</v>
      </c>
      <c r="AA18" s="12"/>
      <c r="AB18" s="12"/>
      <c r="AC18" s="12"/>
      <c r="AD18" s="12"/>
      <c r="AE18" s="12"/>
      <c r="AF18" s="12"/>
      <c r="AG18" s="12"/>
      <c r="AH18" s="12"/>
      <c r="AI18" s="15"/>
      <c r="AJ18" s="8"/>
    </row>
    <row r="19" spans="1:36" s="9" customFormat="1" ht="41.45" hidden="1" customHeight="1">
      <c r="A19" s="22">
        <v>2024</v>
      </c>
      <c r="B19" s="22" t="str">
        <f>IF(M19="",   "",   TEXT(M19,   "[$-en-US]mmm"))</f>
        <v>Dec</v>
      </c>
      <c r="C19" s="22" t="s">
        <v>36</v>
      </c>
      <c r="D19" s="22" t="s">
        <v>47</v>
      </c>
      <c r="E19" s="13" t="s">
        <v>109</v>
      </c>
      <c r="F19" s="13" t="s">
        <v>88</v>
      </c>
      <c r="G19" s="13" t="s">
        <v>100</v>
      </c>
      <c r="H19" s="13"/>
      <c r="I19" s="12" t="s">
        <v>42</v>
      </c>
      <c r="J19" s="12" t="s">
        <v>43</v>
      </c>
      <c r="K19" s="12" t="s">
        <v>53</v>
      </c>
      <c r="L19" s="12" t="s">
        <v>44</v>
      </c>
      <c r="M19" s="30">
        <v>45651</v>
      </c>
      <c r="N19" s="14">
        <f>IF(M19="",                                                                                                                                                                                                  "",
   WORKDAY(
      M19,
      IF(I19="S-Special",                                                                                                                                                                                                   45,
         IF(OR(I19="O-General",                                                                                                                                                                                                   I19="S-General"),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45693</v>
      </c>
      <c r="O19" s="30">
        <v>45814</v>
      </c>
      <c r="P19" s="13">
        <f ca="1">IF(M19="",                                                                                                                                                                                                   "",
   NETWORKDAYS(
      M19,
      IF(O19&lt;&gt;"",                                                                                                                                                                                                   O19,                                                                                                                                                                                                   TODAY()),
      Dropdown!$A$2:$A$100
   )
)</f>
        <v>118</v>
      </c>
      <c r="Q19" s="13" t="str">
        <f ca="1">IF(P19="",                                                                                                                                                                                                   "",
   IF(OR(I19="O-General",                                                                                                                                                                                                   I19="S-General"),
      IF(P19&lt;=30,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IF(I19="S-Special",
         IF(P19&lt;=45,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9" s="13"/>
      <c r="S19" s="12"/>
      <c r="T19" s="12"/>
      <c r="U19" s="12"/>
      <c r="V19" s="12"/>
      <c r="W19" s="10">
        <v>45854</v>
      </c>
      <c r="X19" s="12"/>
      <c r="Y19" s="12"/>
      <c r="Z19" s="31" t="s">
        <v>54</v>
      </c>
      <c r="AA19" s="12"/>
      <c r="AB19" s="12"/>
      <c r="AC19" s="12"/>
      <c r="AD19" s="12"/>
      <c r="AE19" s="12"/>
      <c r="AF19" s="12"/>
      <c r="AG19" s="12"/>
      <c r="AH19" s="12"/>
      <c r="AI19" s="15"/>
      <c r="AJ19" s="8"/>
    </row>
    <row r="20" spans="1:36" s="9" customFormat="1" ht="41.45" hidden="1" customHeight="1">
      <c r="A20" s="22">
        <v>2024</v>
      </c>
      <c r="B20" s="22" t="str">
        <f>IF(M20="",   "",   TEXT(M20,   "[$-en-US]mmm"))</f>
        <v>Dec</v>
      </c>
      <c r="C20" s="22" t="s">
        <v>36</v>
      </c>
      <c r="D20" s="22" t="s">
        <v>110</v>
      </c>
      <c r="E20" s="13" t="s">
        <v>111</v>
      </c>
      <c r="F20" s="13" t="s">
        <v>112</v>
      </c>
      <c r="G20" s="13" t="s">
        <v>113</v>
      </c>
      <c r="H20" s="13" t="s">
        <v>114</v>
      </c>
      <c r="I20" s="12" t="s">
        <v>52</v>
      </c>
      <c r="J20" s="12" t="s">
        <v>43</v>
      </c>
      <c r="K20" s="12" t="s">
        <v>115</v>
      </c>
      <c r="L20" s="12" t="s">
        <v>44</v>
      </c>
      <c r="M20" s="30">
        <v>45649</v>
      </c>
      <c r="N20" s="14">
        <f>IF(M20="",                                                                                                                                                                                                  "",
   WORKDAY(
      M20,
      IF(I20="S-Special",                                                                                                                                                                                                   45,
         IF(OR(I20="O-General",                                                                                                                                                                                                   I20="S-General"),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45712</v>
      </c>
      <c r="O20" s="30">
        <v>45712</v>
      </c>
      <c r="P20" s="13">
        <f ca="1">IF(M20="",                                                                                                                                                                                                   "",
   NETWORKDAYS(
      M20,
      IF(O20&lt;&gt;"",                                                                                                                                                                                                   O20,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20" s="13" t="str">
        <f ca="1">IF(P20="",                                                                                                                                                                                                   "",
   IF(OR(I20="O-General",                                                                                                                                                                                                   I20="S-General"),
      IF(P20&lt;=30,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IF(I20="S-Special",
         IF(P20&lt;=45,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20" s="13"/>
      <c r="S20" s="12"/>
      <c r="T20" s="12"/>
      <c r="U20" s="12"/>
      <c r="V20" s="12"/>
      <c r="W20" s="10"/>
      <c r="X20" s="12"/>
      <c r="Y20" s="12"/>
      <c r="Z20" s="31" t="s">
        <v>45</v>
      </c>
      <c r="AA20" s="12"/>
      <c r="AB20" s="12"/>
      <c r="AC20" s="12"/>
      <c r="AD20" s="12"/>
      <c r="AE20" s="12"/>
      <c r="AF20" s="12"/>
      <c r="AG20" s="12"/>
      <c r="AH20" s="12"/>
      <c r="AI20" s="15"/>
      <c r="AJ20" s="8"/>
    </row>
    <row r="21" spans="1:36" s="9" customFormat="1" ht="41.45" hidden="1" customHeight="1">
      <c r="A21" s="51">
        <v>2025</v>
      </c>
      <c r="B21" s="22" t="str">
        <f>IF(M21="",   "",   TEXT(M21,   "[$-en-US]mmm"))</f>
        <v>Jan</v>
      </c>
      <c r="C21" s="22" t="s">
        <v>55</v>
      </c>
      <c r="D21" s="22" t="s">
        <v>116</v>
      </c>
      <c r="E21" s="13" t="s">
        <v>117</v>
      </c>
      <c r="F21" s="13" t="s">
        <v>55</v>
      </c>
      <c r="G21" s="13" t="s">
        <v>71</v>
      </c>
      <c r="H21" s="13" t="s">
        <v>118</v>
      </c>
      <c r="I21" s="12" t="s">
        <v>83</v>
      </c>
      <c r="J21" s="12" t="s">
        <v>43</v>
      </c>
      <c r="K21" s="12" t="s">
        <v>53</v>
      </c>
      <c r="L21" s="12" t="s">
        <v>44</v>
      </c>
      <c r="M21" s="30">
        <v>45680</v>
      </c>
      <c r="N21" s="14">
        <f>IF(M21="",                                                                                                                                                                                                  "",
   WORKDAY(
      M21,
      IF(I21="S-Special",                                                                                                                                                                                                   45,
         IF(OR(I21="O-General",                                                                                                                                                                                                   I21="S-General"),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1" s="30">
        <v>45706</v>
      </c>
      <c r="P21" s="13">
        <f ca="1">IF(M21="",                                                                                                                                                                                                   "",
   NETWORKDAYS(
      M21,
      IF(O21&lt;&gt;"",                                                                                                                                                                                                   O21,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21" s="13" t="str">
        <f ca="1">IF(P21="",                                                                                                                                                                                                   "",
   IF(OR(I21="O-General",                                                                                                                                                                                                   I21="S-General"),
      IF(P21&lt;=30,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IF(I21="S-Special",
         IF(P21&lt;=45,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1" s="13"/>
      <c r="S21" s="12"/>
      <c r="T21" s="12"/>
      <c r="U21" s="12"/>
      <c r="V21" s="12"/>
      <c r="W21" s="10"/>
      <c r="X21" s="12"/>
      <c r="Y21" s="12"/>
      <c r="Z21" s="31" t="s">
        <v>73</v>
      </c>
      <c r="AA21" s="12"/>
      <c r="AB21" s="12"/>
      <c r="AC21" s="12"/>
      <c r="AD21" s="12"/>
      <c r="AE21" s="12"/>
      <c r="AF21" s="12"/>
      <c r="AG21" s="12"/>
      <c r="AH21" s="12"/>
      <c r="AI21" s="15"/>
      <c r="AJ21" s="8"/>
    </row>
    <row r="22" spans="1:36" s="9" customFormat="1" ht="41.45" hidden="1" customHeight="1">
      <c r="A22" s="51">
        <v>2025</v>
      </c>
      <c r="B22" s="22" t="str">
        <f>IF(M22="",   "",   TEXT(M22,   "[$-en-US]mmm"))</f>
        <v>Jan</v>
      </c>
      <c r="C22" s="22" t="s">
        <v>46</v>
      </c>
      <c r="D22" s="22" t="s">
        <v>47</v>
      </c>
      <c r="E22" s="13" t="s">
        <v>119</v>
      </c>
      <c r="F22" s="13" t="s">
        <v>120</v>
      </c>
      <c r="G22" s="13" t="s">
        <v>121</v>
      </c>
      <c r="H22" s="13" t="s">
        <v>122</v>
      </c>
      <c r="I22" s="12" t="s">
        <v>42</v>
      </c>
      <c r="J22" s="12" t="s">
        <v>43</v>
      </c>
      <c r="K22" s="12" t="s">
        <v>53</v>
      </c>
      <c r="L22" s="12" t="s">
        <v>44</v>
      </c>
      <c r="M22" s="30">
        <v>45677</v>
      </c>
      <c r="N22" s="14">
        <f>IF(M22="",                                                                                                                                                                                                  "",
   WORKDAY(
      M22,
      IF(I22="S-Special",                                                                                                                                                                                                   45,
         IF(OR(I22="O-General",                                                                                                                                                                                                   I22="S-General"),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45719</v>
      </c>
      <c r="O22" s="30">
        <v>45677</v>
      </c>
      <c r="P22" s="13">
        <f ca="1">IF(M22="",                                                                                                                                                                                                   "",
   NETWORKDAYS(
      M22,
      IF(O22&lt;&gt;"",                                                                                                                                                                                                   O22,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2" s="13" t="str">
        <f ca="1">IF(P22="",                                                                                                                                                                                                   "",
   IF(OR(I22="O-General",                                                                                                                                                                                                   I22="S-General"),
      IF(P22&lt;=30,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IF(I22="S-Special",
         IF(P22&lt;=45,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2" s="13"/>
      <c r="S22" s="12"/>
      <c r="T22" s="12"/>
      <c r="U22" s="12"/>
      <c r="V22" s="12"/>
      <c r="W22" s="10">
        <v>45717</v>
      </c>
      <c r="X22" s="12"/>
      <c r="Y22" s="12"/>
      <c r="Z22" s="32" t="s">
        <v>73</v>
      </c>
      <c r="AA22" s="12"/>
      <c r="AB22" s="12"/>
      <c r="AC22" s="12"/>
      <c r="AD22" s="12"/>
      <c r="AE22" s="12"/>
      <c r="AF22" s="12"/>
      <c r="AG22" s="12"/>
      <c r="AH22" s="12"/>
      <c r="AI22" s="15"/>
      <c r="AJ22" s="8"/>
    </row>
    <row r="23" spans="1:36" s="9" customFormat="1" ht="41.45" hidden="1" customHeight="1">
      <c r="A23" s="51">
        <v>2025</v>
      </c>
      <c r="B23" s="22" t="str">
        <f>IF(M23="",   "",   TEXT(M23,   "[$-en-US]mmm"))</f>
        <v>Jan</v>
      </c>
      <c r="C23" s="22" t="s">
        <v>46</v>
      </c>
      <c r="D23" s="22" t="s">
        <v>47</v>
      </c>
      <c r="E23" s="13" t="s">
        <v>123</v>
      </c>
      <c r="F23" s="13" t="s">
        <v>124</v>
      </c>
      <c r="G23" s="13" t="s">
        <v>125</v>
      </c>
      <c r="H23" s="13" t="s">
        <v>126</v>
      </c>
      <c r="I23" s="12" t="s">
        <v>42</v>
      </c>
      <c r="J23" s="12" t="s">
        <v>43</v>
      </c>
      <c r="K23" s="12" t="s">
        <v>53</v>
      </c>
      <c r="L23" s="12" t="s">
        <v>44</v>
      </c>
      <c r="M23" s="30">
        <v>45680</v>
      </c>
      <c r="N23" s="14">
        <f>IF(M23="",                                                                                                                                                                                                  "",
   WORKDAY(
      M23,
      IF(I23="S-Special",                                                                                                                                                                                                   45,
         IF(OR(I23="O-General",                                                                                                                                                                                                   I23="S-General"),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3" s="30">
        <v>45694</v>
      </c>
      <c r="P23" s="13">
        <f ca="1">IF(M23="",                                                                                                                                                                                                   "",
   NETWORKDAYS(
      M23,
      IF(O23&lt;&gt;"",                                                                                                                                                                                                   O23,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3" s="13" t="str">
        <f ca="1">IF(P23="",                                                                                                                                                                                                   "",
   IF(OR(I23="O-General",                                                                                                                                                                                                   I23="S-General"),
      IF(P23&lt;=30,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IF(I23="S-Special",
         IF(P23&lt;=45,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3" s="13"/>
      <c r="S23" s="12"/>
      <c r="T23" s="12"/>
      <c r="U23" s="12"/>
      <c r="V23" s="12"/>
      <c r="W23" s="10">
        <v>45717</v>
      </c>
      <c r="X23" s="12"/>
      <c r="Y23" s="12"/>
      <c r="Z23" s="32" t="s">
        <v>54</v>
      </c>
      <c r="AA23" s="12"/>
      <c r="AB23" s="12"/>
      <c r="AC23" s="12"/>
      <c r="AD23" s="12"/>
      <c r="AE23" s="12"/>
      <c r="AF23" s="12"/>
      <c r="AG23" s="12"/>
      <c r="AH23" s="12"/>
      <c r="AI23" s="15"/>
      <c r="AJ23" s="8"/>
    </row>
    <row r="24" spans="1:36" s="9" customFormat="1" ht="41.45" hidden="1" customHeight="1">
      <c r="A24" s="51">
        <v>2025</v>
      </c>
      <c r="B24" s="22" t="str">
        <f>IF(M24="",   "",   TEXT(M24,   "[$-en-US]mmm"))</f>
        <v>Jan</v>
      </c>
      <c r="C24" s="22" t="s">
        <v>46</v>
      </c>
      <c r="D24" s="22" t="s">
        <v>47</v>
      </c>
      <c r="E24" s="13" t="s">
        <v>127</v>
      </c>
      <c r="F24" s="13" t="s">
        <v>128</v>
      </c>
      <c r="G24" s="13" t="s">
        <v>129</v>
      </c>
      <c r="H24" s="13" t="s">
        <v>82</v>
      </c>
      <c r="I24" s="12" t="s">
        <v>42</v>
      </c>
      <c r="J24" s="12" t="s">
        <v>43</v>
      </c>
      <c r="K24" s="12" t="s">
        <v>53</v>
      </c>
      <c r="L24" s="12" t="s">
        <v>44</v>
      </c>
      <c r="M24" s="30">
        <v>45671</v>
      </c>
      <c r="N24" s="14">
        <f>IF(M24="",                                                                                                                                                                                                  "",
   WORKDAY(
      M24,
      IF(I24="S-Special",                                                                                                                                                                                                   45,
         IF(OR(I24="O-General",                                                                                                                                                                                                   I24="S-General"),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45713</v>
      </c>
      <c r="O24" s="30">
        <v>45671</v>
      </c>
      <c r="P24" s="13">
        <f ca="1">IF(M24="",                                                                                                                                                                                                   "",
   NETWORKDAYS(
      M24,
      IF(O24&lt;&gt;"",                                                                                                                                                                                                   O24,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4" s="13" t="str">
        <f ca="1">IF(P24="",                                                                                                                                                                                                   "",
   IF(OR(I24="O-General",                                                                                                                                                                                                   I24="S-General"),
      IF(P24&lt;=30,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IF(I24="S-Special",
         IF(P24&lt;=45,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4" s="13"/>
      <c r="S24" s="12"/>
      <c r="T24" s="12"/>
      <c r="U24" s="12"/>
      <c r="V24" s="12"/>
      <c r="W24" s="10">
        <v>45704</v>
      </c>
      <c r="X24" s="12"/>
      <c r="Y24" s="12"/>
      <c r="Z24" s="31" t="s">
        <v>73</v>
      </c>
      <c r="AA24" s="12"/>
      <c r="AB24" s="12"/>
      <c r="AC24" s="12"/>
      <c r="AD24" s="12"/>
      <c r="AE24" s="12"/>
      <c r="AF24" s="12"/>
      <c r="AG24" s="12"/>
      <c r="AH24" s="12"/>
      <c r="AI24" s="15"/>
      <c r="AJ24" s="8"/>
    </row>
    <row r="25" spans="1:36" s="9" customFormat="1" ht="41.45" hidden="1" customHeight="1">
      <c r="A25" s="51">
        <v>2025</v>
      </c>
      <c r="B25" s="22" t="str">
        <f>IF(M25="",   "",   TEXT(M25,   "[$-en-US]mmm"))</f>
        <v>Jan</v>
      </c>
      <c r="C25" s="22" t="s">
        <v>46</v>
      </c>
      <c r="D25" s="22" t="s">
        <v>47</v>
      </c>
      <c r="E25" s="13" t="s">
        <v>130</v>
      </c>
      <c r="F25" s="13" t="s">
        <v>128</v>
      </c>
      <c r="G25" s="13" t="s">
        <v>129</v>
      </c>
      <c r="H25" s="13" t="s">
        <v>131</v>
      </c>
      <c r="I25" s="12" t="s">
        <v>42</v>
      </c>
      <c r="J25" s="12" t="s">
        <v>43</v>
      </c>
      <c r="K25" s="12" t="s">
        <v>115</v>
      </c>
      <c r="L25" s="12" t="s">
        <v>44</v>
      </c>
      <c r="M25" s="30">
        <v>45680</v>
      </c>
      <c r="N25" s="14">
        <f>IF(M25="",                                                                                                                                                                                                  "",
   WORKDAY(
      M25,
      IF(I25="S-Special",                                                                                                                                                                                                   45,
         IF(OR(I25="O-General",                                                                                                                                                                                                   I25="S-General"),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5" s="30">
        <v>45694</v>
      </c>
      <c r="P25" s="13">
        <f ca="1">IF(M25="",                                                                                                                                                                                                   "",
   NETWORKDAYS(
      M25,
      IF(O25&lt;&gt;"",                                                                                                                                                                                                   O25,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5" s="13" t="str">
        <f ca="1">IF(P25="",                                                                                                                                                                                                   "",
   IF(OR(I25="O-General",                                                                                                                                                                                                   I25="S-General"),
      IF(P25&lt;=30,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IF(I25="S-Special",
         IF(P25&lt;=45,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5" s="13"/>
      <c r="S25" s="12"/>
      <c r="T25" s="12"/>
      <c r="U25" s="12"/>
      <c r="V25" s="12"/>
      <c r="W25" s="10">
        <v>45717</v>
      </c>
      <c r="X25" s="12"/>
      <c r="Y25" s="12"/>
      <c r="Z25" s="31" t="s">
        <v>54</v>
      </c>
      <c r="AA25" s="12"/>
      <c r="AB25" s="12"/>
      <c r="AC25" s="12"/>
      <c r="AD25" s="12"/>
      <c r="AE25" s="12"/>
      <c r="AF25" s="12"/>
      <c r="AG25" s="12"/>
      <c r="AH25" s="12"/>
      <c r="AI25" s="15"/>
      <c r="AJ25" s="8"/>
    </row>
    <row r="26" spans="1:36" s="9" customFormat="1" ht="41.45" hidden="1" customHeight="1">
      <c r="A26" s="51">
        <v>2025</v>
      </c>
      <c r="B26" s="22" t="str">
        <f>IF(M26="",   "",   TEXT(M26,   "[$-en-US]mmm"))</f>
        <v>Jan</v>
      </c>
      <c r="C26" s="22" t="s">
        <v>46</v>
      </c>
      <c r="D26" s="22" t="s">
        <v>132</v>
      </c>
      <c r="E26" s="13" t="s">
        <v>132</v>
      </c>
      <c r="F26" s="13" t="s">
        <v>128</v>
      </c>
      <c r="G26" s="13" t="s">
        <v>133</v>
      </c>
      <c r="H26" s="13" t="s">
        <v>134</v>
      </c>
      <c r="I26" s="12" t="s">
        <v>83</v>
      </c>
      <c r="J26" s="12" t="s">
        <v>43</v>
      </c>
      <c r="K26" s="12" t="s">
        <v>115</v>
      </c>
      <c r="L26" s="12" t="s">
        <v>44</v>
      </c>
      <c r="M26" s="30">
        <v>45680</v>
      </c>
      <c r="N26" s="14">
        <f>IF(M26="",                                                                                                                                                                                                  "",
   WORKDAY(
      M26,
      IF(I26="S-Special",                                                                                                                                                                                                   45,
         IF(OR(I26="O-General",                                                                                                                                                                                                   I26="S-General"),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6" s="30">
        <v>45712</v>
      </c>
      <c r="P26" s="13">
        <f ca="1">IF(M26="",                                                                                                                                                                                                   "",
   NETWORKDAYS(
      M26,
      IF(O26&lt;&gt;"",                                                                                                                                                                                                   O26,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6" s="13" t="str">
        <f ca="1">IF(P26="",                                                                                                                                                                                                   "",
   IF(OR(I26="O-General",                                                                                                                                                                                                   I26="S-General"),
      IF(P26&lt;=30,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IF(I26="S-Special",
         IF(P26&lt;=45,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6" s="13"/>
      <c r="S26" s="12"/>
      <c r="T26" s="12"/>
      <c r="U26" s="12"/>
      <c r="V26" s="12"/>
      <c r="W26" s="10">
        <v>45748</v>
      </c>
      <c r="X26" s="12"/>
      <c r="Y26" s="12"/>
      <c r="Z26" s="32" t="s">
        <v>54</v>
      </c>
      <c r="AA26" s="12"/>
      <c r="AB26" s="12"/>
      <c r="AC26" s="12"/>
      <c r="AD26" s="12"/>
      <c r="AE26" s="12"/>
      <c r="AF26" s="12"/>
      <c r="AG26" s="12"/>
      <c r="AH26" s="12"/>
      <c r="AI26" s="15"/>
      <c r="AJ26" s="8"/>
    </row>
    <row r="27" spans="1:36" s="9" customFormat="1" ht="41.45" hidden="1" customHeight="1">
      <c r="A27" s="51">
        <v>2025</v>
      </c>
      <c r="B27" s="22" t="str">
        <f>IF(M27="",   "",   TEXT(M27,   "[$-en-US]mmm"))</f>
        <v>Jan</v>
      </c>
      <c r="C27" s="22" t="s">
        <v>36</v>
      </c>
      <c r="D27" s="22" t="s">
        <v>135</v>
      </c>
      <c r="E27" s="13" t="s">
        <v>136</v>
      </c>
      <c r="F27" s="13" t="s">
        <v>39</v>
      </c>
      <c r="G27" s="13" t="s">
        <v>137</v>
      </c>
      <c r="H27" s="13" t="s">
        <v>138</v>
      </c>
      <c r="I27" s="12" t="s">
        <v>83</v>
      </c>
      <c r="J27" s="12" t="s">
        <v>43</v>
      </c>
      <c r="K27" s="12" t="s">
        <v>53</v>
      </c>
      <c r="L27" s="12" t="s">
        <v>44</v>
      </c>
      <c r="M27" s="30">
        <v>45676</v>
      </c>
      <c r="N27" s="14">
        <f>IF(M27="",                                                                                                                                                                                                  "",
   WORKDAY(
      M27,
      IF(I27="S-Special",                                                                                                                                                                                                   45,
         IF(OR(I27="O-General",                                                                                                                                                                                                   I27="S-General"),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7" s="30">
        <v>45705</v>
      </c>
      <c r="P27" s="13">
        <f ca="1">IF(M27="",                                                                                                                                                                                                   "",
   NETWORKDAYS(
      M27,
      IF(O27&lt;&gt;"",                                                                                                                                                                                                   O27,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27" s="13" t="str">
        <f ca="1">IF(P27="",                                                                                                                                                                                                   "",
   IF(OR(I27="O-General",                                                                                                                                                                                                   I27="S-General"),
      IF(P27&lt;=30,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IF(I27="S-Special",
         IF(P27&lt;=45,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7" s="13"/>
      <c r="S27" s="12"/>
      <c r="T27" s="12"/>
      <c r="U27" s="12"/>
      <c r="V27" s="12"/>
      <c r="W27" s="10"/>
      <c r="X27" s="12"/>
      <c r="Y27" s="12"/>
      <c r="Z27" s="32" t="s">
        <v>73</v>
      </c>
      <c r="AA27" s="12"/>
      <c r="AB27" s="12"/>
      <c r="AC27" s="12"/>
      <c r="AD27" s="12"/>
      <c r="AE27" s="12"/>
      <c r="AF27" s="12"/>
      <c r="AG27" s="12"/>
      <c r="AH27" s="12"/>
      <c r="AI27" s="15"/>
      <c r="AJ27" s="8"/>
    </row>
    <row r="28" spans="1:36" s="9" customFormat="1" ht="41.45" hidden="1" customHeight="1">
      <c r="A28" s="51">
        <v>2025</v>
      </c>
      <c r="B28" s="22" t="str">
        <f>IF(M28="",   "",   TEXT(M28,   "[$-en-US]mmm"))</f>
        <v>Jan</v>
      </c>
      <c r="C28" s="22" t="s">
        <v>36</v>
      </c>
      <c r="D28" s="22" t="s">
        <v>139</v>
      </c>
      <c r="E28" s="13" t="s">
        <v>139</v>
      </c>
      <c r="F28" s="13" t="s">
        <v>67</v>
      </c>
      <c r="G28" s="13" t="s">
        <v>140</v>
      </c>
      <c r="H28" s="13" t="s">
        <v>141</v>
      </c>
      <c r="I28" s="12" t="s">
        <v>42</v>
      </c>
      <c r="J28" s="12" t="s">
        <v>43</v>
      </c>
      <c r="K28" s="12" t="s">
        <v>53</v>
      </c>
      <c r="L28" s="12" t="s">
        <v>44</v>
      </c>
      <c r="M28" s="30">
        <v>45676</v>
      </c>
      <c r="N28" s="14">
        <f>IF(M28="",                                                                                                                                                                                                  "",
   WORKDAY(
      M28,
      IF(I28="S-Special",                                                                                                                                                                                                   45,
         IF(OR(I28="O-General",                                                                                                                                                                                                   I28="S-General"),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8" s="30">
        <v>45707</v>
      </c>
      <c r="P28" s="13">
        <f ca="1">IF(M28="",                                                                                                                                                                                                   "",
   NETWORKDAYS(
      M28,
      IF(O28&lt;&gt;"",                                                                                                                                                                                                   O28,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8" s="13" t="str">
        <f ca="1">IF(P28="",                                                                                                                                                                                                   "",
   IF(OR(I28="O-General",                                                                                                                                                                                                   I28="S-General"),
      IF(P28&lt;=30,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IF(I28="S-Special",
         IF(P28&lt;=45,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8" s="13"/>
      <c r="S28" s="12"/>
      <c r="T28" s="12"/>
      <c r="U28" s="12"/>
      <c r="V28" s="12"/>
      <c r="W28" s="10">
        <v>45809</v>
      </c>
      <c r="X28" s="12"/>
      <c r="Y28" s="12"/>
      <c r="Z28" s="31" t="s">
        <v>73</v>
      </c>
      <c r="AA28" s="12"/>
      <c r="AB28" s="12"/>
      <c r="AC28" s="12"/>
      <c r="AD28" s="12"/>
      <c r="AE28" s="12"/>
      <c r="AF28" s="12"/>
      <c r="AG28" s="12"/>
      <c r="AH28" s="12"/>
      <c r="AI28" s="15"/>
      <c r="AJ28" s="8"/>
    </row>
    <row r="29" spans="1:36" s="9" customFormat="1" ht="41.45" hidden="1" customHeight="1">
      <c r="A29" s="51">
        <v>2025</v>
      </c>
      <c r="B29" s="22" t="str">
        <f>IF(M29="",   "",   TEXT(M29,   "[$-en-US]mmm"))</f>
        <v>Jan</v>
      </c>
      <c r="C29" s="22" t="s">
        <v>36</v>
      </c>
      <c r="D29" s="22" t="s">
        <v>142</v>
      </c>
      <c r="E29" s="13" t="s">
        <v>142</v>
      </c>
      <c r="F29" s="13" t="s">
        <v>39</v>
      </c>
      <c r="G29" s="13" t="s">
        <v>143</v>
      </c>
      <c r="H29" s="13" t="s">
        <v>144</v>
      </c>
      <c r="I29" s="12" t="s">
        <v>83</v>
      </c>
      <c r="J29" s="12" t="s">
        <v>43</v>
      </c>
      <c r="K29" s="12" t="s">
        <v>73</v>
      </c>
      <c r="L29" s="12" t="s">
        <v>44</v>
      </c>
      <c r="M29" s="30">
        <v>45676</v>
      </c>
      <c r="N29" s="14">
        <f>IF(M29="",                                                                                                                                                                                                  "",
   WORKDAY(
      M29,
      IF(I29="S-Special",                                                                                                                                                                                                   45,
         IF(OR(I29="O-General",                                                                                                                                                                                                   I29="S-General"),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9" s="30">
        <v>45716</v>
      </c>
      <c r="P29" s="13">
        <f ca="1">IF(M29="",                                                                                                                                                                                                   "",
   NETWORKDAYS(
      M29,
      IF(O29&lt;&gt;"",                                                                                                                                                                                                   O29,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29" s="13" t="str">
        <f ca="1">IF(P29="",                                                                                                                                                                                                   "",
   IF(OR(I29="O-General",                                                                                                                                                                                                   I29="S-General"),
      IF(P29&lt;=30,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IF(I29="S-Special",
         IF(P29&lt;=45,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9" s="13"/>
      <c r="S29" s="12"/>
      <c r="T29" s="12"/>
      <c r="U29" s="12"/>
      <c r="V29" s="12"/>
      <c r="W29" s="10"/>
      <c r="X29" s="12"/>
      <c r="Y29" s="12"/>
      <c r="Z29" s="31" t="s">
        <v>73</v>
      </c>
      <c r="AA29" s="12"/>
      <c r="AB29" s="12"/>
      <c r="AC29" s="12"/>
      <c r="AD29" s="12"/>
      <c r="AE29" s="12"/>
      <c r="AF29" s="12"/>
      <c r="AG29" s="12"/>
      <c r="AH29" s="12"/>
      <c r="AI29" s="15"/>
      <c r="AJ29" s="8"/>
    </row>
    <row r="30" spans="1:36" s="9" customFormat="1" ht="41.45" hidden="1" customHeight="1">
      <c r="A30" s="51">
        <v>2025</v>
      </c>
      <c r="B30" s="22" t="str">
        <f>IF(M30="",   "",   TEXT(M30,   "[$-en-US]mmm"))</f>
        <v>Jan</v>
      </c>
      <c r="C30" s="22" t="s">
        <v>36</v>
      </c>
      <c r="D30" s="22" t="s">
        <v>47</v>
      </c>
      <c r="E30" s="13" t="s">
        <v>145</v>
      </c>
      <c r="F30" s="13" t="s">
        <v>146</v>
      </c>
      <c r="G30" s="13" t="s">
        <v>147</v>
      </c>
      <c r="H30" s="13" t="s">
        <v>148</v>
      </c>
      <c r="I30" s="12" t="s">
        <v>42</v>
      </c>
      <c r="J30" s="12" t="s">
        <v>43</v>
      </c>
      <c r="K30" s="12" t="s">
        <v>53</v>
      </c>
      <c r="L30" s="12" t="s">
        <v>44</v>
      </c>
      <c r="M30" s="30">
        <v>45676</v>
      </c>
      <c r="N30" s="14">
        <f>IF(M30="",                                                                                                                                                                                                  "",
   WORKDAY(
      M30,
      IF(I30="S-Special",                                                                                                                                                                                                   45,
         IF(OR(I30="O-General",                                                                                                                                                                                                   I30="S-General"),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0" s="30">
        <v>45702</v>
      </c>
      <c r="P30" s="13">
        <f ca="1">IF(M30="",                                                                                                                                                                                                   "",
   NETWORKDAYS(
      M30,
      IF(O30&lt;&gt;"",                                                                                                                                                                                                   O30,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0" s="13" t="str">
        <f ca="1">IF(P30="",                                                                                                                                                                                                   "",
   IF(OR(I30="O-General",                                                                                                                                                                                                   I30="S-General"),
      IF(P30&lt;=30,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IF(I30="S-Special",
         IF(P30&lt;=45,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30" s="13"/>
      <c r="S30" s="12"/>
      <c r="T30" s="12"/>
      <c r="U30" s="12"/>
      <c r="V30" s="12"/>
      <c r="W30" s="10">
        <v>45778</v>
      </c>
      <c r="X30" s="12"/>
      <c r="Y30" s="12"/>
      <c r="Z30" s="32" t="s">
        <v>54</v>
      </c>
      <c r="AA30" s="12"/>
      <c r="AB30" s="12"/>
      <c r="AC30" s="12"/>
      <c r="AD30" s="12"/>
      <c r="AE30" s="12"/>
      <c r="AF30" s="12"/>
      <c r="AG30" s="12"/>
      <c r="AH30" s="12"/>
      <c r="AI30" s="15"/>
      <c r="AJ30" s="8"/>
    </row>
    <row r="31" spans="1:36" s="9" customFormat="1" ht="41.45" hidden="1" customHeight="1">
      <c r="A31" s="51">
        <v>2025</v>
      </c>
      <c r="B31" s="22" t="str">
        <f>IF(M31="",   "",   TEXT(M31,   "[$-en-US]mmm"))</f>
        <v>Jan</v>
      </c>
      <c r="C31" s="22" t="s">
        <v>36</v>
      </c>
      <c r="D31" s="22" t="s">
        <v>47</v>
      </c>
      <c r="E31" s="13" t="s">
        <v>145</v>
      </c>
      <c r="F31" s="13" t="s">
        <v>146</v>
      </c>
      <c r="G31" s="13" t="s">
        <v>147</v>
      </c>
      <c r="H31" s="13" t="s">
        <v>148</v>
      </c>
      <c r="I31" s="12" t="s">
        <v>42</v>
      </c>
      <c r="J31" s="12" t="s">
        <v>43</v>
      </c>
      <c r="K31" s="12" t="s">
        <v>53</v>
      </c>
      <c r="L31" s="12" t="s">
        <v>44</v>
      </c>
      <c r="M31" s="30">
        <v>45676</v>
      </c>
      <c r="N31" s="14">
        <f>IF(M31="",                                                                                                                                                                                                  "",
   WORKDAY(
      M31,
      IF(I31="S-Special",                                                                                                                                                                                                   45,
         IF(OR(I31="O-General",                                                                                                                                                                                                   I31="S-General"),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1" s="30">
        <v>45702</v>
      </c>
      <c r="P31" s="13">
        <f ca="1">IF(M31="",                                                                                                                                                                                                   "",
   NETWORKDAYS(
      M31,
      IF(O31&lt;&gt;"",                                                                                                                                                                                                   O31,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1" s="13" t="str">
        <f ca="1">IF(P31="",                                                                                                                                                                                                   "",
   IF(OR(I31="O-General",                                                                                                                                                                                                   I31="S-General"),
      IF(P31&lt;=30,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IF(I31="S-Special",
         IF(P31&lt;=45,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31" s="13"/>
      <c r="S31" s="12"/>
      <c r="T31" s="12"/>
      <c r="U31" s="12"/>
      <c r="V31" s="12"/>
      <c r="W31" s="10">
        <v>45658</v>
      </c>
      <c r="X31" s="12"/>
      <c r="Y31" s="12"/>
      <c r="Z31" s="32" t="s">
        <v>54</v>
      </c>
      <c r="AA31" s="12"/>
      <c r="AB31" s="12"/>
      <c r="AC31" s="12"/>
      <c r="AD31" s="12"/>
      <c r="AE31" s="12"/>
      <c r="AF31" s="12"/>
      <c r="AG31" s="12"/>
      <c r="AH31" s="12"/>
      <c r="AI31" s="15"/>
      <c r="AJ31" s="8"/>
    </row>
    <row r="32" spans="1:36" s="9" customFormat="1" ht="41.45" hidden="1" customHeight="1">
      <c r="A32" s="51">
        <v>2025</v>
      </c>
      <c r="B32" s="22" t="str">
        <f>IF(M32="",   "",   TEXT(M32,   "[$-en-US]mmm"))</f>
        <v>Jan</v>
      </c>
      <c r="C32" s="22" t="s">
        <v>36</v>
      </c>
      <c r="D32" s="22" t="s">
        <v>149</v>
      </c>
      <c r="E32" s="13" t="s">
        <v>149</v>
      </c>
      <c r="F32" s="13" t="s">
        <v>150</v>
      </c>
      <c r="G32" s="13" t="s">
        <v>151</v>
      </c>
      <c r="H32" s="13" t="s">
        <v>70</v>
      </c>
      <c r="I32" s="12" t="s">
        <v>42</v>
      </c>
      <c r="J32" s="12" t="s">
        <v>43</v>
      </c>
      <c r="K32" s="12" t="s">
        <v>53</v>
      </c>
      <c r="L32" s="12" t="s">
        <v>44</v>
      </c>
      <c r="M32" s="30">
        <v>45676</v>
      </c>
      <c r="N32" s="14">
        <f>IF(M32="",                                                                                                                                                                                                  "",
   WORKDAY(
      M32,
      IF(I32="S-Special",                                                                                                                                                                                                   45,
         IF(OR(I32="O-General",                                                                                                                                                                                                   I32="S-General"),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2" s="30">
        <v>45814</v>
      </c>
      <c r="P32" s="13">
        <f ca="1">IF(M32="",                                                                                                                                                                                                   "",
   NETWORKDAYS(
      M32,
      IF(O32&lt;&gt;"",                                                                                                                                                                                                   O32,                                                                                                                                                                                                   TODAY()),
      Dropdown!$A$2:$A$100
   )
)</f>
        <v>100</v>
      </c>
      <c r="Q32" s="13" t="str">
        <f ca="1">IF(P32="",                                                                                                                                                                                                   "",
   IF(OR(I32="O-General",                                                                                                                                                                                                   I32="S-General"),
      IF(P32&lt;=30,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IF(I32="S-Special",
         IF(P32&lt;=45,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2" s="13"/>
      <c r="S32" s="12"/>
      <c r="T32" s="12"/>
      <c r="U32" s="12"/>
      <c r="V32" s="12"/>
      <c r="W32" s="10">
        <v>45870</v>
      </c>
      <c r="X32" s="12"/>
      <c r="Y32" s="12"/>
      <c r="Z32" s="32" t="s">
        <v>73</v>
      </c>
      <c r="AA32" s="12"/>
      <c r="AB32" s="12"/>
      <c r="AC32" s="12"/>
      <c r="AD32" s="12"/>
      <c r="AE32" s="12"/>
      <c r="AF32" s="12"/>
      <c r="AG32" s="12"/>
      <c r="AH32" s="12"/>
      <c r="AI32" s="15"/>
      <c r="AJ32" s="8"/>
    </row>
    <row r="33" spans="1:36" s="9" customFormat="1" ht="41.45" hidden="1" customHeight="1">
      <c r="A33" s="51">
        <v>2025</v>
      </c>
      <c r="B33" s="22" t="str">
        <f>IF(M33="",   "",   TEXT(M33,   "[$-en-US]mmm"))</f>
        <v>Jan</v>
      </c>
      <c r="C33" s="22" t="s">
        <v>36</v>
      </c>
      <c r="D33" s="22" t="s">
        <v>152</v>
      </c>
      <c r="E33" s="13" t="s">
        <v>153</v>
      </c>
      <c r="F33" s="13" t="s">
        <v>67</v>
      </c>
      <c r="G33" s="13" t="s">
        <v>140</v>
      </c>
      <c r="H33" s="13" t="s">
        <v>154</v>
      </c>
      <c r="I33" s="12" t="s">
        <v>42</v>
      </c>
      <c r="J33" s="12" t="s">
        <v>43</v>
      </c>
      <c r="K33" s="12" t="s">
        <v>53</v>
      </c>
      <c r="L33" s="12" t="s">
        <v>44</v>
      </c>
      <c r="M33" s="30">
        <v>45676</v>
      </c>
      <c r="N33" s="14">
        <f>IF(M33="",                                                                                                                                                                                                  "",
   WORKDAY(
      M33,
      IF(I33="S-Special",                                                                                                                                                                                                   45,
         IF(OR(I33="O-General",                                                                                                                                                                                                   I33="S-General"),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3" s="30">
        <v>45705</v>
      </c>
      <c r="P33" s="13">
        <f ca="1">IF(M33="",                                                                                                                                                                                                   "",
   NETWORKDAYS(
      M33,
      IF(O33&lt;&gt;"",                                                                                                                                                                                                   O33,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33" s="13" t="str">
        <f ca="1">IF(P33="",                                                                                                                                                                                                   "",
   IF(OR(I33="O-General",                                                                                                                                                                                                   I33="S-General"),
      IF(P33&lt;=30,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IF(I33="S-Special",
         IF(P33&lt;=45,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33" s="13"/>
      <c r="S33" s="12"/>
      <c r="T33" s="12"/>
      <c r="U33" s="12"/>
      <c r="V33" s="12"/>
      <c r="W33" s="10"/>
      <c r="X33" s="12"/>
      <c r="Y33" s="12"/>
      <c r="Z33" s="31" t="s">
        <v>45</v>
      </c>
      <c r="AA33" s="12"/>
      <c r="AB33" s="12"/>
      <c r="AC33" s="12"/>
      <c r="AD33" s="12"/>
      <c r="AE33" s="12"/>
      <c r="AF33" s="12"/>
      <c r="AG33" s="12"/>
      <c r="AH33" s="12"/>
      <c r="AI33" s="15"/>
      <c r="AJ33" s="8"/>
    </row>
    <row r="34" spans="1:36" s="9" customFormat="1" ht="41.45" hidden="1" customHeight="1">
      <c r="A34" s="51">
        <v>2025</v>
      </c>
      <c r="B34" s="22" t="str">
        <f>IF(M34="",   "",   TEXT(M34,   "[$-en-US]mmm"))</f>
        <v>Jan</v>
      </c>
      <c r="C34" s="22" t="s">
        <v>36</v>
      </c>
      <c r="D34" s="22" t="s">
        <v>155</v>
      </c>
      <c r="E34" s="13" t="s">
        <v>156</v>
      </c>
      <c r="F34" s="13" t="s">
        <v>91</v>
      </c>
      <c r="G34" s="13" t="s">
        <v>157</v>
      </c>
      <c r="H34" s="13" t="s">
        <v>158</v>
      </c>
      <c r="I34" s="12" t="s">
        <v>52</v>
      </c>
      <c r="J34" s="12" t="s">
        <v>43</v>
      </c>
      <c r="K34" s="12" t="s">
        <v>115</v>
      </c>
      <c r="L34" s="12" t="s">
        <v>44</v>
      </c>
      <c r="M34" s="30">
        <v>45676</v>
      </c>
      <c r="N34" s="14">
        <f>IF(M34="",                                                                                                                                                                                                  "",
   WORKDAY(
      M34,
      IF(I34="S-Special",                                                                                                                                                                                                   45,
         IF(OR(I34="O-General",                                                                                                                                                                                                   I34="S-General"),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4" s="30">
        <v>45810</v>
      </c>
      <c r="P34" s="13">
        <f ca="1">IF(M34="",                                                                                                                                                                                                   "",
   NETWORKDAYS(
      M34,
      IF(O34&lt;&gt;"",                                                                                                                                                                                                   O34,                                                                                                                                                                                                   TODAY()),
      Dropdown!$A$2:$A$100
   )
)</f>
        <v>96</v>
      </c>
      <c r="Q34" s="13" t="str">
        <f ca="1">IF(P34="",                                                                                                                                                                                                   "",
   IF(OR(I34="O-General",                                                                                                                                                                                                   I34="S-General"),
      IF(P34&lt;=30,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IF(I34="S-Special",
         IF(P34&lt;=45,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4" s="13"/>
      <c r="S34" s="12"/>
      <c r="T34" s="12"/>
      <c r="U34" s="12"/>
      <c r="V34" s="12"/>
      <c r="W34" s="10"/>
      <c r="X34" s="12"/>
      <c r="Y34" s="12"/>
      <c r="Z34" s="31" t="s">
        <v>54</v>
      </c>
      <c r="AA34" s="12"/>
      <c r="AB34" s="12"/>
      <c r="AC34" s="12"/>
      <c r="AD34" s="12"/>
      <c r="AE34" s="12"/>
      <c r="AF34" s="12"/>
      <c r="AG34" s="12"/>
      <c r="AH34" s="12"/>
      <c r="AI34" s="15"/>
      <c r="AJ34" s="8"/>
    </row>
    <row r="35" spans="1:36" s="9" customFormat="1" ht="41.45" hidden="1" customHeight="1">
      <c r="A35" s="51">
        <v>2025</v>
      </c>
      <c r="B35" s="22" t="str">
        <f>IF(M35="",   "",   TEXT(M35,   "[$-en-US]mmm"))</f>
        <v>Jan</v>
      </c>
      <c r="C35" s="22" t="s">
        <v>36</v>
      </c>
      <c r="D35" s="22" t="s">
        <v>159</v>
      </c>
      <c r="E35" s="13" t="s">
        <v>159</v>
      </c>
      <c r="F35" s="13" t="s">
        <v>49</v>
      </c>
      <c r="G35" s="13" t="s">
        <v>98</v>
      </c>
      <c r="H35" s="13" t="s">
        <v>160</v>
      </c>
      <c r="I35" s="12" t="s">
        <v>52</v>
      </c>
      <c r="J35" s="12" t="s">
        <v>43</v>
      </c>
      <c r="K35" s="12" t="s">
        <v>115</v>
      </c>
      <c r="L35" s="12" t="s">
        <v>44</v>
      </c>
      <c r="M35" s="30">
        <v>45676</v>
      </c>
      <c r="N35" s="14">
        <f>IF(M35="",                                                                                                                                                                                                  "",
   WORKDAY(
      M35,
      IF(I35="S-Special",                                                                                                                                                                                                   45,
         IF(OR(I35="O-General",                                                                                                                                                                                                   I35="S-General"),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5" s="30">
        <v>45989</v>
      </c>
      <c r="P35" s="13">
        <f ca="1">IF(M35="",                                                                                                                                                                                                   "",
   NETWORKDAYS(
      M35,
      IF(O35&lt;&gt;"",                                                                                                                                                                                                   O35,                                                                                                                                                                                                   TODAY()),
      Dropdown!$A$2:$A$100
   )
)</f>
        <v>225</v>
      </c>
      <c r="Q35" s="13" t="str">
        <f ca="1">IF(P35="",                                                                                                                                                                                                   "",
   IF(OR(I35="O-General",                                                                                                                                                                                                   I35="S-General"),
      IF(P35&lt;=30,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IF(I35="S-Special",
         IF(P35&lt;=45,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5" s="13"/>
      <c r="S35" s="12"/>
      <c r="T35" s="12"/>
      <c r="U35" s="12"/>
      <c r="V35" s="12"/>
      <c r="W35" s="10">
        <v>46023</v>
      </c>
      <c r="X35" s="12"/>
      <c r="Y35" s="12"/>
      <c r="Z35" s="32" t="s">
        <v>161</v>
      </c>
      <c r="AA35" s="12"/>
      <c r="AB35" s="12"/>
      <c r="AC35" s="12"/>
      <c r="AD35" s="12"/>
      <c r="AE35" s="12"/>
      <c r="AF35" s="12"/>
      <c r="AG35" s="12"/>
      <c r="AH35" s="12"/>
      <c r="AI35" s="15"/>
      <c r="AJ35" s="8"/>
    </row>
    <row r="36" spans="1:36" s="9" customFormat="1" ht="41.45" hidden="1" customHeight="1">
      <c r="A36" s="51">
        <v>2025</v>
      </c>
      <c r="B36" s="22" t="str">
        <f>IF(M36="",   "",   TEXT(M36,   "[$-en-US]mmm"))</f>
        <v>Jan</v>
      </c>
      <c r="C36" s="22" t="s">
        <v>36</v>
      </c>
      <c r="D36" s="22" t="s">
        <v>162</v>
      </c>
      <c r="E36" s="13" t="s">
        <v>163</v>
      </c>
      <c r="F36" s="13" t="s">
        <v>39</v>
      </c>
      <c r="G36" s="13" t="s">
        <v>143</v>
      </c>
      <c r="H36" s="13" t="s">
        <v>164</v>
      </c>
      <c r="I36" s="12" t="s">
        <v>83</v>
      </c>
      <c r="J36" s="12" t="s">
        <v>43</v>
      </c>
      <c r="K36" s="12" t="s">
        <v>115</v>
      </c>
      <c r="L36" s="12" t="s">
        <v>44</v>
      </c>
      <c r="M36" s="30">
        <v>45676</v>
      </c>
      <c r="N36" s="14">
        <f>IF(M36="",                                                                                                                                                                                                  "",
   WORKDAY(
      M36,
      IF(I36="S-Special",                                                                                                                                                                                                   45,
         IF(OR(I36="O-General",                                                                                                                                                                                                   I36="S-General"),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6" s="30">
        <v>45708</v>
      </c>
      <c r="P36" s="13">
        <f ca="1">IF(M36="",                                                                                                                                                                                                   "",
   NETWORKDAYS(
      M36,
      IF(O36&lt;&gt;"",                                                                                                                                                                                                   O36,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36" s="13" t="str">
        <f ca="1">IF(P36="",                                                                                                                                                                                                   "",
   IF(OR(I36="O-General",                                                                                                                                                                                                   I36="S-General"),
      IF(P36&lt;=30,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IF(I36="S-Special",
         IF(P36&lt;=45,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36" s="13"/>
      <c r="S36" s="12"/>
      <c r="T36" s="12"/>
      <c r="U36" s="12"/>
      <c r="V36" s="12"/>
      <c r="W36" s="10">
        <v>45748</v>
      </c>
      <c r="X36" s="12"/>
      <c r="Y36" s="12"/>
      <c r="Z36" s="32" t="s">
        <v>54</v>
      </c>
      <c r="AA36" s="12"/>
      <c r="AB36" s="12"/>
      <c r="AC36" s="12"/>
      <c r="AD36" s="12"/>
      <c r="AE36" s="12"/>
      <c r="AF36" s="12"/>
      <c r="AG36" s="12"/>
      <c r="AH36" s="12"/>
      <c r="AI36" s="15"/>
      <c r="AJ36" s="8"/>
    </row>
    <row r="37" spans="1:36" s="9" customFormat="1" ht="41.45" hidden="1" customHeight="1">
      <c r="A37" s="51">
        <v>2025</v>
      </c>
      <c r="B37" s="22" t="str">
        <f>IF(M37="",   "",   TEXT(M37,   "[$-en-US]mmm"))</f>
        <v>Feb</v>
      </c>
      <c r="C37" s="22" t="s">
        <v>55</v>
      </c>
      <c r="D37" s="22" t="s">
        <v>165</v>
      </c>
      <c r="E37" s="13" t="s">
        <v>166</v>
      </c>
      <c r="F37" s="13" t="s">
        <v>55</v>
      </c>
      <c r="G37" s="13" t="s">
        <v>58</v>
      </c>
      <c r="H37" s="13"/>
      <c r="I37" s="12" t="s">
        <v>52</v>
      </c>
      <c r="J37" s="12" t="s">
        <v>84</v>
      </c>
      <c r="K37" s="12" t="s">
        <v>115</v>
      </c>
      <c r="L37" s="12" t="s">
        <v>85</v>
      </c>
      <c r="M37" s="30">
        <v>45712</v>
      </c>
      <c r="N37" s="14">
        <f>IF(M37="",                                                                                                                                                                                                  "",
   WORKDAY(
      M37,
      IF(I37="S-Special",                                                                                                                                                                                                   45,
         IF(OR(I37="O-General",                                                                                                                                                                                                   I37="S-General"),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7" s="30"/>
      <c r="P37" s="13">
        <f ca="1">IF(M37="",                                                                                                                                                                                                   "",
   NETWORKDAYS(
      M37,
      IF(O37&lt;&gt;"",                                                                                                                                                                                                   O37,                                                                                                                                                                                                   TODAY()),
      Dropdown!$A$2:$A$100
   )
)</f>
        <v>353</v>
      </c>
      <c r="Q37" s="13" t="str">
        <f ca="1">IF(P37="",                                                                                                                                                                                                   "",
   IF(OR(I37="O-General",                                                                                                                                                                                                   I37="S-General"),
      IF(P37&lt;=30,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IF(I37="S-Special",
         IF(P37&lt;=45,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7" s="13"/>
      <c r="S37" s="12"/>
      <c r="T37" s="12"/>
      <c r="U37" s="12"/>
      <c r="V37" s="12"/>
      <c r="W37" s="10"/>
      <c r="X37" s="12"/>
      <c r="Y37" s="12"/>
      <c r="Z37" s="32"/>
      <c r="AA37" s="12"/>
      <c r="AB37" s="12"/>
      <c r="AC37" s="12"/>
      <c r="AD37" s="12"/>
      <c r="AE37" s="12"/>
      <c r="AF37" s="12"/>
      <c r="AG37" s="12"/>
      <c r="AH37" s="12"/>
      <c r="AI37" s="15"/>
      <c r="AJ37" s="8"/>
    </row>
    <row r="38" spans="1:36" s="9" customFormat="1" ht="41.45" hidden="1" customHeight="1">
      <c r="A38" s="51">
        <v>2025</v>
      </c>
      <c r="B38" s="22" t="str">
        <f>IF(M38="",   "",   TEXT(M38,   "[$-en-US]mmm"))</f>
        <v>Feb</v>
      </c>
      <c r="C38" s="22" t="s">
        <v>46</v>
      </c>
      <c r="D38" s="22" t="s">
        <v>167</v>
      </c>
      <c r="E38" s="13" t="s">
        <v>167</v>
      </c>
      <c r="F38" s="13" t="s">
        <v>112</v>
      </c>
      <c r="G38" s="13" t="s">
        <v>168</v>
      </c>
      <c r="H38" s="13" t="s">
        <v>169</v>
      </c>
      <c r="I38" s="12" t="s">
        <v>52</v>
      </c>
      <c r="J38" s="12" t="s">
        <v>43</v>
      </c>
      <c r="K38" s="12" t="s">
        <v>115</v>
      </c>
      <c r="L38" s="12" t="s">
        <v>44</v>
      </c>
      <c r="M38" s="30">
        <v>45712</v>
      </c>
      <c r="N38" s="14">
        <f>IF(M38="",                                                                                                                                                                                                  "",
   WORKDAY(
      M38,
      IF(I38="S-Special",                                                                                                                                                                                                   45,
         IF(OR(I38="O-General",                                                                                                                                                                                                   I38="S-General"),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8" s="30">
        <v>45777</v>
      </c>
      <c r="P38" s="13">
        <f ca="1">IF(M38="",                                                                                                                                                                                                   "",
   NETWORKDAYS(
      M38,
      IF(O38&lt;&gt;"",                                                                                                                                                                                                   O38,                                                                                                                                                                                                   TODAY()),
      Dropdown!$A$2:$A$100
   )
)</f>
        <v>48</v>
      </c>
      <c r="Q38" s="13" t="str">
        <f ca="1">IF(P38="",                                                                                                                                                                                                   "",
   IF(OR(I38="O-General",                                                                                                                                                                                                   I38="S-General"),
      IF(P38&lt;=30,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IF(I38="S-Special",
         IF(P38&lt;=45,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8" s="13"/>
      <c r="S38" s="12"/>
      <c r="T38" s="12"/>
      <c r="U38" s="12"/>
      <c r="V38" s="12"/>
      <c r="W38" s="10">
        <v>45809</v>
      </c>
      <c r="X38" s="12"/>
      <c r="Y38" s="12"/>
      <c r="Z38" s="32" t="s">
        <v>54</v>
      </c>
      <c r="AA38" s="12"/>
      <c r="AB38" s="12"/>
      <c r="AC38" s="12"/>
      <c r="AD38" s="12"/>
      <c r="AE38" s="12"/>
      <c r="AF38" s="12"/>
      <c r="AG38" s="12"/>
      <c r="AH38" s="12"/>
      <c r="AI38" s="15"/>
      <c r="AJ38" s="8"/>
    </row>
    <row r="39" spans="1:36" s="9" customFormat="1" ht="41.45" hidden="1" customHeight="1">
      <c r="A39" s="51">
        <v>2025</v>
      </c>
      <c r="B39" s="22" t="str">
        <f>IF(M39="",   "",   TEXT(M39,   "[$-en-US]mmm"))</f>
        <v>Feb</v>
      </c>
      <c r="C39" s="22" t="s">
        <v>46</v>
      </c>
      <c r="D39" s="22" t="s">
        <v>47</v>
      </c>
      <c r="E39" s="13" t="s">
        <v>170</v>
      </c>
      <c r="F39" s="13" t="s">
        <v>171</v>
      </c>
      <c r="G39" s="13" t="s">
        <v>172</v>
      </c>
      <c r="H39" s="13" t="s">
        <v>82</v>
      </c>
      <c r="I39" s="12" t="s">
        <v>42</v>
      </c>
      <c r="J39" s="12" t="s">
        <v>43</v>
      </c>
      <c r="K39" s="12" t="s">
        <v>53</v>
      </c>
      <c r="L39" s="12" t="s">
        <v>44</v>
      </c>
      <c r="M39" s="30">
        <v>45691</v>
      </c>
      <c r="N39" s="14">
        <f>IF(M39="",                                                                                                                                                                                                  "",
   WORKDAY(
      M39,
      IF(I39="S-Special",                                                                                                                                                                                                   45,
         IF(OR(I39="O-General",                                                                                                                                                                                                   I39="S-General"),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45733</v>
      </c>
      <c r="O39" s="30">
        <v>45736</v>
      </c>
      <c r="P39" s="13">
        <f ca="1">IF(M39="",                                                                                                                                                                                                   "",
   NETWORKDAYS(
      M39,
      IF(O39&lt;&gt;"",                                                                                                                                                                                                   O39,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39" s="13" t="str">
        <f ca="1">IF(P39="",                                                                                                                                                                                                   "",
   IF(OR(I39="O-General",                                                                                                                                                                                                   I39="S-General"),
      IF(P39&lt;=30,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IF(I39="S-Special",
         IF(P39&lt;=45,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9" s="13"/>
      <c r="S39" s="12"/>
      <c r="T39" s="12"/>
      <c r="U39" s="12"/>
      <c r="V39" s="12"/>
      <c r="W39" s="10"/>
      <c r="X39" s="12"/>
      <c r="Y39" s="12"/>
      <c r="Z39" s="31" t="s">
        <v>173</v>
      </c>
      <c r="AA39" s="12"/>
      <c r="AB39" s="12"/>
      <c r="AC39" s="12"/>
      <c r="AD39" s="12"/>
      <c r="AE39" s="12"/>
      <c r="AF39" s="12"/>
      <c r="AG39" s="12"/>
      <c r="AH39" s="12"/>
      <c r="AI39" s="15"/>
      <c r="AJ39" s="8"/>
    </row>
    <row r="40" spans="1:36" s="9" customFormat="1" ht="41.45" hidden="1" customHeight="1">
      <c r="A40" s="51">
        <v>2025</v>
      </c>
      <c r="B40" s="22" t="str">
        <f>IF(M40="",   "",   TEXT(M40,   "[$-en-US]mmm"))</f>
        <v>Feb</v>
      </c>
      <c r="C40" s="22" t="s">
        <v>46</v>
      </c>
      <c r="D40" s="22" t="s">
        <v>174</v>
      </c>
      <c r="E40" s="13" t="s">
        <v>174</v>
      </c>
      <c r="F40" s="13" t="s">
        <v>175</v>
      </c>
      <c r="G40" s="13" t="s">
        <v>176</v>
      </c>
      <c r="H40" s="13" t="s">
        <v>177</v>
      </c>
      <c r="I40" s="12" t="s">
        <v>83</v>
      </c>
      <c r="J40" s="12" t="s">
        <v>43</v>
      </c>
      <c r="K40" s="12" t="s">
        <v>115</v>
      </c>
      <c r="L40" s="12" t="s">
        <v>44</v>
      </c>
      <c r="M40" s="30">
        <v>45712</v>
      </c>
      <c r="N40" s="14">
        <f>IF(M40="",                                                                                                                                                                                                  "",
   WORKDAY(
      M40,
      IF(I40="S-Special",                                                                                                                                                                                                   45,
         IF(OR(I40="O-General",                                                                                                                                                                                                   I40="S-General"),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0" s="30">
        <v>45743</v>
      </c>
      <c r="P40" s="13">
        <f ca="1">IF(M40="",                                                                                                                                                                                                   "",
   NETWORKDAYS(
      M40,
      IF(O40&lt;&gt;"",                                                                                                                                                                                                   O40,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40" s="13" t="str">
        <f ca="1">IF(P40="",                                                                                                                                                                                                   "",
   IF(OR(I40="O-General",                                                                                                                                                                                                   I40="S-General"),
      IF(P40&lt;=30,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IF(I40="S-Special",
         IF(P40&lt;=45,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0" s="13"/>
      <c r="S40" s="12"/>
      <c r="T40" s="12"/>
      <c r="U40" s="12"/>
      <c r="V40" s="12"/>
      <c r="W40" s="10"/>
      <c r="X40" s="12"/>
      <c r="Y40" s="12"/>
      <c r="Z40" s="31" t="s">
        <v>54</v>
      </c>
      <c r="AA40" s="12"/>
      <c r="AB40" s="12"/>
      <c r="AC40" s="12"/>
      <c r="AD40" s="12"/>
      <c r="AE40" s="12"/>
      <c r="AF40" s="12"/>
      <c r="AG40" s="12"/>
      <c r="AH40" s="12"/>
      <c r="AI40" s="15"/>
      <c r="AJ40" s="8"/>
    </row>
    <row r="41" spans="1:36" s="9" customFormat="1" ht="41.45" hidden="1" customHeight="1">
      <c r="A41" s="51">
        <v>2025</v>
      </c>
      <c r="B41" s="22" t="str">
        <f>IF(M41="",   "",   TEXT(M41,   "[$-en-US]mmm"))</f>
        <v>Feb</v>
      </c>
      <c r="C41" s="22" t="s">
        <v>46</v>
      </c>
      <c r="D41" s="22" t="s">
        <v>47</v>
      </c>
      <c r="E41" s="13" t="s">
        <v>119</v>
      </c>
      <c r="F41" s="13" t="s">
        <v>178</v>
      </c>
      <c r="G41" s="13" t="s">
        <v>179</v>
      </c>
      <c r="H41" s="13" t="s">
        <v>180</v>
      </c>
      <c r="I41" s="12" t="s">
        <v>42</v>
      </c>
      <c r="J41" s="12" t="s">
        <v>43</v>
      </c>
      <c r="K41" s="12" t="s">
        <v>53</v>
      </c>
      <c r="L41" s="12" t="s">
        <v>44</v>
      </c>
      <c r="M41" s="30">
        <v>45693</v>
      </c>
      <c r="N41" s="14">
        <f>IF(M41="",                                                                                                                                                                                                  "",
   WORKDAY(
      M41,
      IF(I41="S-Special",                                                                                                                                                                                                   45,
         IF(OR(I41="O-General",                                                                                                                                                                                                   I41="S-General"),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45735</v>
      </c>
      <c r="O41" s="30">
        <v>45715</v>
      </c>
      <c r="P41" s="13">
        <f ca="1">IF(M41="",                                                                                                                                                                                                   "",
   NETWORKDAYS(
      M41,
      IF(O41&lt;&gt;"",                                                                                                                                                                                                   O41,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41" s="13" t="str">
        <f ca="1">IF(P41="",                                                                                                                                                                                                   "",
   IF(OR(I41="O-General",                                                                                                                                                                                                   I41="S-General"),
      IF(P41&lt;=30,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IF(I41="S-Special",
         IF(P41&lt;=45,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1" s="13"/>
      <c r="S41" s="12"/>
      <c r="T41" s="12"/>
      <c r="U41" s="12"/>
      <c r="V41" s="12"/>
      <c r="W41" s="10">
        <v>45748</v>
      </c>
      <c r="X41" s="12"/>
      <c r="Y41" s="12"/>
      <c r="Z41" s="31" t="s">
        <v>173</v>
      </c>
      <c r="AA41" s="12"/>
      <c r="AB41" s="12"/>
      <c r="AC41" s="12"/>
      <c r="AD41" s="12"/>
      <c r="AE41" s="12"/>
      <c r="AF41" s="12"/>
      <c r="AG41" s="12"/>
      <c r="AH41" s="12"/>
      <c r="AI41" s="15"/>
      <c r="AJ41" s="8"/>
    </row>
    <row r="42" spans="1:36" s="9" customFormat="1" ht="41.45" hidden="1" customHeight="1">
      <c r="A42" s="51">
        <v>2025</v>
      </c>
      <c r="B42" s="22" t="str">
        <f>IF(M42="",   "",   TEXT(M42,   "[$-en-US]mmm"))</f>
        <v>Feb</v>
      </c>
      <c r="C42" s="22" t="s">
        <v>46</v>
      </c>
      <c r="D42" s="22" t="s">
        <v>181</v>
      </c>
      <c r="E42" s="13" t="s">
        <v>182</v>
      </c>
      <c r="F42" s="13" t="s">
        <v>183</v>
      </c>
      <c r="G42" s="13" t="s">
        <v>184</v>
      </c>
      <c r="H42" s="13" t="s">
        <v>185</v>
      </c>
      <c r="I42" s="12" t="s">
        <v>42</v>
      </c>
      <c r="J42" s="12" t="s">
        <v>43</v>
      </c>
      <c r="K42" s="12" t="s">
        <v>53</v>
      </c>
      <c r="L42" s="12" t="s">
        <v>44</v>
      </c>
      <c r="M42" s="30">
        <v>45712</v>
      </c>
      <c r="N42" s="14">
        <f>IF(M42="",                                                                                                                                                                                                  "",
   WORKDAY(
      M42,
      IF(I42="S-Special",                                                                                                                                                                                                   45,
         IF(OR(I42="O-General",                                                                                                                                                                                                   I42="S-General"),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2" s="30">
        <v>45727</v>
      </c>
      <c r="P42" s="13">
        <f ca="1">IF(M42="",                                                                                                                                                                                                   "",
   NETWORKDAYS(
      M42,
      IF(O42&lt;&gt;"",                                                                                                                                                                                                   O42,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42" s="13" t="str">
        <f ca="1">IF(P42="",                                                                                                                                                                                                   "",
   IF(OR(I42="O-General",                                                                                                                                                                                                   I42="S-General"),
      IF(P42&lt;=30,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IF(I42="S-Special",
         IF(P42&lt;=45,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2" s="13"/>
      <c r="S42" s="12"/>
      <c r="T42" s="12"/>
      <c r="U42" s="12"/>
      <c r="V42" s="12"/>
      <c r="W42" s="10">
        <v>45809</v>
      </c>
      <c r="X42" s="12"/>
      <c r="Y42" s="12"/>
      <c r="Z42" s="31" t="s">
        <v>54</v>
      </c>
      <c r="AA42" s="12"/>
      <c r="AB42" s="12"/>
      <c r="AC42" s="12"/>
      <c r="AD42" s="12"/>
      <c r="AE42" s="12"/>
      <c r="AF42" s="12"/>
      <c r="AG42" s="12"/>
      <c r="AH42" s="12"/>
      <c r="AI42" s="15"/>
      <c r="AJ42" s="8"/>
    </row>
    <row r="43" spans="1:36" s="9" customFormat="1" ht="41.45" hidden="1" customHeight="1">
      <c r="A43" s="51">
        <v>2025</v>
      </c>
      <c r="B43" s="22" t="str">
        <f>IF(M43="",   "",   TEXT(M43,   "[$-en-US]mmm"))</f>
        <v>Feb</v>
      </c>
      <c r="C43" s="22" t="s">
        <v>36</v>
      </c>
      <c r="D43" s="22" t="s">
        <v>186</v>
      </c>
      <c r="E43" s="13" t="s">
        <v>187</v>
      </c>
      <c r="F43" s="13" t="s">
        <v>67</v>
      </c>
      <c r="G43" s="13" t="s">
        <v>140</v>
      </c>
      <c r="H43" s="13" t="s">
        <v>141</v>
      </c>
      <c r="I43" s="12" t="s">
        <v>42</v>
      </c>
      <c r="J43" s="12" t="s">
        <v>43</v>
      </c>
      <c r="K43" s="12" t="s">
        <v>53</v>
      </c>
      <c r="L43" s="12" t="s">
        <v>44</v>
      </c>
      <c r="M43" s="30">
        <v>45712</v>
      </c>
      <c r="N43" s="14">
        <f>IF(M43="",                                                                                                                                                                                                  "",
   WORKDAY(
      M43,
      IF(I43="S-Special",                                                                                                                                                                                                   45,
         IF(OR(I43="O-General",                                                                                                                                                                                                   I43="S-General"),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3" s="30">
        <v>45713</v>
      </c>
      <c r="P43" s="13">
        <f ca="1">IF(M43="",                                                                                                                                                                                                   "",
   NETWORKDAYS(
      M43,
      IF(O43&lt;&gt;"",                                                                                                                                                                                                   O43,                                                                                                                                                                                                   TODAY()),
      Dropdown!$A$2:$A$100
   )
)</f>
        <v>2</v>
      </c>
      <c r="Q43" s="13" t="str">
        <f ca="1">IF(P43="",                                                                                                                                                                                                   "",
   IF(OR(I43="O-General",                                                                                                                                                                                                   I43="S-General"),
      IF(P43&lt;=30,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IF(I43="S-Special",
         IF(P43&lt;=45,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3" s="13"/>
      <c r="S43" s="12"/>
      <c r="T43" s="12"/>
      <c r="U43" s="12"/>
      <c r="V43" s="12"/>
      <c r="W43" s="10"/>
      <c r="X43" s="12"/>
      <c r="Y43" s="12"/>
      <c r="Z43" s="31" t="s">
        <v>54</v>
      </c>
      <c r="AA43" s="12"/>
      <c r="AB43" s="12"/>
      <c r="AC43" s="12"/>
      <c r="AD43" s="12"/>
      <c r="AE43" s="12"/>
      <c r="AF43" s="12"/>
      <c r="AG43" s="12"/>
      <c r="AH43" s="12"/>
      <c r="AI43" s="15"/>
      <c r="AJ43" s="8"/>
    </row>
    <row r="44" spans="1:36" s="9" customFormat="1" ht="41.45" hidden="1" customHeight="1">
      <c r="A44" s="51">
        <v>2025</v>
      </c>
      <c r="B44" s="22" t="str">
        <f>IF(M44="",   "",   TEXT(M44,   "[$-en-US]mmm"))</f>
        <v>Feb</v>
      </c>
      <c r="C44" s="22" t="s">
        <v>36</v>
      </c>
      <c r="D44" s="22" t="s">
        <v>188</v>
      </c>
      <c r="E44" s="13" t="s">
        <v>188</v>
      </c>
      <c r="F44" s="13" t="s">
        <v>112</v>
      </c>
      <c r="G44" s="13" t="s">
        <v>189</v>
      </c>
      <c r="H44" s="13" t="s">
        <v>190</v>
      </c>
      <c r="I44" s="12" t="s">
        <v>52</v>
      </c>
      <c r="J44" s="12" t="s">
        <v>43</v>
      </c>
      <c r="K44" s="12" t="s">
        <v>53</v>
      </c>
      <c r="L44" s="12" t="s">
        <v>44</v>
      </c>
      <c r="M44" s="30">
        <v>45712</v>
      </c>
      <c r="N44" s="14">
        <f>IF(M44="",                                                                                                                                                                                                  "",
   WORKDAY(
      M44,
      IF(I44="S-Special",                                                                                                                                                                                                   45,
         IF(OR(I44="O-General",                                                                                                                                                                                                   I44="S-General"),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44" s="30">
        <v>45756</v>
      </c>
      <c r="P44" s="13">
        <f ca="1">IF(M44="",                                                                                                                                                                                                   "",
   NETWORKDAYS(
      M44,
      IF(O44&lt;&gt;"",                                                                                                                                                                                                   O44,                                                                                                                                                                                                   TODAY()),
      Dropdown!$A$2:$A$100
   )
)</f>
        <v>33</v>
      </c>
      <c r="Q44" s="13" t="str">
        <f ca="1">IF(P44="",                                                                                                                                                                                                   "",
   IF(OR(I44="O-General",                                                                                                                                                                                                   I44="S-General"),
      IF(P44&lt;=30,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IF(I44="S-Special",
         IF(P44&lt;=45,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4" s="13"/>
      <c r="S44" s="12"/>
      <c r="T44" s="12"/>
      <c r="U44" s="12"/>
      <c r="V44" s="12"/>
      <c r="W44" s="10"/>
      <c r="X44" s="12"/>
      <c r="Y44" s="12"/>
      <c r="Z44" s="32" t="s">
        <v>73</v>
      </c>
      <c r="AA44" s="12"/>
      <c r="AB44" s="12"/>
      <c r="AC44" s="12"/>
      <c r="AD44" s="12"/>
      <c r="AE44" s="12"/>
      <c r="AF44" s="12"/>
      <c r="AG44" s="12"/>
      <c r="AH44" s="12"/>
      <c r="AI44" s="15"/>
      <c r="AJ44" s="8"/>
    </row>
    <row r="45" spans="1:36" s="9" customFormat="1" ht="41.45" hidden="1" customHeight="1">
      <c r="A45" s="51">
        <v>2025</v>
      </c>
      <c r="B45" s="22" t="str">
        <f>IF(M45="",   "",   TEXT(M45,   "[$-en-US]mmm"))</f>
        <v>Feb</v>
      </c>
      <c r="C45" s="22" t="s">
        <v>36</v>
      </c>
      <c r="D45" s="22" t="s">
        <v>47</v>
      </c>
      <c r="E45" s="13" t="s">
        <v>191</v>
      </c>
      <c r="F45" s="13" t="s">
        <v>88</v>
      </c>
      <c r="G45" s="13"/>
      <c r="H45" s="13" t="s">
        <v>192</v>
      </c>
      <c r="I45" s="12" t="s">
        <v>42</v>
      </c>
      <c r="J45" s="12" t="s">
        <v>43</v>
      </c>
      <c r="K45" s="12" t="s">
        <v>115</v>
      </c>
      <c r="L45" s="12" t="s">
        <v>44</v>
      </c>
      <c r="M45" s="30">
        <v>45713</v>
      </c>
      <c r="N45" s="14">
        <f>IF(M45="",                                                                                                                                                                                                  "",
   WORKDAY(
      M45,
      IF(I45="S-Special",                                                                                                                                                                                                   45,
         IF(OR(I45="O-General",                                                                                                                                                                                                   I45="S-General"),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5" s="30">
        <v>45882</v>
      </c>
      <c r="P45" s="13">
        <f ca="1">IF(M45="",                                                                                                                                                                                                   "",
   NETWORKDAYS(
      M45,
      IF(O45&lt;&gt;"",                                                                                                                                                                                                   O45,                                                                                                                                                                                                   TODAY()),
      Dropdown!$A$2:$A$100
   )
)</f>
        <v>122</v>
      </c>
      <c r="Q45" s="13" t="str">
        <f ca="1">IF(P45="",                                                                                                                                                                                                   "",
   IF(OR(I45="O-General",                                                                                                                                                                                                   I45="S-General"),
      IF(P45&lt;=30,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IF(I45="S-Special",
         IF(P45&lt;=45,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45" s="13"/>
      <c r="S45" s="12"/>
      <c r="T45" s="12"/>
      <c r="U45" s="12"/>
      <c r="V45" s="12"/>
      <c r="W45" s="10">
        <v>45931</v>
      </c>
      <c r="X45" s="12"/>
      <c r="Y45" s="12"/>
      <c r="Z45" s="32" t="s">
        <v>54</v>
      </c>
      <c r="AA45" s="12"/>
      <c r="AB45" s="12"/>
      <c r="AC45" s="12"/>
      <c r="AD45" s="12"/>
      <c r="AE45" s="12"/>
      <c r="AF45" s="12"/>
      <c r="AG45" s="12"/>
      <c r="AH45" s="12"/>
      <c r="AI45" s="15"/>
      <c r="AJ45" s="8"/>
    </row>
    <row r="46" spans="1:36" s="9" customFormat="1" ht="41.45" hidden="1" customHeight="1">
      <c r="A46" s="51">
        <v>2025</v>
      </c>
      <c r="B46" s="22" t="str">
        <f>IF(M46="",   "",   TEXT(M46,   "[$-en-US]mmm"))</f>
        <v>Feb</v>
      </c>
      <c r="C46" s="22" t="s">
        <v>36</v>
      </c>
      <c r="D46" s="22" t="s">
        <v>181</v>
      </c>
      <c r="E46" s="13" t="s">
        <v>193</v>
      </c>
      <c r="F46" s="13" t="s">
        <v>88</v>
      </c>
      <c r="G46" s="13" t="s">
        <v>194</v>
      </c>
      <c r="H46" s="13" t="s">
        <v>195</v>
      </c>
      <c r="I46" s="12" t="s">
        <v>42</v>
      </c>
      <c r="J46" s="12" t="s">
        <v>43</v>
      </c>
      <c r="K46" s="12" t="s">
        <v>53</v>
      </c>
      <c r="L46" s="12" t="s">
        <v>44</v>
      </c>
      <c r="M46" s="30">
        <v>45712</v>
      </c>
      <c r="N46" s="14">
        <f>IF(M46="",                                                                                                                                                                                                  "",
   WORKDAY(
      M46,
      IF(I46="S-Special",                                                                                                                                                                                                   45,
         IF(OR(I46="O-General",                                                                                                                                                                                                   I46="S-General"),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6" s="30">
        <v>45763</v>
      </c>
      <c r="P46" s="13">
        <f ca="1">IF(M46="",                                                                                                                                                                                                   "",
   NETWORKDAYS(
      M46,
      IF(O46&lt;&gt;"",                                                                                                                                                                                                   O46,                                                                                                                                                                                                   TODAY()),
      Dropdown!$A$2:$A$100
   )
)</f>
        <v>38</v>
      </c>
      <c r="Q46" s="13" t="str">
        <f ca="1">IF(P46="",                                                                                                                                                                                                   "",
   IF(OR(I46="O-General",                                                                                                                                                                                                   I46="S-General"),
      IF(P46&lt;=30,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IF(I46="S-Special",
         IF(P46&lt;=45,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46" s="13"/>
      <c r="S46" s="12"/>
      <c r="T46" s="12"/>
      <c r="U46" s="12"/>
      <c r="V46" s="12"/>
      <c r="W46" s="10"/>
      <c r="X46" s="12"/>
      <c r="Y46" s="12"/>
      <c r="Z46" s="31" t="s">
        <v>54</v>
      </c>
      <c r="AA46" s="12"/>
      <c r="AB46" s="12"/>
      <c r="AC46" s="12"/>
      <c r="AD46" s="12"/>
      <c r="AE46" s="12"/>
      <c r="AF46" s="12"/>
      <c r="AG46" s="12"/>
      <c r="AH46" s="12"/>
      <c r="AI46" s="15"/>
      <c r="AJ46" s="8"/>
    </row>
    <row r="47" spans="1:36" s="9" customFormat="1" ht="41.45" hidden="1" customHeight="1">
      <c r="A47" s="51">
        <v>2025</v>
      </c>
      <c r="B47" s="22" t="str">
        <f>IF(M47="",   "",   TEXT(M47,   "[$-en-US]mmm"))</f>
        <v>Feb</v>
      </c>
      <c r="C47" s="22" t="s">
        <v>36</v>
      </c>
      <c r="D47" s="22" t="s">
        <v>196</v>
      </c>
      <c r="E47" s="13" t="s">
        <v>196</v>
      </c>
      <c r="F47" s="13" t="s">
        <v>183</v>
      </c>
      <c r="G47" s="13" t="s">
        <v>184</v>
      </c>
      <c r="H47" s="13" t="s">
        <v>197</v>
      </c>
      <c r="I47" s="12" t="s">
        <v>83</v>
      </c>
      <c r="J47" s="12" t="s">
        <v>84</v>
      </c>
      <c r="K47" s="12" t="s">
        <v>115</v>
      </c>
      <c r="L47" s="12" t="s">
        <v>85</v>
      </c>
      <c r="M47" s="30">
        <v>45713</v>
      </c>
      <c r="N47" s="14">
        <f>IF(M47="",                                                                                                                                                                                                  "",
   WORKDAY(
      M47,
      IF(I47="S-Special",                                                                                                                                                                                                   45,
         IF(OR(I47="O-General",                                                                                                                                                                                                   I47="S-General"),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7" s="30">
        <v>45755</v>
      </c>
      <c r="P47" s="13">
        <f ca="1">IF(M47="",                                                                                                                                                                                                   "",
   NETWORKDAYS(
      M47,
      IF(O47&lt;&gt;"",                                                                                                                                                                                                   O47,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47" s="13" t="str">
        <f ca="1">IF(P47="",                                                                                                                                                                                                   "",
   IF(OR(I47="O-General",                                                                                                                                                                                                   I47="S-General"),
      IF(P47&lt;=30,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IF(I47="S-Special",
         IF(P47&lt;=45,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47" s="13"/>
      <c r="S47" s="12"/>
      <c r="T47" s="12"/>
      <c r="U47" s="12"/>
      <c r="V47" s="12"/>
      <c r="W47" s="10"/>
      <c r="X47" s="12"/>
      <c r="Y47" s="12"/>
      <c r="Z47" s="32"/>
      <c r="AA47" s="12"/>
      <c r="AB47" s="12"/>
      <c r="AC47" s="12"/>
      <c r="AD47" s="12"/>
      <c r="AE47" s="12"/>
      <c r="AF47" s="12"/>
      <c r="AG47" s="12"/>
      <c r="AH47" s="12"/>
      <c r="AI47" s="15"/>
      <c r="AJ47" s="8"/>
    </row>
    <row r="48" spans="1:36" s="9" customFormat="1" ht="41.45" hidden="1" customHeight="1">
      <c r="A48" s="51">
        <v>2025</v>
      </c>
      <c r="B48" s="22" t="str">
        <f>IF(M48="",   "",   TEXT(M48,   "[$-en-US]mmm"))</f>
        <v>Feb</v>
      </c>
      <c r="C48" s="22" t="s">
        <v>36</v>
      </c>
      <c r="D48" s="22" t="s">
        <v>196</v>
      </c>
      <c r="E48" s="13" t="s">
        <v>196</v>
      </c>
      <c r="F48" s="13" t="s">
        <v>183</v>
      </c>
      <c r="G48" s="13" t="s">
        <v>184</v>
      </c>
      <c r="H48" s="13" t="s">
        <v>198</v>
      </c>
      <c r="I48" s="12" t="s">
        <v>83</v>
      </c>
      <c r="J48" s="12" t="s">
        <v>43</v>
      </c>
      <c r="K48" s="12" t="s">
        <v>115</v>
      </c>
      <c r="L48" s="12" t="s">
        <v>44</v>
      </c>
      <c r="M48" s="30">
        <v>45714</v>
      </c>
      <c r="N48" s="14">
        <f>IF(M48="",                                                                                                                                                                                                  "",
   WORKDAY(
      M48,
      IF(I48="S-Special",                                                                                                                                                                                                   45,
         IF(OR(I48="O-General",                                                                                                                                                                                                   I48="S-General"),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45756</v>
      </c>
      <c r="O48" s="30">
        <v>45755</v>
      </c>
      <c r="P48" s="13">
        <f ca="1">IF(M48="",                                                                                                                                                                                                   "",
   NETWORKDAYS(
      M48,
      IF(O48&lt;&gt;"",                                                                                                                                                                                                   O48,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48" s="13" t="str">
        <f ca="1">IF(P48="",                                                                                                                                                                                                   "",
   IF(OR(I48="O-General",                                                                                                                                                                                                   I48="S-General"),
      IF(P48&lt;=30,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IF(I48="S-Special",
         IF(P48&lt;=45,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48" s="13"/>
      <c r="S48" s="12"/>
      <c r="T48" s="12"/>
      <c r="U48" s="12"/>
      <c r="V48" s="12"/>
      <c r="W48" s="10">
        <v>46143</v>
      </c>
      <c r="X48" s="12"/>
      <c r="Y48" s="12"/>
      <c r="Z48" s="31" t="s">
        <v>161</v>
      </c>
      <c r="AA48" s="12"/>
      <c r="AB48" s="12"/>
      <c r="AC48" s="12"/>
      <c r="AD48" s="12"/>
      <c r="AE48" s="12"/>
      <c r="AF48" s="12"/>
      <c r="AG48" s="12"/>
      <c r="AH48" s="12"/>
      <c r="AI48" s="15"/>
      <c r="AJ48" s="8"/>
    </row>
    <row r="49" spans="1:36" s="9" customFormat="1" ht="41.45" hidden="1" customHeight="1">
      <c r="A49" s="51">
        <v>2025</v>
      </c>
      <c r="B49" s="22" t="str">
        <f>IF(M49="",   "",   TEXT(M49,   "[$-en-US]mmm"))</f>
        <v>Feb</v>
      </c>
      <c r="C49" s="22" t="s">
        <v>36</v>
      </c>
      <c r="D49" s="22" t="s">
        <v>199</v>
      </c>
      <c r="E49" s="13" t="s">
        <v>200</v>
      </c>
      <c r="F49" s="13" t="s">
        <v>76</v>
      </c>
      <c r="G49" s="13" t="s">
        <v>77</v>
      </c>
      <c r="H49" s="13" t="s">
        <v>201</v>
      </c>
      <c r="I49" s="12" t="s">
        <v>42</v>
      </c>
      <c r="J49" s="12" t="s">
        <v>43</v>
      </c>
      <c r="K49" s="12" t="s">
        <v>53</v>
      </c>
      <c r="L49" s="12" t="s">
        <v>44</v>
      </c>
      <c r="M49" s="30">
        <v>45712</v>
      </c>
      <c r="N49" s="14">
        <f>IF(M49="",                                                                                                                                                                                                  "",
   WORKDAY(
      M49,
      IF(I49="S-Special",                                                                                                                                                                                                   45,
         IF(OR(I49="O-General",                                                                                                                                                                                                   I49="S-General"),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9" s="30">
        <v>45806</v>
      </c>
      <c r="P49" s="13">
        <f ca="1">IF(M49="",                                                                                                                                                                                                   "",
   NETWORKDAYS(
      M49,
      IF(O49&lt;&gt;"",                                                                                                                                                                                                   O49,                                                                                                                                                                                                   TODAY()),
      Dropdown!$A$2:$A$100
   )
)</f>
        <v>69</v>
      </c>
      <c r="Q49" s="13" t="str">
        <f ca="1">IF(P49="",                                                                                                                                                                                                   "",
   IF(OR(I49="O-General",                                                                                                                                                                                                   I49="S-General"),
      IF(P49&lt;=30,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IF(I49="S-Special",
         IF(P49&lt;=45,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49" s="13"/>
      <c r="S49" s="12"/>
      <c r="T49" s="12"/>
      <c r="U49" s="12"/>
      <c r="V49" s="12"/>
      <c r="W49" s="10">
        <v>45824</v>
      </c>
      <c r="X49" s="12"/>
      <c r="Y49" s="12"/>
      <c r="Z49" s="32" t="s">
        <v>45</v>
      </c>
      <c r="AA49" s="12"/>
      <c r="AB49" s="12"/>
      <c r="AC49" s="12"/>
      <c r="AD49" s="12"/>
      <c r="AE49" s="12"/>
      <c r="AF49" s="12"/>
      <c r="AG49" s="12"/>
      <c r="AH49" s="12"/>
      <c r="AI49" s="15"/>
      <c r="AJ49" s="8"/>
    </row>
    <row r="50" spans="1:36" s="9" customFormat="1" ht="41.45" hidden="1" customHeight="1">
      <c r="A50" s="51">
        <v>2025</v>
      </c>
      <c r="B50" s="22" t="str">
        <f>IF(M50="",   "",   TEXT(M50,   "[$-en-US]mmm"))</f>
        <v>Feb</v>
      </c>
      <c r="C50" s="22" t="s">
        <v>36</v>
      </c>
      <c r="D50" s="22" t="s">
        <v>181</v>
      </c>
      <c r="E50" s="13" t="s">
        <v>182</v>
      </c>
      <c r="F50" s="13" t="s">
        <v>183</v>
      </c>
      <c r="G50" s="13" t="s">
        <v>184</v>
      </c>
      <c r="H50" s="13" t="s">
        <v>198</v>
      </c>
      <c r="I50" s="12" t="s">
        <v>42</v>
      </c>
      <c r="J50" s="12" t="s">
        <v>43</v>
      </c>
      <c r="K50" s="12" t="s">
        <v>53</v>
      </c>
      <c r="L50" s="12" t="s">
        <v>44</v>
      </c>
      <c r="M50" s="30">
        <v>45712</v>
      </c>
      <c r="N50" s="14">
        <f>IF(M50="",                                                                                                                                                                                                  "",
   WORKDAY(
      M50,
      IF(I50="S-Special",                                                                                                                                                                                                   45,
         IF(OR(I50="O-General",                                                                                                                                                                                                   I50="S-General"),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0" s="30">
        <v>45847</v>
      </c>
      <c r="P50" s="13">
        <f ca="1">IF(M50="",                                                                                                                                                                                                   "",
   NETWORKDAYS(
      M50,
      IF(O50&lt;&gt;"",                                                                                                                                                                                                   O50,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50" s="13" t="str">
        <f ca="1">IF(P50="",                                                                                                                                                                                                   "",
   IF(OR(I50="O-General",                                                                                                                                                                                                   I50="S-General"),
      IF(P50&lt;=30,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IF(I50="S-Special",
         IF(P50&lt;=45,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50" s="13"/>
      <c r="S50" s="12"/>
      <c r="T50" s="12"/>
      <c r="U50" s="12"/>
      <c r="V50" s="12"/>
      <c r="W50" s="10"/>
      <c r="X50" s="12"/>
      <c r="Y50" s="12"/>
      <c r="Z50" s="32" t="s">
        <v>73</v>
      </c>
      <c r="AA50" s="12"/>
      <c r="AB50" s="12"/>
      <c r="AC50" s="12"/>
      <c r="AD50" s="12"/>
      <c r="AE50" s="12"/>
      <c r="AF50" s="12"/>
      <c r="AG50" s="12"/>
      <c r="AH50" s="12"/>
      <c r="AI50" s="15"/>
      <c r="AJ50" s="8"/>
    </row>
    <row r="51" spans="1:36" s="9" customFormat="1" ht="41.45" hidden="1" customHeight="1">
      <c r="A51" s="51">
        <v>2025</v>
      </c>
      <c r="B51" s="22" t="str">
        <f>IF(M51="",   "",   TEXT(M51,   "[$-en-US]mmm"))</f>
        <v>Feb</v>
      </c>
      <c r="C51" s="22" t="s">
        <v>36</v>
      </c>
      <c r="D51" s="22" t="s">
        <v>202</v>
      </c>
      <c r="E51" s="13" t="s">
        <v>202</v>
      </c>
      <c r="F51" s="13" t="s">
        <v>39</v>
      </c>
      <c r="G51" s="13" t="s">
        <v>203</v>
      </c>
      <c r="H51" s="13" t="s">
        <v>204</v>
      </c>
      <c r="I51" s="12" t="s">
        <v>42</v>
      </c>
      <c r="J51" s="12" t="s">
        <v>43</v>
      </c>
      <c r="K51" s="12" t="s">
        <v>53</v>
      </c>
      <c r="L51" s="12" t="s">
        <v>44</v>
      </c>
      <c r="M51" s="30">
        <v>45712</v>
      </c>
      <c r="N51" s="14">
        <f>IF(M51="",                                                                                                                                                                                                  "",
   WORKDAY(
      M51,
      IF(I51="S-Special",                                                                                                                                                                                                   45,
         IF(OR(I51="O-General",                                                                                                                                                                                                   I51="S-General"),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1" s="30">
        <v>45742</v>
      </c>
      <c r="P51" s="13">
        <f ca="1">IF(M51="",                                                                                                                                                                                                   "",
   NETWORKDAYS(
      M51,
      IF(O51&lt;&gt;"",                                                                                                                                                                                                   O51,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51" s="13" t="str">
        <f ca="1">IF(P51="",                                                                                                                                                                                                   "",
   IF(OR(I51="O-General",                                                                                                                                                                                                   I51="S-General"),
      IF(P51&lt;=30,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IF(I51="S-Special",
         IF(P51&lt;=45,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1" s="13"/>
      <c r="S51" s="12"/>
      <c r="T51" s="12"/>
      <c r="U51" s="12"/>
      <c r="V51" s="12"/>
      <c r="W51" s="10"/>
      <c r="X51" s="12"/>
      <c r="Y51" s="12"/>
      <c r="Z51" s="32" t="s">
        <v>54</v>
      </c>
      <c r="AA51" s="12"/>
      <c r="AB51" s="12"/>
      <c r="AC51" s="12"/>
      <c r="AD51" s="12"/>
      <c r="AE51" s="12"/>
      <c r="AF51" s="12"/>
      <c r="AG51" s="12"/>
      <c r="AH51" s="12"/>
      <c r="AI51" s="15"/>
      <c r="AJ51" s="8"/>
    </row>
    <row r="52" spans="1:36" s="9" customFormat="1" ht="41.45" hidden="1" customHeight="1">
      <c r="A52" s="51">
        <v>2025</v>
      </c>
      <c r="B52" s="22" t="str">
        <f>IF(M52="",   "",   TEXT(M52,   "[$-en-US]mmm"))</f>
        <v>Feb</v>
      </c>
      <c r="C52" s="22" t="s">
        <v>36</v>
      </c>
      <c r="D52" s="22" t="s">
        <v>205</v>
      </c>
      <c r="E52" s="13" t="s">
        <v>206</v>
      </c>
      <c r="F52" s="13" t="s">
        <v>62</v>
      </c>
      <c r="G52" s="13" t="s">
        <v>95</v>
      </c>
      <c r="H52" s="13" t="s">
        <v>207</v>
      </c>
      <c r="I52" s="12" t="s">
        <v>83</v>
      </c>
      <c r="J52" s="12" t="s">
        <v>43</v>
      </c>
      <c r="K52" s="12" t="s">
        <v>53</v>
      </c>
      <c r="L52" s="12" t="s">
        <v>44</v>
      </c>
      <c r="M52" s="30">
        <v>45712</v>
      </c>
      <c r="N52" s="14">
        <f>IF(M52="",                                                                                                                                                                                                  "",
   WORKDAY(
      M52,
      IF(I52="S-Special",                                                                                                                                                                                                   45,
         IF(OR(I52="O-General",                                                                                                                                                                                                   I52="S-General"),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2" s="30">
        <v>45714</v>
      </c>
      <c r="P52" s="13">
        <f ca="1">IF(M52="",                                                                                                                                                                                                   "",
   NETWORKDAYS(
      M52,
      IF(O52&lt;&gt;"",                                                                                                                                                                                                   O52,                                                                                                                                                                                                   TODAY()),
      Dropdown!$A$2:$A$100
   )
)</f>
        <v>3</v>
      </c>
      <c r="Q52" s="13" t="str">
        <f ca="1">IF(P52="",                                                                                                                                                                                                   "",
   IF(OR(I52="O-General",                                                                                                                                                                                                   I52="S-General"),
      IF(P52&lt;=30,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IF(I52="S-Special",
         IF(P52&lt;=45,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2" s="13"/>
      <c r="S52" s="12"/>
      <c r="T52" s="12"/>
      <c r="U52" s="12"/>
      <c r="V52" s="12"/>
      <c r="W52" s="10"/>
      <c r="X52" s="12"/>
      <c r="Y52" s="12"/>
      <c r="Z52" s="32" t="s">
        <v>73</v>
      </c>
      <c r="AA52" s="12"/>
      <c r="AB52" s="12"/>
      <c r="AC52" s="12"/>
      <c r="AD52" s="12"/>
      <c r="AE52" s="12"/>
      <c r="AF52" s="12"/>
      <c r="AG52" s="12"/>
      <c r="AH52" s="12"/>
      <c r="AI52" s="15"/>
      <c r="AJ52" s="8"/>
    </row>
    <row r="53" spans="1:36" s="9" customFormat="1" ht="41.45" hidden="1" customHeight="1">
      <c r="A53" s="51">
        <v>2025</v>
      </c>
      <c r="B53" s="22" t="str">
        <f>IF(M53="",   "",   TEXT(M53,   "[$-en-US]mmm"))</f>
        <v>Feb</v>
      </c>
      <c r="C53" s="22" t="s">
        <v>36</v>
      </c>
      <c r="D53" s="22" t="s">
        <v>208</v>
      </c>
      <c r="E53" s="13" t="s">
        <v>208</v>
      </c>
      <c r="F53" s="13" t="s">
        <v>209</v>
      </c>
      <c r="G53" s="13" t="s">
        <v>210</v>
      </c>
      <c r="H53" s="13" t="s">
        <v>211</v>
      </c>
      <c r="I53" s="12" t="s">
        <v>83</v>
      </c>
      <c r="J53" s="12" t="s">
        <v>84</v>
      </c>
      <c r="K53" s="12" t="s">
        <v>53</v>
      </c>
      <c r="L53" s="12" t="s">
        <v>85</v>
      </c>
      <c r="M53" s="30">
        <v>45712</v>
      </c>
      <c r="N53" s="14">
        <f>IF(M53="",                                                                                                                                                                                                  "",
   WORKDAY(
      M53,
      IF(I53="S-Special",                                                                                                                                                                                                   45,
         IF(OR(I53="O-General",                                                                                                                                                                                                   I53="S-General"),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3" s="30">
        <v>45723</v>
      </c>
      <c r="P53" s="13">
        <f ca="1">IF(M53="",                                                                                                                                                                                                   "",
   NETWORKDAYS(
      M53,
      IF(O53&lt;&gt;"",                                                                                                                                                                                                   O53,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53" s="13" t="str">
        <f ca="1">IF(P53="",                                                                                                                                                                                                   "",
   IF(OR(I53="O-General",                                                                                                                                                                                                   I53="S-General"),
      IF(P53&lt;=30,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IF(I53="S-Special",
         IF(P53&lt;=45,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3" s="13"/>
      <c r="S53" s="12"/>
      <c r="T53" s="12"/>
      <c r="U53" s="12"/>
      <c r="V53" s="12"/>
      <c r="W53" s="10"/>
      <c r="X53" s="12"/>
      <c r="Y53" s="12"/>
      <c r="Z53" s="32" t="s">
        <v>73</v>
      </c>
      <c r="AA53" s="12"/>
      <c r="AB53" s="12"/>
      <c r="AC53" s="12"/>
      <c r="AD53" s="12"/>
      <c r="AE53" s="12"/>
      <c r="AF53" s="12"/>
      <c r="AG53" s="12"/>
      <c r="AH53" s="12"/>
      <c r="AI53" s="15"/>
      <c r="AJ53" s="8"/>
    </row>
    <row r="54" spans="1:36" s="9" customFormat="1" ht="41.45" hidden="1" customHeight="1">
      <c r="A54" s="51">
        <v>2025</v>
      </c>
      <c r="B54" s="22" t="str">
        <f>IF(M54="",   "",   TEXT(M54,   "[$-en-US]mmm"))</f>
        <v>Mar</v>
      </c>
      <c r="C54" s="22" t="s">
        <v>46</v>
      </c>
      <c r="D54" s="22" t="s">
        <v>47</v>
      </c>
      <c r="E54" s="13" t="s">
        <v>127</v>
      </c>
      <c r="F54" s="13" t="s">
        <v>128</v>
      </c>
      <c r="G54" s="13" t="s">
        <v>129</v>
      </c>
      <c r="H54" s="13" t="s">
        <v>212</v>
      </c>
      <c r="I54" s="12" t="s">
        <v>42</v>
      </c>
      <c r="J54" s="12" t="s">
        <v>43</v>
      </c>
      <c r="K54" s="12" t="s">
        <v>53</v>
      </c>
      <c r="L54" s="12" t="s">
        <v>44</v>
      </c>
      <c r="M54" s="30">
        <v>45733</v>
      </c>
      <c r="N54" s="14">
        <f>IF(M54="",                                                                                                                                                                                                  "",
   WORKDAY(
      M54,
      IF(I54="S-Special",                                                                                                                                                                                                   45,
         IF(OR(I54="O-General",                                                                                                                                                                                                   I54="S-General"),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4" s="30">
        <v>45769</v>
      </c>
      <c r="P54" s="13">
        <f ca="1">IF(M54="",                                                                                                                                                                                                   "",
   NETWORKDAYS(
      M54,
      IF(O54&lt;&gt;"",                                                                                                                                                                                                   O54,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4" s="13" t="str">
        <f ca="1">IF(P54="",                                                                                                                                                                                                   "",
   IF(OR(I54="O-General",                                                                                                                                                                                                   I54="S-General"),
      IF(P54&lt;=30,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IF(I54="S-Special",
         IF(P54&lt;=45,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4" s="13"/>
      <c r="S54" s="12"/>
      <c r="T54" s="12"/>
      <c r="U54" s="12"/>
      <c r="V54" s="12"/>
      <c r="W54" s="10"/>
      <c r="X54" s="12"/>
      <c r="Y54" s="12"/>
      <c r="Z54" s="32" t="s">
        <v>173</v>
      </c>
      <c r="AA54" s="12"/>
      <c r="AB54" s="12"/>
      <c r="AC54" s="12"/>
      <c r="AD54" s="12"/>
      <c r="AE54" s="12"/>
      <c r="AF54" s="12"/>
      <c r="AG54" s="12"/>
      <c r="AH54" s="12"/>
      <c r="AI54" s="15"/>
      <c r="AJ54" s="8"/>
    </row>
    <row r="55" spans="1:36" s="9" customFormat="1" ht="41.45" hidden="1" customHeight="1">
      <c r="A55" s="51">
        <v>2025</v>
      </c>
      <c r="B55" s="22" t="str">
        <f>IF(M55="",   "",   TEXT(M55,   "[$-en-US]mmm"))</f>
        <v>Mar</v>
      </c>
      <c r="C55" s="22" t="s">
        <v>46</v>
      </c>
      <c r="D55" s="22" t="s">
        <v>47</v>
      </c>
      <c r="E55" s="13" t="s">
        <v>130</v>
      </c>
      <c r="F55" s="13" t="s">
        <v>128</v>
      </c>
      <c r="G55" s="13" t="s">
        <v>213</v>
      </c>
      <c r="H55" s="13" t="s">
        <v>214</v>
      </c>
      <c r="I55" s="12" t="s">
        <v>42</v>
      </c>
      <c r="J55" s="12" t="s">
        <v>43</v>
      </c>
      <c r="K55" s="12" t="s">
        <v>115</v>
      </c>
      <c r="L55" s="12" t="s">
        <v>44</v>
      </c>
      <c r="M55" s="30">
        <v>45733</v>
      </c>
      <c r="N55" s="14">
        <f>IF(M55="",                                                                                                                                                                                                  "",
   WORKDAY(
      M55,
      IF(I55="S-Special",                                                                                                                                                                                                   45,
         IF(OR(I55="O-General",                                                                                                                                                                                                   I55="S-General"),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5" s="30">
        <v>45769</v>
      </c>
      <c r="P55" s="13">
        <f ca="1">IF(M55="",                                                                                                                                                                                                   "",
   NETWORKDAYS(
      M55,
      IF(O55&lt;&gt;"",                                                                                                                                                                                                   O55,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5" s="13" t="str">
        <f ca="1">IF(P55="",                                                                                                                                                                                                   "",
   IF(OR(I55="O-General",                                                                                                                                                                                                   I55="S-General"),
      IF(P55&lt;=30,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IF(I55="S-Special",
         IF(P55&lt;=45,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5" s="13"/>
      <c r="S55" s="12"/>
      <c r="T55" s="12"/>
      <c r="U55" s="12"/>
      <c r="V55" s="12"/>
      <c r="W55" s="10"/>
      <c r="X55" s="12"/>
      <c r="Y55" s="12"/>
      <c r="Z55" s="32" t="s">
        <v>173</v>
      </c>
      <c r="AA55" s="12"/>
      <c r="AB55" s="12"/>
      <c r="AC55" s="12"/>
      <c r="AD55" s="12"/>
      <c r="AE55" s="12"/>
      <c r="AF55" s="12"/>
      <c r="AG55" s="12"/>
      <c r="AH55" s="12"/>
      <c r="AI55" s="15"/>
      <c r="AJ55" s="8"/>
    </row>
    <row r="56" spans="1:36" s="9" customFormat="1" ht="41.45" hidden="1" customHeight="1">
      <c r="A56" s="51">
        <v>2025</v>
      </c>
      <c r="B56" s="22" t="str">
        <f>IF(M56="",   "",   TEXT(M56,   "[$-en-US]mmm"))</f>
        <v>Mar</v>
      </c>
      <c r="C56" s="22" t="s">
        <v>36</v>
      </c>
      <c r="D56" s="22" t="s">
        <v>215</v>
      </c>
      <c r="E56" s="13" t="s">
        <v>139</v>
      </c>
      <c r="F56" s="13" t="s">
        <v>62</v>
      </c>
      <c r="G56" s="13" t="s">
        <v>105</v>
      </c>
      <c r="H56" s="13"/>
      <c r="I56" s="12" t="s">
        <v>42</v>
      </c>
      <c r="J56" s="12" t="s">
        <v>43</v>
      </c>
      <c r="K56" s="12"/>
      <c r="L56" s="12" t="s">
        <v>44</v>
      </c>
      <c r="M56" s="30">
        <v>45740</v>
      </c>
      <c r="N56" s="14">
        <f>IF(M56="",                                                                                                                                                                                                  "",
   WORKDAY(
      M56,
      IF(I56="S-Special",                                                                                                                                                                                                   45,
         IF(OR(I56="O-General",                                                                                                                                                                                                   I56="S-General"),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45782</v>
      </c>
      <c r="O56" s="30">
        <v>45778</v>
      </c>
      <c r="P56" s="13">
        <f ca="1">IF(M56="",                                                                                                                                                                                                   "",
   NETWORKDAYS(
      M56,
      IF(O56&lt;&gt;"",                                                                                                                                                                                                   O56,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56" s="13" t="str">
        <f ca="1">IF(P56="",                                                                                                                                                                                                   "",
   IF(OR(I56="O-General",                                                                                                                                                                                                   I56="S-General"),
      IF(P56&lt;=30,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IF(I56="S-Special",
         IF(P56&lt;=45,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6" s="13"/>
      <c r="S56" s="12"/>
      <c r="T56" s="12"/>
      <c r="U56" s="12"/>
      <c r="V56" s="12"/>
      <c r="W56" s="10"/>
      <c r="X56" s="12"/>
      <c r="Y56" s="12"/>
      <c r="Z56" s="32" t="s">
        <v>216</v>
      </c>
      <c r="AA56" s="12"/>
      <c r="AB56" s="12"/>
      <c r="AC56" s="12"/>
      <c r="AD56" s="12"/>
      <c r="AE56" s="12"/>
      <c r="AF56" s="12"/>
      <c r="AG56" s="12"/>
      <c r="AH56" s="12"/>
      <c r="AI56" s="15"/>
      <c r="AJ56" s="8"/>
    </row>
    <row r="57" spans="1:36" s="9" customFormat="1" ht="41.45" hidden="1" customHeight="1">
      <c r="A57" s="51">
        <v>2025</v>
      </c>
      <c r="B57" s="22" t="str">
        <f>IF(M57="",   "",   TEXT(M57,   "[$-en-US]mmm"))</f>
        <v>Mar</v>
      </c>
      <c r="C57" s="22" t="s">
        <v>36</v>
      </c>
      <c r="D57" s="22" t="s">
        <v>196</v>
      </c>
      <c r="E57" s="13" t="s">
        <v>196</v>
      </c>
      <c r="F57" s="13" t="s">
        <v>80</v>
      </c>
      <c r="G57" s="13" t="s">
        <v>81</v>
      </c>
      <c r="H57" s="13" t="s">
        <v>217</v>
      </c>
      <c r="I57" s="12" t="s">
        <v>83</v>
      </c>
      <c r="J57" s="12" t="s">
        <v>84</v>
      </c>
      <c r="K57" s="12" t="s">
        <v>115</v>
      </c>
      <c r="L57" s="12" t="s">
        <v>85</v>
      </c>
      <c r="M57" s="30">
        <v>45734</v>
      </c>
      <c r="N57" s="14">
        <f>IF(M57="",                                                                                                                                                                                                  "",
   WORKDAY(
      M57,
      IF(I57="S-Special",                                                                                                                                                                                                   45,
         IF(OR(I57="O-General",                                                                                                                                                                                                   I57="S-General"),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45776</v>
      </c>
      <c r="O57" s="30">
        <v>45755</v>
      </c>
      <c r="P57" s="13">
        <f ca="1">IF(M57="",                                                                                                                                                                                                   "",
   NETWORKDAYS(
      M57,
      IF(O57&lt;&gt;"",                                                                                                                                                                                                   O57,                                                                                                                                                                                                   TODAY()),
      Dropdown!$A$2:$A$100
   )
)</f>
        <v>16</v>
      </c>
      <c r="Q57" s="13" t="str">
        <f ca="1">IF(P57="",                                                                                                                                                                                                   "",
   IF(OR(I57="O-General",                                                                                                                                                                                                   I57="S-General"),
      IF(P57&lt;=30,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IF(I57="S-Special",
         IF(P57&lt;=45,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7" s="13"/>
      <c r="S57" s="12"/>
      <c r="T57" s="12"/>
      <c r="U57" s="12"/>
      <c r="V57" s="12"/>
      <c r="W57" s="10"/>
      <c r="X57" s="12"/>
      <c r="Y57" s="12"/>
      <c r="Z57" s="32"/>
      <c r="AA57" s="12"/>
      <c r="AB57" s="12"/>
      <c r="AC57" s="12"/>
      <c r="AD57" s="12"/>
      <c r="AE57" s="12"/>
      <c r="AF57" s="12"/>
      <c r="AG57" s="12"/>
      <c r="AH57" s="12"/>
      <c r="AI57" s="15"/>
      <c r="AJ57" s="8"/>
    </row>
    <row r="58" spans="1:36" s="9" customFormat="1" ht="41.45" hidden="1" customHeight="1">
      <c r="A58" s="51">
        <v>2025</v>
      </c>
      <c r="B58" s="22" t="str">
        <f>IF(M58="",   "",   TEXT(M58,   "[$-en-US]mmm"))</f>
        <v>Mar</v>
      </c>
      <c r="C58" s="22" t="s">
        <v>36</v>
      </c>
      <c r="D58" s="22" t="s">
        <v>196</v>
      </c>
      <c r="E58" s="13" t="s">
        <v>196</v>
      </c>
      <c r="F58" s="13" t="s">
        <v>80</v>
      </c>
      <c r="G58" s="13" t="s">
        <v>218</v>
      </c>
      <c r="H58" s="13" t="s">
        <v>219</v>
      </c>
      <c r="I58" s="12" t="s">
        <v>83</v>
      </c>
      <c r="J58" s="12" t="s">
        <v>43</v>
      </c>
      <c r="K58" s="12" t="s">
        <v>115</v>
      </c>
      <c r="L58" s="12" t="s">
        <v>44</v>
      </c>
      <c r="M58" s="30">
        <v>45735</v>
      </c>
      <c r="N58" s="14">
        <f>IF(M58="",                                                                                                                                                                                                  "",
   WORKDAY(
      M58,
      IF(I58="S-Special",                                                                                                                                                                                                   45,
         IF(OR(I58="O-General",                                                                                                                                                                                                   I58="S-General"),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45777</v>
      </c>
      <c r="O58" s="30">
        <v>45755</v>
      </c>
      <c r="P58" s="13">
        <f ca="1">IF(M58="",                                                                                                                                                                                                   "",
   NETWORKDAYS(
      M58,
      IF(O58&lt;&gt;"",                                                                                                                                                                                                   O58,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58" s="13" t="str">
        <f ca="1">IF(P58="",                                                                                                                                                                                                   "",
   IF(OR(I58="O-General",                                                                                                                                                                                                   I58="S-General"),
      IF(P58&lt;=30,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IF(I58="S-Special",
         IF(P58&lt;=45,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58" s="13"/>
      <c r="S58" s="12"/>
      <c r="T58" s="12"/>
      <c r="U58" s="12"/>
      <c r="V58" s="12"/>
      <c r="W58" s="10"/>
      <c r="X58" s="12"/>
      <c r="Y58" s="12"/>
      <c r="Z58" s="33" t="s">
        <v>220</v>
      </c>
      <c r="AA58" s="12"/>
      <c r="AB58" s="12"/>
      <c r="AC58" s="12"/>
      <c r="AD58" s="12"/>
      <c r="AE58" s="12"/>
      <c r="AF58" s="12"/>
      <c r="AG58" s="12"/>
      <c r="AH58" s="12"/>
      <c r="AI58" s="15"/>
      <c r="AJ58" s="8"/>
    </row>
    <row r="59" spans="1:36" s="9" customFormat="1" ht="41.45" hidden="1" customHeight="1">
      <c r="A59" s="51">
        <v>2025</v>
      </c>
      <c r="B59" s="22" t="str">
        <f>IF(M59="",   "",   TEXT(M59,   "[$-en-US]mmm"))</f>
        <v>Mar</v>
      </c>
      <c r="C59" s="22" t="s">
        <v>36</v>
      </c>
      <c r="D59" s="22" t="s">
        <v>110</v>
      </c>
      <c r="E59" s="13" t="s">
        <v>110</v>
      </c>
      <c r="F59" s="13" t="s">
        <v>112</v>
      </c>
      <c r="G59" s="13" t="s">
        <v>113</v>
      </c>
      <c r="H59" s="13" t="s">
        <v>221</v>
      </c>
      <c r="I59" s="12" t="s">
        <v>52</v>
      </c>
      <c r="J59" s="12" t="s">
        <v>43</v>
      </c>
      <c r="K59" s="12" t="s">
        <v>53</v>
      </c>
      <c r="L59" s="12" t="s">
        <v>44</v>
      </c>
      <c r="M59" s="30">
        <v>45733</v>
      </c>
      <c r="N59" s="14">
        <f>IF(M59="",                                                                                                                                                                                                  "",
   WORKDAY(
      M59,
      IF(I59="S-Special",                                                                                                                                                                                                   45,
         IF(OR(I59="O-General",                                                                                                                                                                                                   I59="S-General"),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45796</v>
      </c>
      <c r="O59" s="30">
        <v>45960</v>
      </c>
      <c r="P59" s="13">
        <f ca="1">IF(M59="",                                                                                                                                                                                                   "",
   NETWORKDAYS(
      M59,
      IF(O59&lt;&gt;"",                                                                                                                                                                                                   O59,                                                                                                                                                                                                   TODAY()),
      Dropdown!$A$2:$A$100
   )
)</f>
        <v>164</v>
      </c>
      <c r="Q59" s="13" t="str">
        <f ca="1">IF(P59="",                                                                                                                                                                                                   "",
   IF(OR(I59="O-General",                                                                                                                                                                                                   I59="S-General"),
      IF(P59&lt;=30,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IF(I59="S-Special",
         IF(P59&lt;=45,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59" s="13"/>
      <c r="S59" s="12"/>
      <c r="T59" s="12"/>
      <c r="U59" s="12"/>
      <c r="V59" s="12"/>
      <c r="W59" s="10">
        <v>45977</v>
      </c>
      <c r="X59" s="12"/>
      <c r="Y59" s="8"/>
      <c r="Z59" s="34" t="s">
        <v>216</v>
      </c>
      <c r="AA59" s="26"/>
      <c r="AB59" s="12"/>
      <c r="AC59" s="12"/>
      <c r="AD59" s="12"/>
      <c r="AE59" s="12"/>
      <c r="AF59" s="12"/>
      <c r="AG59" s="12"/>
      <c r="AH59" s="12"/>
      <c r="AI59" s="15"/>
      <c r="AJ59" s="8"/>
    </row>
    <row r="60" spans="1:36" s="9" customFormat="1" ht="41.45" hidden="1" customHeight="1">
      <c r="A60" s="51">
        <v>2025</v>
      </c>
      <c r="B60" s="22" t="str">
        <f>IF(M60="",   "",   TEXT(M60,   "[$-en-US]mmm"))</f>
        <v>Mar</v>
      </c>
      <c r="C60" s="22" t="s">
        <v>36</v>
      </c>
      <c r="D60" s="22" t="s">
        <v>163</v>
      </c>
      <c r="E60" s="13" t="s">
        <v>222</v>
      </c>
      <c r="F60" s="13" t="s">
        <v>88</v>
      </c>
      <c r="G60" s="13" t="s">
        <v>100</v>
      </c>
      <c r="H60" s="13" t="s">
        <v>223</v>
      </c>
      <c r="I60" s="12" t="s">
        <v>83</v>
      </c>
      <c r="J60" s="12" t="s">
        <v>43</v>
      </c>
      <c r="K60" s="12" t="s">
        <v>53</v>
      </c>
      <c r="L60" s="12" t="s">
        <v>44</v>
      </c>
      <c r="M60" s="30">
        <v>45733</v>
      </c>
      <c r="N60" s="14">
        <f>IF(M60="",                                                                                                                                                                                                  "",
   WORKDAY(
      M60,
      IF(I60="S-Special",                                                                                                                                                                                                   45,
         IF(OR(I60="O-General",                                                                                                                                                                                                   I60="S-General"),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60" s="30">
        <v>45814</v>
      </c>
      <c r="P60" s="13">
        <f ca="1">IF(M60="",                                                                                                                                                                                                   "",
   NETWORKDAYS(
      M60,
      IF(O60&lt;&gt;"",                                                                                                                                                                                                   O60,                                                                                                                                                                                                   TODAY()),
      Dropdown!$A$2:$A$100
   )
)</f>
        <v>60</v>
      </c>
      <c r="Q60" s="13" t="str">
        <f ca="1">IF(P60="",                                                                                                                                                                                                   "",
   IF(OR(I60="O-General",                                                                                                                                                                                                   I60="S-General"),
      IF(P60&lt;=30,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IF(I60="S-Special",
         IF(P60&lt;=45,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0" s="13"/>
      <c r="S60" s="12"/>
      <c r="T60" s="12"/>
      <c r="U60" s="12"/>
      <c r="V60" s="12"/>
      <c r="W60" s="10">
        <v>45854</v>
      </c>
      <c r="X60" s="12"/>
      <c r="Y60" s="8"/>
      <c r="Z60" s="34" t="s">
        <v>216</v>
      </c>
      <c r="AA60" s="26"/>
      <c r="AB60" s="12"/>
      <c r="AC60" s="12"/>
      <c r="AD60" s="12"/>
      <c r="AE60" s="12"/>
      <c r="AF60" s="12"/>
      <c r="AG60" s="12"/>
      <c r="AH60" s="12"/>
      <c r="AI60" s="15"/>
      <c r="AJ60" s="8"/>
    </row>
    <row r="61" spans="1:36" s="9" customFormat="1" ht="41.45" hidden="1" customHeight="1">
      <c r="A61" s="51">
        <v>2025</v>
      </c>
      <c r="B61" s="22" t="str">
        <f>IF(M61="",   "",   TEXT(M61,   "[$-en-US]mmm"))</f>
        <v>Apr</v>
      </c>
      <c r="C61" s="22" t="s">
        <v>46</v>
      </c>
      <c r="D61" s="22" t="s">
        <v>47</v>
      </c>
      <c r="E61" s="13" t="s">
        <v>224</v>
      </c>
      <c r="F61" s="13" t="s">
        <v>128</v>
      </c>
      <c r="G61" s="13" t="s">
        <v>225</v>
      </c>
      <c r="H61" s="13" t="s">
        <v>226</v>
      </c>
      <c r="I61" s="12" t="s">
        <v>42</v>
      </c>
      <c r="J61" s="12" t="s">
        <v>43</v>
      </c>
      <c r="K61" s="12" t="s">
        <v>53</v>
      </c>
      <c r="L61" s="12" t="s">
        <v>44</v>
      </c>
      <c r="M61" s="30">
        <v>45771</v>
      </c>
      <c r="N61" s="14">
        <f>IF(M61="",                                                                                                                                                                                                  "",
   WORKDAY(
      M61,
      IF(I61="S-Special",                                                                                                                                                                                                   45,
         IF(OR(I61="O-General",                                                                                                                                                                                                   I61="S-General"),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1" s="30">
        <v>45840</v>
      </c>
      <c r="P61" s="13">
        <f ca="1">IF(M61="",                                                                                                                                                                                                   "",
   NETWORKDAYS(
      M61,
      IF(O61&lt;&gt;"",                                                                                                                                                                                                   O61,                                                                                                                                                                                                   TODAY()),
      Dropdown!$A$2:$A$100
   )
)</f>
        <v>50</v>
      </c>
      <c r="Q61" s="13" t="str">
        <f ca="1">IF(P61="",                                                                                                                                                                                                   "",
   IF(OR(I61="O-General",                                                                                                                                                                                                   I61="S-General"),
      IF(P61&lt;=30,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IF(I61="S-Special",
         IF(P61&lt;=45,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1" s="13"/>
      <c r="S61" s="12"/>
      <c r="T61" s="12"/>
      <c r="U61" s="12"/>
      <c r="V61" s="12"/>
      <c r="W61" s="10"/>
      <c r="X61" s="12"/>
      <c r="Y61" s="8"/>
      <c r="Z61" s="34" t="s">
        <v>45</v>
      </c>
      <c r="AA61" s="26"/>
      <c r="AB61" s="12"/>
      <c r="AC61" s="12"/>
      <c r="AD61" s="12"/>
      <c r="AE61" s="12"/>
      <c r="AF61" s="12"/>
      <c r="AG61" s="12"/>
      <c r="AH61" s="12"/>
      <c r="AI61" s="15"/>
      <c r="AJ61" s="8"/>
    </row>
    <row r="62" spans="1:36" s="9" customFormat="1" ht="41.45" hidden="1" customHeight="1">
      <c r="A62" s="51">
        <v>2025</v>
      </c>
      <c r="B62" s="22" t="str">
        <f>IF(M62="",   "",   TEXT(M62,   "[$-en-US]mmm"))</f>
        <v>Apr</v>
      </c>
      <c r="C62" s="22" t="s">
        <v>46</v>
      </c>
      <c r="D62" s="22" t="s">
        <v>47</v>
      </c>
      <c r="E62" s="13" t="s">
        <v>119</v>
      </c>
      <c r="F62" s="13" t="s">
        <v>120</v>
      </c>
      <c r="G62" s="13" t="s">
        <v>121</v>
      </c>
      <c r="H62" s="13" t="s">
        <v>227</v>
      </c>
      <c r="I62" s="12" t="s">
        <v>42</v>
      </c>
      <c r="J62" s="12" t="s">
        <v>43</v>
      </c>
      <c r="K62" s="12" t="s">
        <v>53</v>
      </c>
      <c r="L62" s="12" t="s">
        <v>44</v>
      </c>
      <c r="M62" s="30">
        <v>45771</v>
      </c>
      <c r="N62" s="14">
        <f>IF(M62="",                                                                                                                                                                                                  "",
   WORKDAY(
      M62,
      IF(I62="S-Special",                                                                                                                                                                                                   45,
         IF(OR(I62="O-General",                                                                                                                                                                                                   I62="S-General"),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2" s="30">
        <v>45771</v>
      </c>
      <c r="P62" s="13">
        <f ca="1">IF(M62="",                                                                                                                                                                                                   "",
   NETWORKDAYS(
      M62,
      IF(O62&lt;&gt;"",                                                                                                                                                                                                   O62,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62" s="13" t="str">
        <f ca="1">IF(P62="",                                                                                                                                                                                                   "",
   IF(OR(I62="O-General",                                                                                                                                                                                                   I62="S-General"),
      IF(P62&lt;=30,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IF(I62="S-Special",
         IF(P62&lt;=45,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62" s="13"/>
      <c r="S62" s="12"/>
      <c r="T62" s="12"/>
      <c r="U62" s="12"/>
      <c r="V62" s="12"/>
      <c r="W62" s="10"/>
      <c r="X62" s="12"/>
      <c r="Y62" s="12"/>
      <c r="Z62" s="35" t="s">
        <v>73</v>
      </c>
      <c r="AA62" s="12"/>
      <c r="AB62" s="12"/>
      <c r="AC62" s="12"/>
      <c r="AD62" s="12"/>
      <c r="AE62" s="12"/>
      <c r="AF62" s="12"/>
      <c r="AG62" s="12"/>
      <c r="AH62" s="12"/>
      <c r="AI62" s="15"/>
      <c r="AJ62" s="8"/>
    </row>
    <row r="63" spans="1:36" s="9" customFormat="1" ht="41.45" hidden="1" customHeight="1">
      <c r="A63" s="51">
        <v>2025</v>
      </c>
      <c r="B63" s="22" t="str">
        <f>IF(M63="",   "",   TEXT(M63,   "[$-en-US]mmm"))</f>
        <v>Apr</v>
      </c>
      <c r="C63" s="22" t="s">
        <v>46</v>
      </c>
      <c r="D63" s="22" t="s">
        <v>228</v>
      </c>
      <c r="E63" s="13" t="s">
        <v>228</v>
      </c>
      <c r="F63" s="13" t="s">
        <v>171</v>
      </c>
      <c r="G63" s="13" t="s">
        <v>229</v>
      </c>
      <c r="H63" s="13" t="s">
        <v>230</v>
      </c>
      <c r="I63" s="12" t="s">
        <v>42</v>
      </c>
      <c r="J63" s="12" t="s">
        <v>43</v>
      </c>
      <c r="K63" s="12" t="s">
        <v>115</v>
      </c>
      <c r="L63" s="12" t="s">
        <v>44</v>
      </c>
      <c r="M63" s="30">
        <v>45771</v>
      </c>
      <c r="N63" s="14">
        <f>IF(M63="",                                                                                                                                                                                                  "",
   WORKDAY(
      M63,
      IF(I63="S-Special",                                                                                                                                                                                                   45,
         IF(OR(I63="O-General",                                                                                                                                                                                                   I63="S-General"),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3" s="30">
        <v>45798</v>
      </c>
      <c r="P63" s="13">
        <f ca="1">IF(M63="",                                                                                                                                                                                                   "",
   NETWORKDAYS(
      M63,
      IF(O63&lt;&gt;"",                                                                                                                                                                                                   O63,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63" s="13" t="str">
        <f ca="1">IF(P63="",                                                                                                                                                                                                   "",
   IF(OR(I63="O-General",                                                                                                                                                                                                   I63="S-General"),
      IF(P63&lt;=30,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IF(I63="S-Special",
         IF(P63&lt;=45,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63" s="13"/>
      <c r="S63" s="12"/>
      <c r="T63" s="12"/>
      <c r="U63" s="12"/>
      <c r="V63" s="12"/>
      <c r="W63" s="10"/>
      <c r="X63" s="12"/>
      <c r="Y63" s="12"/>
      <c r="Z63" s="32" t="s">
        <v>54</v>
      </c>
      <c r="AA63" s="12"/>
      <c r="AB63" s="12"/>
      <c r="AC63" s="12"/>
      <c r="AD63" s="12"/>
      <c r="AE63" s="12"/>
      <c r="AF63" s="12"/>
      <c r="AG63" s="12"/>
      <c r="AH63" s="12"/>
      <c r="AI63" s="15"/>
      <c r="AJ63" s="8"/>
    </row>
    <row r="64" spans="1:36" s="9" customFormat="1" ht="41.45" hidden="1" customHeight="1">
      <c r="A64" s="51">
        <v>2025</v>
      </c>
      <c r="B64" s="22" t="str">
        <f>IF(M64="",   "",   TEXT(M64,   "[$-en-US]mmm"))</f>
        <v>Apr</v>
      </c>
      <c r="C64" s="22" t="s">
        <v>36</v>
      </c>
      <c r="D64" s="22" t="s">
        <v>231</v>
      </c>
      <c r="E64" s="13" t="s">
        <v>232</v>
      </c>
      <c r="F64" s="13" t="s">
        <v>88</v>
      </c>
      <c r="G64" s="13" t="s">
        <v>233</v>
      </c>
      <c r="H64" s="13" t="s">
        <v>234</v>
      </c>
      <c r="I64" s="12" t="s">
        <v>42</v>
      </c>
      <c r="J64" s="12" t="s">
        <v>43</v>
      </c>
      <c r="K64" s="12" t="s">
        <v>53</v>
      </c>
      <c r="L64" s="12" t="s">
        <v>44</v>
      </c>
      <c r="M64" s="30">
        <v>45771</v>
      </c>
      <c r="N64" s="14">
        <f>IF(M64="",                                                                                                                                                                                                  "",
   WORKDAY(
      M64,
      IF(I64="S-Special",                                                                                                                                                                                                   45,
         IF(OR(I64="O-General",                                                                                                                                                                                                   I64="S-General"),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4" s="30">
        <v>45814</v>
      </c>
      <c r="P64" s="13">
        <f ca="1">IF(M64="",                                                                                                                                                                                                   "",
   NETWORKDAYS(
      M64,
      IF(O64&lt;&gt;"",                                                                                                                                                                                                   O64,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64" s="13" t="str">
        <f ca="1">IF(P64="",                                                                                                                                                                                                   "",
   IF(OR(I64="O-General",                                                                                                                                                                                                   I64="S-General"),
      IF(P64&lt;=30,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IF(I64="S-Special",
         IF(P64&lt;=45,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4" s="13"/>
      <c r="S64" s="12"/>
      <c r="T64" s="12"/>
      <c r="U64" s="12"/>
      <c r="V64" s="12"/>
      <c r="W64" s="10">
        <v>45839</v>
      </c>
      <c r="X64" s="12"/>
      <c r="Y64" s="12"/>
      <c r="Z64" s="32" t="s">
        <v>73</v>
      </c>
      <c r="AA64" s="12"/>
      <c r="AB64" s="12"/>
      <c r="AC64" s="12"/>
      <c r="AD64" s="12"/>
      <c r="AE64" s="12"/>
      <c r="AF64" s="12"/>
      <c r="AG64" s="12"/>
      <c r="AH64" s="12"/>
      <c r="AI64" s="15"/>
      <c r="AJ64" s="8"/>
    </row>
    <row r="65" spans="1:36" s="9" customFormat="1" ht="41.45" hidden="1" customHeight="1">
      <c r="A65" s="51">
        <v>2025</v>
      </c>
      <c r="B65" s="22" t="str">
        <f>IF(M65="",   "",   TEXT(M65,   "[$-en-US]mmm"))</f>
        <v>Apr</v>
      </c>
      <c r="C65" s="22" t="s">
        <v>36</v>
      </c>
      <c r="D65" s="22" t="s">
        <v>235</v>
      </c>
      <c r="E65" s="13" t="s">
        <v>236</v>
      </c>
      <c r="F65" s="13" t="s">
        <v>62</v>
      </c>
      <c r="G65" s="13" t="s">
        <v>237</v>
      </c>
      <c r="H65" s="13" t="s">
        <v>223</v>
      </c>
      <c r="I65" s="12" t="s">
        <v>42</v>
      </c>
      <c r="J65" s="12" t="s">
        <v>43</v>
      </c>
      <c r="K65" s="12" t="s">
        <v>53</v>
      </c>
      <c r="L65" s="12" t="s">
        <v>44</v>
      </c>
      <c r="M65" s="30">
        <v>45771</v>
      </c>
      <c r="N65" s="14">
        <f>IF(M65="",                                                                                                                                                                                                  "",
   WORKDAY(
      M65,
      IF(I65="S-Special",                                                                                                                                                                                                   45,
         IF(OR(I65="O-General",                                                                                                                                                                                                   I65="S-General"),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5" s="30">
        <v>45905</v>
      </c>
      <c r="P65" s="13">
        <f ca="1">IF(M65="",                                                                                                                                                                                                   "",
   NETWORKDAYS(
      M65,
      IF(O65&lt;&gt;"",                                                                                                                                                                                                   O65,                                                                                                                                                                                                   TODAY()),
      Dropdown!$A$2:$A$100
   )
)</f>
        <v>97</v>
      </c>
      <c r="Q65" s="13" t="str">
        <f ca="1">IF(P65="",                                                                                                                                                                                                   "",
   IF(OR(I65="O-General",                                                                                                                                                                                                   I65="S-General"),
      IF(P65&lt;=30,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IF(I65="S-Special",
         IF(P65&lt;=45,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5" s="13"/>
      <c r="S65" s="12"/>
      <c r="T65" s="12"/>
      <c r="U65" s="12"/>
      <c r="V65" s="12"/>
      <c r="W65" s="10">
        <v>45931</v>
      </c>
      <c r="X65" s="12"/>
      <c r="Y65" s="12"/>
      <c r="Z65" s="31" t="s">
        <v>54</v>
      </c>
      <c r="AA65" s="12"/>
      <c r="AB65" s="12"/>
      <c r="AC65" s="12"/>
      <c r="AD65" s="12"/>
      <c r="AE65" s="12"/>
      <c r="AF65" s="12"/>
      <c r="AG65" s="12"/>
      <c r="AH65" s="12"/>
      <c r="AI65" s="15"/>
      <c r="AJ65" s="8"/>
    </row>
    <row r="66" spans="1:36" s="9" customFormat="1" ht="41.45" hidden="1" customHeight="1">
      <c r="A66" s="51">
        <v>2025</v>
      </c>
      <c r="B66" s="22" t="str">
        <f>IF(M66="",   "",   TEXT(M66,   "[$-en-US]mmm"))</f>
        <v>Apr</v>
      </c>
      <c r="C66" s="22" t="s">
        <v>36</v>
      </c>
      <c r="D66" s="22" t="s">
        <v>238</v>
      </c>
      <c r="E66" s="13" t="s">
        <v>238</v>
      </c>
      <c r="F66" s="13" t="s">
        <v>49</v>
      </c>
      <c r="G66" s="13" t="s">
        <v>98</v>
      </c>
      <c r="H66" s="13" t="s">
        <v>239</v>
      </c>
      <c r="I66" s="12" t="s">
        <v>52</v>
      </c>
      <c r="J66" s="12" t="s">
        <v>43</v>
      </c>
      <c r="K66" s="12" t="s">
        <v>53</v>
      </c>
      <c r="L66" s="12" t="s">
        <v>44</v>
      </c>
      <c r="M66" s="30">
        <v>45771</v>
      </c>
      <c r="N66" s="14">
        <f>IF(M66="",                                                                                                                                                                                                  "",
   WORKDAY(
      M66,
      IF(I66="S-Special",                                                                                                                                                                                                   45,
         IF(OR(I66="O-General",                                                                                                                                                                                                   I66="S-General"),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66" s="30">
        <v>45856</v>
      </c>
      <c r="P66" s="13">
        <f ca="1">IF(M66="",                                                                                                                                                                                                   "",
   NETWORKDAYS(
      M66,
      IF(O66&lt;&gt;"",                                                                                                                                                                                                   O66,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66" s="13" t="str">
        <f ca="1">IF(P66="",                                                                                                                                                                                                   "",
   IF(OR(I66="O-General",                                                                                                                                                                                                   I66="S-General"),
      IF(P66&lt;=30,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IF(I66="S-Special",
         IF(P66&lt;=45,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6" s="13"/>
      <c r="S66" s="12"/>
      <c r="T66" s="12"/>
      <c r="U66" s="12"/>
      <c r="V66" s="12"/>
      <c r="W66" s="10">
        <v>45870</v>
      </c>
      <c r="X66" s="12"/>
      <c r="Y66" s="12"/>
      <c r="Z66" s="32" t="s">
        <v>54</v>
      </c>
      <c r="AA66" s="12"/>
      <c r="AB66" s="12"/>
      <c r="AC66" s="12"/>
      <c r="AD66" s="12"/>
      <c r="AE66" s="12"/>
      <c r="AF66" s="12"/>
      <c r="AG66" s="12"/>
      <c r="AH66" s="12"/>
      <c r="AI66" s="15"/>
      <c r="AJ66" s="8"/>
    </row>
    <row r="67" spans="1:36" s="9" customFormat="1" ht="41.45" hidden="1" customHeight="1">
      <c r="A67" s="51">
        <v>2025</v>
      </c>
      <c r="B67" s="22" t="str">
        <f>IF(M67="",   "",   TEXT(M67,   "[$-en-US]mmm"))</f>
        <v>Apr</v>
      </c>
      <c r="C67" s="22" t="s">
        <v>36</v>
      </c>
      <c r="D67" s="22" t="s">
        <v>240</v>
      </c>
      <c r="E67" s="13" t="s">
        <v>241</v>
      </c>
      <c r="F67" s="13" t="s">
        <v>88</v>
      </c>
      <c r="G67" s="13" t="s">
        <v>100</v>
      </c>
      <c r="H67" s="13" t="s">
        <v>223</v>
      </c>
      <c r="I67" s="12" t="s">
        <v>83</v>
      </c>
      <c r="J67" s="12" t="s">
        <v>43</v>
      </c>
      <c r="K67" s="12" t="s">
        <v>53</v>
      </c>
      <c r="L67" s="12" t="s">
        <v>44</v>
      </c>
      <c r="M67" s="30">
        <v>45771</v>
      </c>
      <c r="N67" s="14">
        <f>IF(M67="",                                                                                                                                                                                                  "",
   WORKDAY(
      M67,
      IF(I67="S-Special",                                                                                                                                                                                                   45,
         IF(OR(I67="O-General",                                                                                                                                                                                                   I67="S-General"),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7" s="30">
        <v>45842</v>
      </c>
      <c r="P67" s="13">
        <f ca="1">IF(M67="",                                                                                                                                                                                                   "",
   NETWORKDAYS(
      M67,
      IF(O67&lt;&gt;"",                                                                                                                                                                                                   O67,                                                                                                                                                                                                   TODAY()),
      Dropdown!$A$2:$A$100
   )
)</f>
        <v>52</v>
      </c>
      <c r="Q67" s="13" t="str">
        <f ca="1">IF(P67="",                                                                                                                                                                                                   "",
   IF(OR(I67="O-General",                                                                                                                                                                                                   I67="S-General"),
      IF(P67&lt;=30,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IF(I67="S-Special",
         IF(P67&lt;=45,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7" s="13"/>
      <c r="S67" s="12"/>
      <c r="T67" s="12"/>
      <c r="U67" s="12"/>
      <c r="V67" s="12"/>
      <c r="W67" s="10"/>
      <c r="X67" s="12"/>
      <c r="Y67" s="12"/>
      <c r="Z67" s="31" t="s">
        <v>73</v>
      </c>
      <c r="AA67" s="12"/>
      <c r="AB67" s="12"/>
      <c r="AC67" s="12"/>
      <c r="AD67" s="12"/>
      <c r="AE67" s="12"/>
      <c r="AF67" s="12"/>
      <c r="AG67" s="12"/>
      <c r="AH67" s="12"/>
      <c r="AI67" s="15"/>
      <c r="AJ67" s="8"/>
    </row>
    <row r="68" spans="1:36" s="9" customFormat="1" ht="41.45" hidden="1" customHeight="1">
      <c r="A68" s="51">
        <v>2025</v>
      </c>
      <c r="B68" s="22" t="str">
        <f>IF(M68="",   "",   TEXT(M68,   "[$-en-US]mmm"))</f>
        <v>Apr</v>
      </c>
      <c r="C68" s="22" t="s">
        <v>36</v>
      </c>
      <c r="D68" s="22" t="s">
        <v>242</v>
      </c>
      <c r="E68" s="13" t="s">
        <v>243</v>
      </c>
      <c r="F68" s="13" t="s">
        <v>62</v>
      </c>
      <c r="G68" s="13" t="s">
        <v>95</v>
      </c>
      <c r="H68" s="13" t="s">
        <v>244</v>
      </c>
      <c r="I68" s="12" t="s">
        <v>83</v>
      </c>
      <c r="J68" s="12" t="s">
        <v>43</v>
      </c>
      <c r="K68" s="12" t="s">
        <v>53</v>
      </c>
      <c r="L68" s="12" t="s">
        <v>44</v>
      </c>
      <c r="M68" s="30">
        <v>45771</v>
      </c>
      <c r="N68" s="14">
        <f>IF(M68="",                                                                                                                                                                                                  "",
   WORKDAY(
      M68,
      IF(I68="S-Special",                                                                                                                                                                                                   45,
         IF(OR(I68="O-General",                                                                                                                                                                                                   I68="S-General"),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8" s="30">
        <v>45821</v>
      </c>
      <c r="P68" s="13">
        <f ca="1">IF(M68="",                                                                                                                                                                                                   "",
   NETWORKDAYS(
      M68,
      IF(O68&lt;&gt;"",                                                                                                                                                                                                   O68,                                                                                                                                                                                                   TODAY()),
      Dropdown!$A$2:$A$100
   )
)</f>
        <v>37</v>
      </c>
      <c r="Q68" s="13" t="str">
        <f ca="1">IF(P68="",                                                                                                                                                                                                   "",
   IF(OR(I68="O-General",                                                                                                                                                                                                   I68="S-General"),
      IF(P68&lt;=30,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IF(I68="S-Special",
         IF(P68&lt;=45,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8" s="13"/>
      <c r="S68" s="12"/>
      <c r="T68" s="12"/>
      <c r="U68" s="12"/>
      <c r="V68" s="12"/>
      <c r="W68" s="10"/>
      <c r="X68" s="12"/>
      <c r="Y68" s="12"/>
      <c r="Z68" s="32" t="s">
        <v>73</v>
      </c>
      <c r="AA68" s="12"/>
      <c r="AB68" s="12"/>
      <c r="AC68" s="12"/>
      <c r="AD68" s="12"/>
      <c r="AE68" s="12"/>
      <c r="AF68" s="12"/>
      <c r="AG68" s="12"/>
      <c r="AH68" s="12"/>
      <c r="AI68" s="15"/>
      <c r="AJ68" s="8"/>
    </row>
    <row r="69" spans="1:36" s="9" customFormat="1" ht="41.45" hidden="1" customHeight="1">
      <c r="A69" s="51">
        <v>2025</v>
      </c>
      <c r="B69" s="22" t="str">
        <f>IF(M69="",   "",   TEXT(M69,   "[$-en-US]mmm"))</f>
        <v>May</v>
      </c>
      <c r="C69" s="22" t="s">
        <v>46</v>
      </c>
      <c r="D69" s="22" t="s">
        <v>167</v>
      </c>
      <c r="E69" s="13" t="s">
        <v>167</v>
      </c>
      <c r="F69" s="13" t="s">
        <v>112</v>
      </c>
      <c r="G69" s="13" t="s">
        <v>168</v>
      </c>
      <c r="H69" s="13" t="s">
        <v>169</v>
      </c>
      <c r="I69" s="12" t="s">
        <v>52</v>
      </c>
      <c r="J69" s="12" t="s">
        <v>43</v>
      </c>
      <c r="K69" s="12" t="s">
        <v>115</v>
      </c>
      <c r="L69" s="12" t="s">
        <v>44</v>
      </c>
      <c r="M69" s="30">
        <v>45792</v>
      </c>
      <c r="N69" s="14">
        <f>IF(M69="",                                                                                                                                                                                                  "",
   WORKDAY(
      M69,
      IF(I69="S-Special",                                                                                                                                                                                                   45,
         IF(OR(I69="O-General",                                                                                                                                                                                                   I69="S-General"),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69" s="30">
        <v>45797</v>
      </c>
      <c r="P69" s="13">
        <f ca="1">IF(M69="",                                                                                                                                                                                                   "",
   NETWORKDAYS(
      M69,
      IF(O69&lt;&gt;"",                                                                                                                                                                                                   O69,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69" s="13" t="str">
        <f ca="1">IF(P69="",                                                                                                                                                                                                   "",
   IF(OR(I69="O-General",                                                                                                                                                                                                   I69="S-General"),
      IF(P69&lt;=30,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IF(I69="S-Special",
         IF(P69&lt;=45,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69" s="13"/>
      <c r="S69" s="12"/>
      <c r="T69" s="12"/>
      <c r="U69" s="12"/>
      <c r="V69" s="12"/>
      <c r="W69" s="10">
        <v>45839</v>
      </c>
      <c r="X69" s="12"/>
      <c r="Y69" s="12"/>
      <c r="Z69" s="36" t="s">
        <v>54</v>
      </c>
      <c r="AA69" s="12"/>
      <c r="AB69" s="12"/>
      <c r="AC69" s="12"/>
      <c r="AD69" s="12"/>
      <c r="AE69" s="12"/>
      <c r="AF69" s="12"/>
      <c r="AG69" s="12"/>
      <c r="AH69" s="12"/>
      <c r="AI69" s="15"/>
      <c r="AJ69" s="8"/>
    </row>
    <row r="70" spans="1:36" s="9" customFormat="1" ht="41.45" hidden="1" customHeight="1">
      <c r="A70" s="51">
        <v>2025</v>
      </c>
      <c r="B70" s="22" t="str">
        <f>IF(M70="",   "",   TEXT(M70,   "[$-en-US]mmm"))</f>
        <v>May</v>
      </c>
      <c r="C70" s="22" t="s">
        <v>46</v>
      </c>
      <c r="D70" s="22" t="s">
        <v>167</v>
      </c>
      <c r="E70" s="13" t="s">
        <v>167</v>
      </c>
      <c r="F70" s="13" t="s">
        <v>112</v>
      </c>
      <c r="G70" s="13" t="s">
        <v>245</v>
      </c>
      <c r="H70" s="13" t="s">
        <v>169</v>
      </c>
      <c r="I70" s="12" t="s">
        <v>52</v>
      </c>
      <c r="J70" s="12" t="s">
        <v>84</v>
      </c>
      <c r="K70" s="12" t="s">
        <v>115</v>
      </c>
      <c r="L70" s="12" t="s">
        <v>85</v>
      </c>
      <c r="M70" s="30">
        <v>45792</v>
      </c>
      <c r="N70" s="14">
        <f>IF(M70="",                                                                                                                                                                                                  "",
   WORKDAY(
      M70,
      IF(I70="S-Special",                                                                                                                                                                                                   45,
         IF(OR(I70="O-General",                                                                                                                                                                                                   I70="S-General"),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0" s="30"/>
      <c r="P70" s="13">
        <f ca="1">IF(M70="",                                                                                                                                                                                                   "",
   NETWORKDAYS(
      M70,
      IF(O70&lt;&gt;"",                                                                                                                                                                                                   O70,                                                                                                                                                                                                   TODAY()),
      Dropdown!$A$2:$A$100
   )
)</f>
        <v>295</v>
      </c>
      <c r="Q70" s="13" t="str">
        <f ca="1">IF(P70="",                                                                                                                                                                                                   "",
   IF(OR(I70="O-General",                                                                                                                                                                                                   I70="S-General"),
      IF(P70&lt;=30,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IF(I70="S-Special",
         IF(P70&lt;=45,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0" s="13"/>
      <c r="S70" s="12"/>
      <c r="T70" s="12"/>
      <c r="U70" s="12"/>
      <c r="V70" s="12"/>
      <c r="W70" s="10" t="s">
        <v>246</v>
      </c>
      <c r="X70" s="12"/>
      <c r="Y70" s="8"/>
      <c r="Z70" s="34" t="s">
        <v>216</v>
      </c>
      <c r="AA70" s="26"/>
      <c r="AB70" s="12"/>
      <c r="AC70" s="12"/>
      <c r="AD70" s="12"/>
      <c r="AE70" s="12"/>
      <c r="AF70" s="12"/>
      <c r="AG70" s="12"/>
      <c r="AH70" s="12"/>
      <c r="AI70" s="15"/>
      <c r="AJ70" s="8"/>
    </row>
    <row r="71" spans="1:36" s="9" customFormat="1" ht="41.45" hidden="1" customHeight="1">
      <c r="A71" s="51">
        <v>2025</v>
      </c>
      <c r="B71" s="22" t="str">
        <f>IF(M71="",   "",   TEXT(M71,   "[$-en-US]mmm"))</f>
        <v>May</v>
      </c>
      <c r="C71" s="22" t="s">
        <v>36</v>
      </c>
      <c r="D71" s="22" t="s">
        <v>247</v>
      </c>
      <c r="E71" s="13" t="s">
        <v>248</v>
      </c>
      <c r="F71" s="13" t="s">
        <v>91</v>
      </c>
      <c r="G71" s="13" t="s">
        <v>157</v>
      </c>
      <c r="H71" s="13" t="s">
        <v>247</v>
      </c>
      <c r="I71" s="12" t="s">
        <v>52</v>
      </c>
      <c r="J71" s="12" t="s">
        <v>43</v>
      </c>
      <c r="K71" s="12" t="s">
        <v>115</v>
      </c>
      <c r="L71" s="12" t="s">
        <v>44</v>
      </c>
      <c r="M71" s="37">
        <v>45792</v>
      </c>
      <c r="N71" s="14">
        <f>IF(M71="",                                                                                                                                                                                                  "",
   WORKDAY(
      M71,
      IF(I71="S-Special",                                                                                                                                                                                                   45,
         IF(OR(I71="O-General",                                                                                                                                                                                                   I71="S-General"),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1" s="10">
        <v>45952</v>
      </c>
      <c r="P71" s="13">
        <f ca="1">IF(M71="",                                                                                                                                                                                                   "",
   NETWORKDAYS(
      M71,
      IF(O71&lt;&gt;"",                                                                                                                                                                                                   O71,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1" s="13" t="str">
        <f ca="1">IF(P71="",                                                                                                                                                                                                   "",
   IF(OR(I71="O-General",                                                                                                                                                                                                   I71="S-General"),
      IF(P71&lt;=30,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IF(I71="S-Special",
         IF(P71&lt;=45,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1" s="13"/>
      <c r="S71" s="12"/>
      <c r="T71" s="12"/>
      <c r="U71" s="12"/>
      <c r="V71" s="12"/>
      <c r="W71" s="44">
        <v>45977</v>
      </c>
      <c r="X71" s="12"/>
      <c r="Y71" s="8"/>
      <c r="Z71" s="12" t="s">
        <v>45</v>
      </c>
      <c r="AA71" s="26"/>
      <c r="AB71" s="12"/>
      <c r="AC71" s="12"/>
      <c r="AD71" s="12"/>
      <c r="AE71" s="12"/>
      <c r="AF71" s="12"/>
      <c r="AG71" s="12"/>
      <c r="AH71" s="12"/>
      <c r="AI71" s="15"/>
      <c r="AJ71" s="8"/>
    </row>
    <row r="72" spans="1:36" s="9" customFormat="1" ht="41.45" hidden="1" customHeight="1">
      <c r="A72" s="51">
        <v>2025</v>
      </c>
      <c r="B72" s="22" t="str">
        <f>IF(M72="",   "",   TEXT(M72,   "[$-en-US]mmm"))</f>
        <v>May</v>
      </c>
      <c r="C72" s="22" t="s">
        <v>36</v>
      </c>
      <c r="D72" s="22" t="s">
        <v>47</v>
      </c>
      <c r="E72" s="13" t="s">
        <v>249</v>
      </c>
      <c r="F72" s="13" t="s">
        <v>62</v>
      </c>
      <c r="G72" s="13" t="s">
        <v>105</v>
      </c>
      <c r="H72" s="13" t="s">
        <v>250</v>
      </c>
      <c r="I72" s="12" t="s">
        <v>42</v>
      </c>
      <c r="J72" s="12" t="s">
        <v>43</v>
      </c>
      <c r="K72" s="12" t="s">
        <v>53</v>
      </c>
      <c r="L72" s="12" t="s">
        <v>44</v>
      </c>
      <c r="M72" s="30">
        <v>45792</v>
      </c>
      <c r="N72" s="14">
        <f>IF(M72="",                                                                                                                                                                                                  "",
   WORKDAY(
      M72,
      IF(I72="S-Special",                                                                                                                                                                                                   45,
         IF(OR(I72="O-General",                                                                                                                                                                                                   I72="S-General"),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2" s="30">
        <v>45952</v>
      </c>
      <c r="P72" s="13">
        <f ca="1">IF(M72="",                                                                                                                                                                                                   "",
   NETWORKDAYS(
      M72,
      IF(O72&lt;&gt;"",                                                                                                                                                                                                   O72,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2" s="13" t="str">
        <f ca="1">IF(P72="",                                                                                                                                                                                                   "",
   IF(OR(I72="O-General",                                                                                                                                                                                                   I72="S-General"),
      IF(P72&lt;=30,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IF(I72="S-Special",
         IF(P72&lt;=45,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2" s="13"/>
      <c r="S72" s="12"/>
      <c r="T72" s="12"/>
      <c r="U72" s="12"/>
      <c r="V72" s="12"/>
      <c r="W72" s="46">
        <v>45946</v>
      </c>
      <c r="X72" s="12"/>
      <c r="Y72" s="12"/>
      <c r="Z72" s="35" t="s">
        <v>216</v>
      </c>
      <c r="AA72" s="12"/>
      <c r="AB72" s="12"/>
      <c r="AC72" s="12"/>
      <c r="AD72" s="12"/>
      <c r="AE72" s="12"/>
      <c r="AF72" s="12"/>
      <c r="AG72" s="12"/>
      <c r="AH72" s="12"/>
      <c r="AI72" s="15"/>
      <c r="AJ72" s="8"/>
    </row>
    <row r="73" spans="1:36" s="9" customFormat="1" ht="41.45" hidden="1" customHeight="1">
      <c r="A73" s="51">
        <v>2025</v>
      </c>
      <c r="B73" s="22" t="str">
        <f>IF(M73="",   "",   TEXT(M73,   "[$-en-US]mmm"))</f>
        <v>May</v>
      </c>
      <c r="C73" s="22" t="s">
        <v>36</v>
      </c>
      <c r="D73" s="22" t="s">
        <v>251</v>
      </c>
      <c r="E73" s="13" t="s">
        <v>252</v>
      </c>
      <c r="F73" s="13" t="s">
        <v>39</v>
      </c>
      <c r="G73" s="13" t="s">
        <v>253</v>
      </c>
      <c r="H73" s="13" t="s">
        <v>252</v>
      </c>
      <c r="I73" s="12" t="s">
        <v>52</v>
      </c>
      <c r="J73" s="12" t="s">
        <v>43</v>
      </c>
      <c r="K73" s="12" t="s">
        <v>53</v>
      </c>
      <c r="L73" s="12" t="s">
        <v>44</v>
      </c>
      <c r="M73" s="30">
        <v>45792</v>
      </c>
      <c r="N73" s="14">
        <f>IF(M73="",                                                                                                                                                                                                  "",
   WORKDAY(
      M73,
      IF(I73="S-Special",                                                                                                                                                                                                   45,
         IF(OR(I73="O-General",                                                                                                                                                                                                   I73="S-General"),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3" s="30">
        <v>45814</v>
      </c>
      <c r="P73" s="13">
        <f ca="1">IF(M73="",                                                                                                                                                                                                   "",
   NETWORKDAYS(
      M73,
      IF(O73&lt;&gt;"",                                                                                                                                                                                                   O73,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73" s="13" t="str">
        <f ca="1">IF(P73="",                                                                                                                                                                                                   "",
   IF(OR(I73="O-General",                                                                                                                                                                                                   I73="S-General"),
      IF(P73&lt;=30,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IF(I73="S-Special",
         IF(P73&lt;=45,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73" s="13"/>
      <c r="S73" s="12"/>
      <c r="T73" s="12"/>
      <c r="U73" s="12"/>
      <c r="V73" s="12"/>
      <c r="W73" s="43">
        <v>46038</v>
      </c>
      <c r="X73" s="12"/>
      <c r="Y73" s="12"/>
      <c r="Z73" s="36" t="s">
        <v>54</v>
      </c>
      <c r="AA73" s="12"/>
      <c r="AB73" s="12"/>
      <c r="AC73" s="12"/>
      <c r="AD73" s="12"/>
      <c r="AE73" s="12"/>
      <c r="AF73" s="12"/>
      <c r="AG73" s="12"/>
      <c r="AH73" s="12"/>
      <c r="AI73" s="15"/>
      <c r="AJ73" s="8"/>
    </row>
    <row r="74" spans="1:36" s="9" customFormat="1" ht="41.45" hidden="1" customHeight="1">
      <c r="A74" s="51">
        <v>2025</v>
      </c>
      <c r="B74" s="22" t="str">
        <f>IF(M74="",   "",   TEXT(M74,   "[$-en-US]mmm"))</f>
        <v>May</v>
      </c>
      <c r="C74" s="22" t="s">
        <v>36</v>
      </c>
      <c r="D74" s="22" t="s">
        <v>254</v>
      </c>
      <c r="E74" s="13" t="s">
        <v>254</v>
      </c>
      <c r="F74" s="13" t="s">
        <v>88</v>
      </c>
      <c r="G74" s="13" t="s">
        <v>107</v>
      </c>
      <c r="H74" s="13" t="s">
        <v>255</v>
      </c>
      <c r="I74" s="12" t="s">
        <v>42</v>
      </c>
      <c r="J74" s="12" t="s">
        <v>43</v>
      </c>
      <c r="K74" s="12" t="s">
        <v>53</v>
      </c>
      <c r="L74" s="12" t="s">
        <v>44</v>
      </c>
      <c r="M74" s="30">
        <v>45792</v>
      </c>
      <c r="N74" s="14">
        <f>IF(M74="",                                                                                                                                                                                                  "",
   WORKDAY(
      M74,
      IF(I74="S-Special",                                                                                                                                                                                                   45,
         IF(OR(I74="O-General",                                                                                                                                                                                                   I74="S-General"),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4" s="30">
        <v>45877</v>
      </c>
      <c r="P74" s="13">
        <f ca="1">IF(M74="",                                                                                                                                                                                                   "",
   NETWORKDAYS(
      M74,
      IF(O74&lt;&gt;"",                                                                                                                                                                                                   O74,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74" s="13" t="str">
        <f ca="1">IF(P74="",                                                                                                                                                                                                   "",
   IF(OR(I74="O-General",                                                                                                                                                                                                   I74="S-General"),
      IF(P74&lt;=30,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IF(I74="S-Special",
         IF(P74&lt;=45,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4" s="13"/>
      <c r="S74" s="12"/>
      <c r="T74" s="12"/>
      <c r="U74" s="12"/>
      <c r="V74" s="12"/>
      <c r="W74" s="46">
        <v>45885</v>
      </c>
      <c r="X74" s="12"/>
      <c r="Y74" s="8"/>
      <c r="Z74" s="12" t="s">
        <v>73</v>
      </c>
      <c r="AA74" s="26"/>
      <c r="AB74" s="12"/>
      <c r="AC74" s="12"/>
      <c r="AD74" s="12"/>
      <c r="AE74" s="12"/>
      <c r="AF74" s="12"/>
      <c r="AG74" s="12"/>
      <c r="AH74" s="12"/>
      <c r="AI74" s="15"/>
      <c r="AJ74" s="8"/>
    </row>
    <row r="75" spans="1:36" s="9" customFormat="1" ht="41.45" hidden="1" customHeight="1">
      <c r="A75" s="51">
        <v>2025</v>
      </c>
      <c r="B75" s="22" t="str">
        <f>IF(M75="",   "",   TEXT(M75,   "[$-en-US]mmm"))</f>
        <v>Jun</v>
      </c>
      <c r="C75" s="22" t="s">
        <v>36</v>
      </c>
      <c r="D75" s="22" t="s">
        <v>139</v>
      </c>
      <c r="E75" s="13" t="s">
        <v>139</v>
      </c>
      <c r="F75" s="13" t="s">
        <v>67</v>
      </c>
      <c r="G75" s="13" t="s">
        <v>140</v>
      </c>
      <c r="H75" s="13" t="s">
        <v>141</v>
      </c>
      <c r="I75" s="12" t="s">
        <v>42</v>
      </c>
      <c r="J75" s="12" t="s">
        <v>43</v>
      </c>
      <c r="K75" s="12" t="s">
        <v>53</v>
      </c>
      <c r="L75" s="12" t="s">
        <v>44</v>
      </c>
      <c r="M75" s="30">
        <v>45817</v>
      </c>
      <c r="N75" s="14">
        <f>IF(M75="",                                                                                                                                                                                                  "",
   WORKDAY(
      M75,
      IF(I75="S-Special",                                                                                                                                                                                                   45,
         IF(OR(I75="O-General",                                                                                                                                                                                                   I75="S-General"),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5" s="30">
        <v>45973</v>
      </c>
      <c r="P75" s="13">
        <f ca="1">IF(M75="",                                                                                                                                                                                                   "",
   NETWORKDAYS(
      M75,
      IF(O75&lt;&gt;"",                                                                                                                                                                                                   O75,                                                                                                                                                                                                   TODAY()),
      Dropdown!$A$2:$A$100
   )
)</f>
        <v>113</v>
      </c>
      <c r="Q75" s="13" t="str">
        <f ca="1">IF(P75="",                                                                                                                                                                                                   "",
   IF(OR(I75="O-General",                                                                                                                                                                                                   I75="S-General"),
      IF(P75&lt;=30,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IF(I75="S-Special",
         IF(P75&lt;=45,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5" s="13"/>
      <c r="S75" s="12"/>
      <c r="T75" s="12"/>
      <c r="U75" s="12"/>
      <c r="V75" s="12" t="s">
        <v>256</v>
      </c>
      <c r="W75" s="45">
        <v>45977</v>
      </c>
      <c r="X75" s="12"/>
      <c r="Y75" s="12"/>
      <c r="Z75" s="38" t="s">
        <v>216</v>
      </c>
      <c r="AA75" s="12"/>
      <c r="AB75" s="12"/>
      <c r="AC75" s="12"/>
      <c r="AD75" s="12"/>
      <c r="AE75" s="12"/>
      <c r="AF75" s="12"/>
      <c r="AG75" s="12"/>
      <c r="AH75" s="12"/>
      <c r="AI75" s="15"/>
      <c r="AJ75" s="8"/>
    </row>
    <row r="76" spans="1:36" s="9" customFormat="1" ht="41.45" hidden="1" customHeight="1">
      <c r="A76" s="51">
        <v>2025</v>
      </c>
      <c r="B76" s="22" t="str">
        <f>IF(M76="",   "",   TEXT(M76,   "[$-en-US]mmm"))</f>
        <v>Jun</v>
      </c>
      <c r="C76" s="22" t="s">
        <v>36</v>
      </c>
      <c r="D76" s="22" t="s">
        <v>257</v>
      </c>
      <c r="E76" s="17" t="s">
        <v>257</v>
      </c>
      <c r="F76" s="18" t="s">
        <v>62</v>
      </c>
      <c r="G76" s="18" t="s">
        <v>95</v>
      </c>
      <c r="H76" s="18" t="s">
        <v>207</v>
      </c>
      <c r="I76" s="12" t="s">
        <v>52</v>
      </c>
      <c r="J76" s="12" t="s">
        <v>43</v>
      </c>
      <c r="K76" s="18" t="s">
        <v>53</v>
      </c>
      <c r="L76" s="12" t="s">
        <v>44</v>
      </c>
      <c r="M76" s="30">
        <v>45835</v>
      </c>
      <c r="N76" s="14">
        <f>IF(M76="",                                                                                                                                                                                                  "",
   WORKDAY(
      M76,
      IF(I76="S-Special",                                                                                                                                                                                                   45,
         IF(OR(I76="O-General",                                                                                                                                                                                                   I76="S-General"),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45898</v>
      </c>
      <c r="O76" s="30">
        <v>45891</v>
      </c>
      <c r="P76" s="13">
        <f ca="1">IF(M76="",                                                                                                                                                                                                   "",
   NETWORKDAYS(
      M76,
      IF(O76&lt;&gt;"",                                                                                                                                                                                                   O76,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76" s="13" t="str">
        <f ca="1">IF(P76="",                                                                                                                                                                                                   "",
   IF(OR(I76="O-General",                                                                                                                                                                                                   I76="S-General"),
      IF(P76&lt;=30,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IF(I76="S-Special",
         IF(P76&lt;=45,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76" s="13"/>
      <c r="S76" s="18"/>
      <c r="T76" s="18"/>
      <c r="U76" s="18"/>
      <c r="V76" s="18"/>
      <c r="W76" s="29">
        <v>45931</v>
      </c>
      <c r="X76" s="18"/>
      <c r="Y76" s="25"/>
      <c r="Z76" s="34" t="s">
        <v>216</v>
      </c>
      <c r="AA76" s="27"/>
      <c r="AB76" s="18"/>
      <c r="AC76" s="18"/>
      <c r="AD76" s="18"/>
      <c r="AE76" s="18"/>
      <c r="AF76" s="18"/>
      <c r="AG76" s="18"/>
      <c r="AH76" s="18"/>
      <c r="AI76" s="15"/>
      <c r="AJ76" s="8"/>
    </row>
    <row r="77" spans="1:36" s="9" customFormat="1" ht="41.45" hidden="1" customHeight="1">
      <c r="A77" s="51">
        <v>2025</v>
      </c>
      <c r="B77" s="22" t="str">
        <f>IF(M77="",   "",   TEXT(M77,   "[$-en-US]mmm"))</f>
        <v>Jun</v>
      </c>
      <c r="C77" s="22" t="s">
        <v>36</v>
      </c>
      <c r="D77" s="22" t="s">
        <v>181</v>
      </c>
      <c r="E77" s="17" t="s">
        <v>258</v>
      </c>
      <c r="F77" s="18" t="s">
        <v>183</v>
      </c>
      <c r="G77" s="18" t="s">
        <v>259</v>
      </c>
      <c r="H77" s="18" t="s">
        <v>260</v>
      </c>
      <c r="I77" s="18" t="s">
        <v>42</v>
      </c>
      <c r="J77" s="12" t="s">
        <v>43</v>
      </c>
      <c r="K77" s="18" t="s">
        <v>53</v>
      </c>
      <c r="L77" s="12" t="s">
        <v>44</v>
      </c>
      <c r="M77" s="30">
        <v>45817</v>
      </c>
      <c r="N77" s="14">
        <f>IF(M77="",                                                                                                                                                                                                  "",
   WORKDAY(
      M77,
      IF(I77="S-Special",                                                                                                                                                                                                   45,
         IF(OR(I77="O-General",                                                                                                                                                                                                   I77="S-General"),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7" s="30">
        <v>45860</v>
      </c>
      <c r="P77" s="13">
        <f ca="1">IF(M77="",                                                                                                                                                                                                   "",
   NETWORKDAYS(
      M77,
      IF(O77&lt;&gt;"",                                                                                                                                                                                                   O77,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77" s="13" t="str">
        <f ca="1">IF(P77="",                                                                                                                                                                                                   "",
   IF(OR(I77="O-General",                                                                                                                                                                                                   I77="S-General"),
      IF(P77&lt;=30,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IF(I77="S-Special",
         IF(P77&lt;=45,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77" s="13"/>
      <c r="S77" s="18"/>
      <c r="T77" s="18"/>
      <c r="U77" s="18"/>
      <c r="V77" s="18"/>
      <c r="W77" s="29">
        <v>45885</v>
      </c>
      <c r="X77" s="18"/>
      <c r="Y77" s="25"/>
      <c r="Z77" s="34" t="s">
        <v>216</v>
      </c>
      <c r="AA77" s="27"/>
      <c r="AB77" s="18"/>
      <c r="AC77" s="18"/>
      <c r="AD77" s="18"/>
      <c r="AE77" s="18"/>
      <c r="AF77" s="18"/>
      <c r="AG77" s="18"/>
      <c r="AH77" s="18"/>
      <c r="AI77" s="15"/>
      <c r="AJ77" s="8"/>
    </row>
    <row r="78" spans="1:36" s="11" customFormat="1" ht="41.45" hidden="1" customHeight="1">
      <c r="A78" s="51">
        <v>2025</v>
      </c>
      <c r="B78" s="22" t="str">
        <f>IF(M78="",   "",   TEXT(M78,   "[$-en-US]mmm"))</f>
        <v>Jun</v>
      </c>
      <c r="C78" s="22" t="s">
        <v>36</v>
      </c>
      <c r="D78" s="23" t="s">
        <v>261</v>
      </c>
      <c r="E78" s="12" t="s">
        <v>261</v>
      </c>
      <c r="F78" s="12" t="s">
        <v>49</v>
      </c>
      <c r="G78" s="12" t="s">
        <v>262</v>
      </c>
      <c r="H78" s="12" t="s">
        <v>263</v>
      </c>
      <c r="I78" s="12" t="s">
        <v>52</v>
      </c>
      <c r="J78" s="12" t="s">
        <v>43</v>
      </c>
      <c r="K78" s="12" t="s">
        <v>53</v>
      </c>
      <c r="L78" s="12" t="s">
        <v>44</v>
      </c>
      <c r="M78" s="30">
        <v>45825</v>
      </c>
      <c r="N78" s="14">
        <f>IF(M78="",                                                                                                                                                                                                  "",
   WORKDAY(
      M78,
      IF(I78="S-Special",                                                                                                                                                                                                   45,
         IF(OR(I78="O-General",                                                                                                                                                                                                   I78="S-General"),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45888</v>
      </c>
      <c r="O78" s="30">
        <v>45834</v>
      </c>
      <c r="P78" s="13">
        <f ca="1">IF(M78="",                                                                                                                                                                                                   "",
   NETWORKDAYS(
      M78,
      IF(O78&lt;&gt;"",                                                                                                                                                                                                   O78,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78" s="13" t="str">
        <f ca="1">IF(P78="",                                                                                                                                                                                                   "",
   IF(OR(I78="O-General",                                                                                                                                                                                                   I78="S-General"),
      IF(P78&lt;=30,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IF(I78="S-Special",
         IF(P78&lt;=45,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78" s="13"/>
      <c r="S78" s="12"/>
      <c r="T78" s="12"/>
      <c r="U78" s="12"/>
      <c r="V78" s="12"/>
      <c r="W78" s="10">
        <v>45854</v>
      </c>
      <c r="X78" s="12"/>
      <c r="Y78" s="40"/>
      <c r="Z78" s="34" t="s">
        <v>216</v>
      </c>
      <c r="AA78" s="26"/>
      <c r="AB78" s="12"/>
      <c r="AC78" s="15">
        <v>150</v>
      </c>
      <c r="AD78" s="15">
        <v>2</v>
      </c>
      <c r="AE78" s="15">
        <v>2</v>
      </c>
      <c r="AF78" s="15"/>
      <c r="AG78" s="15"/>
      <c r="AH78" s="12"/>
      <c r="AI78" s="15"/>
      <c r="AJ78" s="8"/>
    </row>
    <row r="79" spans="1:36" s="11" customFormat="1" ht="41.45" hidden="1" customHeight="1">
      <c r="A79" s="51">
        <v>2025</v>
      </c>
      <c r="B79" s="22" t="str">
        <f>IF(M79="",   "",   TEXT(M79,   "[$-en-US]mmm"))</f>
        <v>Jun</v>
      </c>
      <c r="C79" s="22" t="s">
        <v>36</v>
      </c>
      <c r="D79" s="23" t="s">
        <v>264</v>
      </c>
      <c r="E79" s="12" t="s">
        <v>264</v>
      </c>
      <c r="F79" s="12" t="s">
        <v>49</v>
      </c>
      <c r="G79" s="12" t="s">
        <v>98</v>
      </c>
      <c r="H79" s="12" t="s">
        <v>160</v>
      </c>
      <c r="I79" s="12" t="s">
        <v>52</v>
      </c>
      <c r="J79" s="12" t="s">
        <v>43</v>
      </c>
      <c r="K79" s="12"/>
      <c r="L79" s="12" t="s">
        <v>44</v>
      </c>
      <c r="M79" s="30">
        <v>45817</v>
      </c>
      <c r="N79" s="14">
        <f>IF(M79="",                                                                                                                                                                                                  "",
   WORKDAY(
      M79,
      IF(I79="S-Special",                                                                                                                                                                                                   45,
         IF(OR(I79="O-General",                                                                                                                                                                                                   I79="S-General"),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45880</v>
      </c>
      <c r="O79" s="30">
        <v>45821</v>
      </c>
      <c r="P79" s="13">
        <f ca="1">IF(M79="",                                                                                                                                                                                                   "",
   NETWORKDAYS(
      M79,
      IF(O79&lt;&gt;"",                                                                                                                                                                                                   O79,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79" s="13" t="str">
        <f ca="1">IF(P79="",                                                                                                                                                                                                   "",
   IF(OR(I79="O-General",                                                                                                                                                                                                   I79="S-General"),
      IF(P79&lt;=30,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IF(I79="S-Special",
         IF(P79&lt;=45,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79" s="13"/>
      <c r="S79" s="12"/>
      <c r="T79" s="12"/>
      <c r="U79" s="12"/>
      <c r="V79" s="12"/>
      <c r="W79" s="10"/>
      <c r="X79" s="12"/>
      <c r="Y79" s="40"/>
      <c r="Z79" s="34" t="s">
        <v>216</v>
      </c>
      <c r="AA79" s="26"/>
      <c r="AB79" s="12"/>
      <c r="AC79" s="15"/>
      <c r="AD79" s="15"/>
      <c r="AE79" s="15"/>
      <c r="AF79" s="15"/>
      <c r="AG79" s="15"/>
      <c r="AH79" s="12"/>
      <c r="AI79" s="15"/>
      <c r="AJ79" s="8"/>
    </row>
    <row r="80" spans="1:36" s="11" customFormat="1" ht="41.45" hidden="1" customHeight="1">
      <c r="A80" s="51">
        <v>2025</v>
      </c>
      <c r="B80" s="22" t="str">
        <f>IF(M80="",   "",   TEXT(M80,   "[$-en-US]mmm"))</f>
        <v>Jul</v>
      </c>
      <c r="C80" s="22" t="s">
        <v>46</v>
      </c>
      <c r="D80" s="24" t="s">
        <v>47</v>
      </c>
      <c r="E80" s="19" t="s">
        <v>170</v>
      </c>
      <c r="F80" s="19" t="s">
        <v>171</v>
      </c>
      <c r="G80" s="19" t="s">
        <v>172</v>
      </c>
      <c r="H80" s="19" t="s">
        <v>265</v>
      </c>
      <c r="I80" s="12" t="s">
        <v>42</v>
      </c>
      <c r="J80" s="12" t="s">
        <v>43</v>
      </c>
      <c r="K80" s="12" t="s">
        <v>115</v>
      </c>
      <c r="L80" s="12" t="s">
        <v>44</v>
      </c>
      <c r="M80" s="30">
        <v>45860</v>
      </c>
      <c r="N80" s="14">
        <f>IF(M80="",                                                                                                                                                                                                  "",
   WORKDAY(
      M80,
      IF(I80="S-Special",                                                                                                                                                                                                   45,
         IF(OR(I80="O-General",                                                                                                                                                                                                   I80="S-General"),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0" s="30">
        <v>45902</v>
      </c>
      <c r="P80" s="13">
        <f ca="1">IF(M80="",                                                                                                                                                                                                   "",
   NETWORKDAYS(
      M80,
      IF(O80&lt;&gt;"",                                                                                                                                                                                                   O80,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80" s="13" t="str">
        <f ca="1">IF(P80="",                                                                                                                                                                                                   "",
   IF(OR(I80="O-General",                                                                                                                                                                                                   I80="S-General"),
      IF(P80&lt;=30,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IF(I80="S-Special",
         IF(P80&lt;=45,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0" s="13"/>
      <c r="S80" s="18"/>
      <c r="T80" s="18"/>
      <c r="U80" s="18"/>
      <c r="V80" s="18"/>
      <c r="W80" s="29">
        <v>45931</v>
      </c>
      <c r="X80" s="18"/>
      <c r="Y80" s="25"/>
      <c r="Z80" s="34" t="s">
        <v>216</v>
      </c>
      <c r="AA80" s="27"/>
      <c r="AB80" s="18"/>
      <c r="AC80" s="18"/>
      <c r="AD80" s="18"/>
      <c r="AE80" s="18"/>
      <c r="AF80" s="18"/>
      <c r="AG80" s="18"/>
      <c r="AH80" s="18"/>
      <c r="AI80" s="15"/>
      <c r="AJ80" s="8"/>
    </row>
    <row r="81" spans="1:36" s="11" customFormat="1" ht="41.45" hidden="1" customHeight="1">
      <c r="A81" s="51">
        <v>2025</v>
      </c>
      <c r="B81" s="22" t="str">
        <f>IF(M81="",   "",   TEXT(M81,   "[$-en-US]mmm"))</f>
        <v>Jul</v>
      </c>
      <c r="C81" s="22" t="s">
        <v>36</v>
      </c>
      <c r="D81" s="22" t="s">
        <v>188</v>
      </c>
      <c r="E81" s="13" t="s">
        <v>188</v>
      </c>
      <c r="F81" s="13" t="s">
        <v>112</v>
      </c>
      <c r="G81" s="13" t="s">
        <v>189</v>
      </c>
      <c r="H81" s="13" t="s">
        <v>190</v>
      </c>
      <c r="I81" s="12" t="s">
        <v>52</v>
      </c>
      <c r="J81" s="12" t="s">
        <v>43</v>
      </c>
      <c r="K81" s="12" t="s">
        <v>53</v>
      </c>
      <c r="L81" s="12" t="s">
        <v>44</v>
      </c>
      <c r="M81" s="30">
        <v>45860</v>
      </c>
      <c r="N81" s="14">
        <f>IF(M81="",                                                                                                                                                                                                  "",
   WORKDAY(
      M81,
      IF(I81="S-Special",                                                                                                                                                                                                   45,
         IF(OR(I81="O-General",                                                                                                                                                                                                   I81="S-General"),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1" s="30">
        <v>45960</v>
      </c>
      <c r="P81" s="13">
        <f ca="1">IF(M81="",                                                                                                                                                                                                   "",
   NETWORKDAYS(
      M81,
      IF(O81&lt;&gt;"",                                                                                                                                                                                                   O81,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81" s="13" t="str">
        <f ca="1">IF(P81="",                                                                                                                                                                                                   "",
   IF(OR(I81="O-General",                                                                                                                                                                                                   I81="S-General"),
      IF(P81&lt;=30,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IF(I81="S-Special",
         IF(P81&lt;=45,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1" s="13"/>
      <c r="S81" s="12"/>
      <c r="T81" s="12"/>
      <c r="U81" s="12"/>
      <c r="V81" s="12"/>
      <c r="W81" s="10">
        <v>45962</v>
      </c>
      <c r="X81" s="12"/>
      <c r="Y81" s="12"/>
      <c r="Z81" s="38" t="s">
        <v>216</v>
      </c>
      <c r="AA81" s="12"/>
      <c r="AB81" s="12"/>
      <c r="AC81" s="12"/>
      <c r="AD81" s="12"/>
      <c r="AE81" s="12"/>
      <c r="AF81" s="12"/>
      <c r="AG81" s="12"/>
      <c r="AH81" s="12"/>
      <c r="AI81" s="15"/>
      <c r="AJ81" s="8"/>
    </row>
    <row r="82" spans="1:36" s="11" customFormat="1" ht="41.45" hidden="1" customHeight="1">
      <c r="A82" s="51">
        <v>2025</v>
      </c>
      <c r="B82" s="22" t="str">
        <f>IF(M82="",   "",   TEXT(M82,   "[$-en-US]mmm"))</f>
        <v>Jul</v>
      </c>
      <c r="C82" s="22" t="s">
        <v>36</v>
      </c>
      <c r="D82" s="24" t="s">
        <v>266</v>
      </c>
      <c r="E82" s="19" t="s">
        <v>84</v>
      </c>
      <c r="F82" s="19" t="s">
        <v>175</v>
      </c>
      <c r="G82" s="19" t="s">
        <v>267</v>
      </c>
      <c r="H82" s="19" t="s">
        <v>268</v>
      </c>
      <c r="I82" s="18" t="s">
        <v>42</v>
      </c>
      <c r="J82" s="18" t="s">
        <v>84</v>
      </c>
      <c r="K82" s="18" t="s">
        <v>53</v>
      </c>
      <c r="L82" s="18" t="s">
        <v>84</v>
      </c>
      <c r="M82" s="30">
        <v>45860</v>
      </c>
      <c r="N82" s="14">
        <f>IF(M82="",                                                                                                                                                                                                  "",
   WORKDAY(
      M82,
      IF(I82="S-Special",                                                                                                                                                                                                   45,
         IF(OR(I82="O-General",                                                                                                                                                                                                   I82="S-General"),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2" s="30">
        <v>45860</v>
      </c>
      <c r="P82" s="13">
        <f ca="1">IF(M82="",                                                                                                                                                                                                   "",
   NETWORKDAYS(
      M82,
      IF(O82&lt;&gt;"",                                                                                                                                                                                                   O82,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82" s="13" t="str">
        <f ca="1">IF(P82="",                                                                                                                                                                                                   "",
   IF(OR(I82="O-General",                                                                                                                                                                                                   I82="S-General"),
      IF(P82&lt;=30,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IF(I82="S-Special",
         IF(P82&lt;=45,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82" s="13"/>
      <c r="S82" s="18"/>
      <c r="T82" s="18"/>
      <c r="U82" s="18"/>
      <c r="V82" s="18"/>
      <c r="W82" s="29"/>
      <c r="X82" s="18"/>
      <c r="Y82" s="25"/>
      <c r="Z82" s="18"/>
      <c r="AA82" s="27"/>
      <c r="AB82" s="18"/>
      <c r="AC82" s="18"/>
      <c r="AD82" s="18"/>
      <c r="AE82" s="18"/>
      <c r="AF82" s="18"/>
      <c r="AG82" s="18"/>
      <c r="AH82" s="18"/>
      <c r="AI82" s="15"/>
      <c r="AJ82" s="8"/>
    </row>
    <row r="83" spans="1:36" s="11" customFormat="1" ht="41.45" hidden="1" customHeight="1">
      <c r="A83" s="51">
        <v>2025</v>
      </c>
      <c r="B83" s="22" t="str">
        <f>IF(M83="",   "",   TEXT(M83,   "[$-en-US]mmm"))</f>
        <v>Jul</v>
      </c>
      <c r="C83" s="22" t="s">
        <v>36</v>
      </c>
      <c r="D83" s="24" t="s">
        <v>269</v>
      </c>
      <c r="E83" s="19" t="s">
        <v>269</v>
      </c>
      <c r="F83" s="19" t="s">
        <v>91</v>
      </c>
      <c r="G83" s="19" t="s">
        <v>92</v>
      </c>
      <c r="H83" s="19" t="s">
        <v>270</v>
      </c>
      <c r="I83" s="18" t="s">
        <v>42</v>
      </c>
      <c r="J83" s="12" t="s">
        <v>43</v>
      </c>
      <c r="K83" s="18" t="s">
        <v>53</v>
      </c>
      <c r="L83" s="12" t="s">
        <v>44</v>
      </c>
      <c r="M83" s="30">
        <v>45847</v>
      </c>
      <c r="N83" s="14">
        <f>IF(M83="",                                                                                                                                                                                                  "",
   WORKDAY(
      M83,
      IF(I83="S-Special",                                                                                                                                                                                                   45,
         IF(OR(I83="O-General",                                                                                                                                                                                                   I83="S-General"),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45889</v>
      </c>
      <c r="O83" s="30">
        <v>45966</v>
      </c>
      <c r="P83" s="13">
        <f ca="1">IF(M83="",                                                                                                                                                                                                   "",
   NETWORKDAYS(
      M83,
      IF(O83&lt;&gt;"",                                                                                                                                                                                                   O83,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83" s="13" t="str">
        <f ca="1">IF(P83="",                                                                                                                                                                                                   "",
   IF(OR(I83="O-General",                                                                                                                                                                                                   I83="S-General"),
      IF(P83&lt;=30,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IF(I83="S-Special",
         IF(P83&lt;=45,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3" s="13"/>
      <c r="S83" s="18"/>
      <c r="T83" s="18"/>
      <c r="U83" s="18"/>
      <c r="V83" s="18"/>
      <c r="W83" s="29">
        <v>46054</v>
      </c>
      <c r="X83" s="18"/>
      <c r="Y83" s="25"/>
      <c r="Z83" s="34" t="s">
        <v>216</v>
      </c>
      <c r="AA83" s="27"/>
      <c r="AB83" s="18"/>
      <c r="AC83" s="18"/>
      <c r="AD83" s="18"/>
      <c r="AE83" s="18"/>
      <c r="AF83" s="18"/>
      <c r="AG83" s="18"/>
      <c r="AH83" s="18"/>
      <c r="AI83" s="15"/>
      <c r="AJ83" s="8"/>
    </row>
    <row r="84" spans="1:36" s="11" customFormat="1" ht="41.45" hidden="1" customHeight="1">
      <c r="A84" s="51">
        <v>2025</v>
      </c>
      <c r="B84" s="22" t="str">
        <f>IF(M84="",   "",   TEXT(M84,   "[$-en-US]mmm"))</f>
        <v>Jul</v>
      </c>
      <c r="C84" s="22" t="s">
        <v>36</v>
      </c>
      <c r="D84" s="22" t="s">
        <v>271</v>
      </c>
      <c r="E84" s="17" t="s">
        <v>271</v>
      </c>
      <c r="F84" s="18" t="s">
        <v>62</v>
      </c>
      <c r="G84" s="18" t="s">
        <v>63</v>
      </c>
      <c r="H84" s="18" t="s">
        <v>272</v>
      </c>
      <c r="I84" s="12" t="s">
        <v>52</v>
      </c>
      <c r="J84" s="12" t="s">
        <v>43</v>
      </c>
      <c r="K84" s="12" t="s">
        <v>73</v>
      </c>
      <c r="L84" s="12" t="s">
        <v>44</v>
      </c>
      <c r="M84" s="30">
        <v>45860</v>
      </c>
      <c r="N84" s="14">
        <f>IF(M84="",                                                                                                                                                                                                  "",
   WORKDAY(
      M84,
      IF(I84="S-Special",                                                                                                                                                                                                   45,
         IF(OR(I84="O-General",                                                                                                                                                                                                   I84="S-General"),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4" s="30">
        <v>45903</v>
      </c>
      <c r="P84" s="13">
        <f ca="1">IF(M84="",                                                                                                                                                                                                   "",
   NETWORKDAYS(
      M84,
      IF(O84&lt;&gt;"",                                                                                                                                                                                                   O84,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4" s="13" t="str">
        <f ca="1">IF(P84="",                                                                                                                                                                                                   "",
   IF(OR(I84="O-General",                                                                                                                                                                                                   I84="S-General"),
      IF(P84&lt;=30,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IF(I84="S-Special",
         IF(P84&lt;=45,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84" s="13"/>
      <c r="S84" s="18"/>
      <c r="T84" s="18"/>
      <c r="U84" s="18"/>
      <c r="V84" s="18"/>
      <c r="W84" s="29">
        <v>46023</v>
      </c>
      <c r="X84" s="18"/>
      <c r="Y84" s="18"/>
      <c r="Z84" s="47" t="s">
        <v>73</v>
      </c>
      <c r="AA84" s="18"/>
      <c r="AB84" s="18"/>
      <c r="AC84" s="18"/>
      <c r="AD84" s="18"/>
      <c r="AE84" s="18"/>
      <c r="AF84" s="18"/>
      <c r="AG84" s="18"/>
      <c r="AH84" s="18"/>
      <c r="AI84" s="15"/>
      <c r="AJ84" s="8"/>
    </row>
    <row r="85" spans="1:36" s="11" customFormat="1" ht="41.45" hidden="1" customHeight="1">
      <c r="A85" s="51">
        <v>2025</v>
      </c>
      <c r="B85" s="22" t="str">
        <f>IF(M85="",   "",   TEXT(M85,   "[$-en-US]mmm"))</f>
        <v>Jul</v>
      </c>
      <c r="C85" s="22" t="s">
        <v>36</v>
      </c>
      <c r="D85" s="22" t="s">
        <v>254</v>
      </c>
      <c r="E85" s="17" t="s">
        <v>254</v>
      </c>
      <c r="F85" s="18" t="s">
        <v>88</v>
      </c>
      <c r="G85" s="18" t="s">
        <v>107</v>
      </c>
      <c r="H85" s="18" t="s">
        <v>255</v>
      </c>
      <c r="I85" s="18" t="s">
        <v>42</v>
      </c>
      <c r="J85" s="12" t="s">
        <v>43</v>
      </c>
      <c r="K85" s="18" t="s">
        <v>53</v>
      </c>
      <c r="L85" s="12" t="s">
        <v>44</v>
      </c>
      <c r="M85" s="30">
        <v>45859</v>
      </c>
      <c r="N85" s="14">
        <f>IF(M85="",                                                                                                                                                                                                  "",
   WORKDAY(
      M85,
      IF(I85="S-Special",                                                                                                                                                                                                   45,
         IF(OR(I85="O-General",                                                                                                                                                                                                   I85="S-General"),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45901</v>
      </c>
      <c r="O85" s="30">
        <v>45857</v>
      </c>
      <c r="P85" s="13">
        <f ca="1">IF(M85="",                                                                                                                                                                                                   "",
   NETWORKDAYS(
      M85,
      IF(O85&lt;&gt;"",                                                                                                                                                                                                   O85,                                                                                                                                                                                                   TODAY()),
      Dropdown!$A$2:$A$100
   )
)</f>
        <v>-1</v>
      </c>
      <c r="Q85" s="13" t="str">
        <f ca="1">IF(P85="",                                                                                                                                                                                                   "",
   IF(OR(I85="O-General",                                                                                                                                                                                                   I85="S-General"),
      IF(P85&lt;=30,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IF(I85="S-Special",
         IF(P85&lt;=45,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85" s="13"/>
      <c r="S85" s="18"/>
      <c r="T85" s="18"/>
      <c r="U85" s="18"/>
      <c r="V85" s="18"/>
      <c r="W85" s="29">
        <v>45901</v>
      </c>
      <c r="X85" s="18"/>
      <c r="Y85" s="18"/>
      <c r="Z85" s="36" t="s">
        <v>216</v>
      </c>
      <c r="AA85" s="18"/>
      <c r="AB85" s="18"/>
      <c r="AC85" s="18"/>
      <c r="AD85" s="18"/>
      <c r="AE85" s="18"/>
      <c r="AF85" s="18"/>
      <c r="AG85" s="18"/>
      <c r="AH85" s="18"/>
      <c r="AI85" s="15"/>
      <c r="AJ85" s="8"/>
    </row>
    <row r="86" spans="1:36" s="11" customFormat="1" ht="41.45" hidden="1" customHeight="1">
      <c r="A86" s="51">
        <v>2025</v>
      </c>
      <c r="B86" s="22" t="str">
        <f>IF(M86="",   "",   TEXT(M86,   "[$-en-US]mmm"))</f>
        <v>Aug</v>
      </c>
      <c r="C86" s="22" t="s">
        <v>36</v>
      </c>
      <c r="D86" s="24" t="s">
        <v>273</v>
      </c>
      <c r="E86" s="19" t="s">
        <v>273</v>
      </c>
      <c r="F86" s="19" t="s">
        <v>39</v>
      </c>
      <c r="G86" s="19" t="s">
        <v>274</v>
      </c>
      <c r="H86" s="19" t="s">
        <v>275</v>
      </c>
      <c r="I86" s="12" t="s">
        <v>52</v>
      </c>
      <c r="J86" s="12" t="s">
        <v>43</v>
      </c>
      <c r="K86" s="18" t="s">
        <v>53</v>
      </c>
      <c r="L86" s="12" t="s">
        <v>44</v>
      </c>
      <c r="M86" s="37">
        <v>45884</v>
      </c>
      <c r="N86" s="14">
        <f>IF(M86="",                                                                                                                                                                                                  "",
   WORKDAY(
      M86,
      IF(I86="S-Special",                                                                                                                                                                                                   45,
         IF(OR(I86="O-General",                                                                                                                                                                                                   I86="S-General"),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45947</v>
      </c>
      <c r="O86" s="37">
        <v>45901</v>
      </c>
      <c r="P86" s="13">
        <f ca="1">IF(M86="",                                                                                                                                                                                                   "",
   NETWORKDAYS(
      M86,
      IF(O86&lt;&gt;"",                                                                                                                                                                                                   O86,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86" s="13" t="str">
        <f ca="1">IF(P86="",                                                                                                                                                                                                   "",
   IF(OR(I86="O-General",                                                                                                                                                                                                   I86="S-General"),
      IF(P86&lt;=30,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IF(I86="S-Special",
         IF(P86&lt;=45,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86" s="13"/>
      <c r="S86" s="18"/>
      <c r="T86" s="18"/>
      <c r="U86" s="18"/>
      <c r="V86" s="18"/>
      <c r="W86" s="29">
        <v>45931</v>
      </c>
      <c r="X86" s="18"/>
      <c r="Y86" s="25"/>
      <c r="Z86" s="34" t="s">
        <v>216</v>
      </c>
      <c r="AA86" s="27"/>
      <c r="AB86" s="18"/>
      <c r="AC86" s="18"/>
      <c r="AD86" s="18"/>
      <c r="AE86" s="18"/>
      <c r="AF86" s="18"/>
      <c r="AG86" s="18"/>
      <c r="AH86" s="18"/>
      <c r="AI86" s="15"/>
      <c r="AJ86" s="8"/>
    </row>
    <row r="87" spans="1:36" s="11" customFormat="1" ht="41.45" hidden="1" customHeight="1">
      <c r="A87" s="51">
        <v>2025</v>
      </c>
      <c r="B87" s="22" t="str">
        <f>IF(M87="",   "",   TEXT(M87,   "[$-en-US]mmm"))</f>
        <v>Aug</v>
      </c>
      <c r="C87" s="22" t="s">
        <v>36</v>
      </c>
      <c r="D87" s="24" t="s">
        <v>186</v>
      </c>
      <c r="E87" s="19" t="s">
        <v>186</v>
      </c>
      <c r="F87" s="19" t="s">
        <v>67</v>
      </c>
      <c r="G87" s="19" t="s">
        <v>140</v>
      </c>
      <c r="H87" s="19" t="s">
        <v>141</v>
      </c>
      <c r="I87" s="18" t="s">
        <v>42</v>
      </c>
      <c r="J87" s="12" t="s">
        <v>43</v>
      </c>
      <c r="K87" s="18" t="s">
        <v>53</v>
      </c>
      <c r="L87" s="12" t="s">
        <v>44</v>
      </c>
      <c r="M87" s="30">
        <v>45884</v>
      </c>
      <c r="N87" s="14">
        <f>IF(M87="",                                                                                                                                                                                                  "",
   WORKDAY(
      M87,
      IF(I87="S-Special",                                                                                                                                                                                                   45,
         IF(OR(I87="O-General",                                                                                                                                                                                                   I87="S-General"),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45926</v>
      </c>
      <c r="O87" s="30">
        <v>45944</v>
      </c>
      <c r="P87" s="13">
        <f ca="1">IF(M87="",                                                                                                                                                                                                   "",
   NETWORKDAYS(
      M87,
      IF(O87&lt;&gt;"",                                                                                                                                                                                                   O87,                                                                                                                                                                                                   TODAY()),
      Dropdown!$A$2:$A$100
   )
)</f>
        <v>43</v>
      </c>
      <c r="Q87" s="13" t="str">
        <f ca="1">IF(P87="",                                                                                                                                                                                                   "",
   IF(OR(I87="O-General",                                                                                                                                                                                                   I87="S-General"),
      IF(P87&lt;=30,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IF(I87="S-Special",
         IF(P87&lt;=45,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7" s="13"/>
      <c r="S87" s="18"/>
      <c r="T87" s="18"/>
      <c r="U87" s="18"/>
      <c r="V87" s="18"/>
      <c r="W87" s="29">
        <v>46023</v>
      </c>
      <c r="X87" s="18"/>
      <c r="Y87" s="25"/>
      <c r="Z87" s="34" t="s">
        <v>216</v>
      </c>
      <c r="AA87" s="27"/>
      <c r="AB87" s="18"/>
      <c r="AC87" s="18"/>
      <c r="AD87" s="18"/>
      <c r="AE87" s="18"/>
      <c r="AF87" s="18"/>
      <c r="AG87" s="18"/>
      <c r="AH87" s="18"/>
      <c r="AI87" s="15"/>
      <c r="AJ87" s="8"/>
    </row>
    <row r="88" spans="1:36" s="11" customFormat="1" ht="41.45" hidden="1" customHeight="1">
      <c r="A88" s="51">
        <v>2025</v>
      </c>
      <c r="B88" s="22" t="str">
        <f>IF(M88="",   "",   TEXT(M88,   "[$-en-US]mmm"))</f>
        <v>Aug</v>
      </c>
      <c r="C88" s="22" t="s">
        <v>36</v>
      </c>
      <c r="D88" s="22" t="s">
        <v>269</v>
      </c>
      <c r="E88" s="17" t="s">
        <v>90</v>
      </c>
      <c r="F88" s="18" t="s">
        <v>91</v>
      </c>
      <c r="G88" s="18" t="s">
        <v>92</v>
      </c>
      <c r="H88" s="18" t="s">
        <v>93</v>
      </c>
      <c r="I88" s="18" t="s">
        <v>42</v>
      </c>
      <c r="J88" s="12" t="s">
        <v>43</v>
      </c>
      <c r="K88" s="18" t="s">
        <v>53</v>
      </c>
      <c r="L88" s="12" t="s">
        <v>44</v>
      </c>
      <c r="M88" s="30">
        <v>45870</v>
      </c>
      <c r="N88" s="14">
        <f>IF(M88="",                                                                                                                                                                                                  "",
   WORKDAY(
      M88,
      IF(I88="S-Special",                                                                                                                                                                                                   45,
         IF(OR(I88="O-General",                                                                                                                                                                                                   I88="S-General"),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88" s="30">
        <v>45919</v>
      </c>
      <c r="P88" s="13">
        <f ca="1">IF(M88="",                                                                                                                                                                                                   "",
   NETWORKDAYS(
      M88,
      IF(O88&lt;&gt;"",                                                                                                                                                                                                   O88,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88" s="13" t="str">
        <f ca="1">IF(P88="",                                                                                                                                                                                                   "",
   IF(OR(I88="O-General",                                                                                                                                                                                                   I88="S-General"),
      IF(P88&lt;=30,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IF(I88="S-Special",
         IF(P88&lt;=45,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88" s="13"/>
      <c r="S88" s="18"/>
      <c r="T88" s="18"/>
      <c r="U88" s="18"/>
      <c r="V88" s="18"/>
      <c r="W88" s="29">
        <v>45916</v>
      </c>
      <c r="X88" s="18"/>
      <c r="Y88" s="18"/>
      <c r="Z88" s="38" t="s">
        <v>216</v>
      </c>
      <c r="AA88" s="18"/>
      <c r="AB88" s="18"/>
      <c r="AC88" s="18"/>
      <c r="AD88" s="18"/>
      <c r="AE88" s="18"/>
      <c r="AF88" s="18"/>
      <c r="AG88" s="18"/>
      <c r="AH88" s="18"/>
      <c r="AI88" s="15"/>
      <c r="AJ88" s="8"/>
    </row>
    <row r="89" spans="1:36" s="11" customFormat="1" ht="41.45" hidden="1" customHeight="1">
      <c r="A89" s="51">
        <v>2025</v>
      </c>
      <c r="B89" s="22" t="str">
        <f>IF(M89="",   "",   TEXT(M89,   "[$-en-US]mmm"))</f>
        <v>Aug</v>
      </c>
      <c r="C89" s="22" t="s">
        <v>36</v>
      </c>
      <c r="D89" s="22" t="s">
        <v>276</v>
      </c>
      <c r="E89" s="17" t="s">
        <v>276</v>
      </c>
      <c r="F89" s="18" t="s">
        <v>67</v>
      </c>
      <c r="G89" s="18" t="s">
        <v>277</v>
      </c>
      <c r="H89" s="18" t="s">
        <v>278</v>
      </c>
      <c r="I89" s="12" t="s">
        <v>52</v>
      </c>
      <c r="J89" s="12" t="s">
        <v>43</v>
      </c>
      <c r="K89" s="18" t="s">
        <v>53</v>
      </c>
      <c r="L89" s="12" t="s">
        <v>44</v>
      </c>
      <c r="M89" s="30">
        <v>45875</v>
      </c>
      <c r="N89" s="14">
        <f>IF(M89="",                                                                                                                                                                                                  "",
   WORKDAY(
      M89,
      IF(I89="S-Special",                                                                                                                                                                                                   45,
         IF(OR(I89="O-General",                                                                                                                                                                                                   I89="S-General"),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45938</v>
      </c>
      <c r="O89" s="30">
        <v>45918</v>
      </c>
      <c r="P89" s="13">
        <f ca="1">IF(M89="",                                                                                                                                                                                                   "",
   NETWORKDAYS(
      M89,
      IF(O89&lt;&gt;"",                                                                                                                                                                                                   O89,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9" s="13" t="str">
        <f ca="1">IF(P89="",                                                                                                                                                                                                   "",
   IF(OR(I89="O-General",                                                                                                                                                                                                   I89="S-General"),
      IF(P89&lt;=30,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IF(I89="S-Special",
         IF(P89&lt;=45,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89" s="13"/>
      <c r="S89" s="18"/>
      <c r="T89" s="18"/>
      <c r="U89" s="18"/>
      <c r="V89" s="18"/>
      <c r="W89" s="29">
        <v>45962</v>
      </c>
      <c r="X89" s="18"/>
      <c r="Y89" s="25"/>
      <c r="Z89" s="18" t="s">
        <v>161</v>
      </c>
      <c r="AA89" s="27"/>
      <c r="AB89" s="18"/>
      <c r="AC89" s="18"/>
      <c r="AD89" s="18"/>
      <c r="AE89" s="18"/>
      <c r="AF89" s="18"/>
      <c r="AG89" s="18"/>
      <c r="AH89" s="18"/>
      <c r="AI89" s="15"/>
      <c r="AJ89" s="8"/>
    </row>
    <row r="90" spans="1:36" s="11" customFormat="1" ht="41.45" hidden="1" customHeight="1">
      <c r="A90" s="51">
        <v>2025</v>
      </c>
      <c r="B90" s="22" t="str">
        <f>IF(M90="",   "",   TEXT(M90,   "[$-en-US]mmm"))</f>
        <v>Aug</v>
      </c>
      <c r="C90" s="22" t="s">
        <v>36</v>
      </c>
      <c r="D90" s="24" t="s">
        <v>276</v>
      </c>
      <c r="E90" s="19" t="s">
        <v>276</v>
      </c>
      <c r="F90" s="19" t="s">
        <v>67</v>
      </c>
      <c r="G90" s="19" t="s">
        <v>277</v>
      </c>
      <c r="H90" s="19" t="s">
        <v>278</v>
      </c>
      <c r="I90" s="18" t="s">
        <v>42</v>
      </c>
      <c r="J90" s="12" t="s">
        <v>43</v>
      </c>
      <c r="K90" s="18" t="s">
        <v>53</v>
      </c>
      <c r="L90" s="12" t="s">
        <v>44</v>
      </c>
      <c r="M90" s="30">
        <v>45870</v>
      </c>
      <c r="N90" s="14">
        <f>IF(M90="",                                                                                                                                                                                                  "",
   WORKDAY(
      M90,
      IF(I90="S-Special",                                                                                                                                                                                                   45,
         IF(OR(I90="O-General",                                                                                                                                                                                                   I90="S-General"),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90" s="30">
        <v>45919</v>
      </c>
      <c r="P90" s="13">
        <f ca="1">IF(M90="",                                                                                                                                                                                                   "",
   NETWORKDAYS(
      M90,
      IF(O90&lt;&gt;"",                                                                                                                                                                                                   O90,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90" s="13" t="str">
        <f ca="1">IF(P90="",                                                                                                                                                                                                   "",
   IF(OR(I90="O-General",                                                                                                                                                                                                   I90="S-General"),
      IF(P90&lt;=30,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IF(I90="S-Special",
         IF(P90&lt;=45,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0" s="13"/>
      <c r="S90" s="18"/>
      <c r="T90" s="18"/>
      <c r="U90" s="18"/>
      <c r="V90" s="18"/>
      <c r="W90" s="29">
        <v>46023</v>
      </c>
      <c r="X90" s="18"/>
      <c r="Y90" s="25"/>
      <c r="Z90" s="18" t="s">
        <v>73</v>
      </c>
      <c r="AA90" s="27"/>
      <c r="AB90" s="18"/>
      <c r="AC90" s="18"/>
      <c r="AD90" s="18"/>
      <c r="AE90" s="18"/>
      <c r="AF90" s="18"/>
      <c r="AG90" s="18"/>
      <c r="AH90" s="18"/>
      <c r="AI90" s="15"/>
      <c r="AJ90" s="8"/>
    </row>
    <row r="91" spans="1:36" s="11" customFormat="1" ht="41.45" hidden="1" customHeight="1">
      <c r="A91" s="51">
        <v>2025</v>
      </c>
      <c r="B91" s="22" t="str">
        <f>IF(M91="",   "",   TEXT(M91,   "[$-en-US]mmm"))</f>
        <v>Sep</v>
      </c>
      <c r="C91" s="22" t="s">
        <v>36</v>
      </c>
      <c r="D91" s="24" t="s">
        <v>279</v>
      </c>
      <c r="E91" s="19" t="s">
        <v>279</v>
      </c>
      <c r="F91" s="19" t="s">
        <v>49</v>
      </c>
      <c r="G91" s="19"/>
      <c r="H91" s="19" t="s">
        <v>280</v>
      </c>
      <c r="I91" s="12" t="s">
        <v>52</v>
      </c>
      <c r="J91" s="12" t="s">
        <v>43</v>
      </c>
      <c r="K91" s="18" t="s">
        <v>53</v>
      </c>
      <c r="L91" s="12" t="s">
        <v>44</v>
      </c>
      <c r="M91" s="30">
        <v>45925</v>
      </c>
      <c r="N91" s="14">
        <f>IF(M91="",                                                                                                                                                                                                  "",
   WORKDAY(
      M91,
      IF(I91="S-Special",                                                                                                                                                                                                   45,
         IF(OR(I91="O-General",                                                                                                                                                                                                   I91="S-General"),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45988</v>
      </c>
      <c r="O91" s="30">
        <v>45989</v>
      </c>
      <c r="P91" s="13">
        <f ca="1">IF(M91="",                                                                                                                                                                                                   "",
   NETWORKDAYS(
      M91,
      IF(O91&lt;&gt;"",                                                                                                                                                                                                   O91,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1" s="13" t="str">
        <f ca="1">IF(P91="",                                                                                                                                                                                                   "",
   IF(OR(I91="O-General",                                                                                                                                                                                                   I91="S-General"),
      IF(P91&lt;=30,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IF(I91="S-Special",
         IF(P91&lt;=45,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1" s="13"/>
      <c r="S91" s="18"/>
      <c r="T91" s="18"/>
      <c r="U91" s="18"/>
      <c r="V91" s="18"/>
      <c r="W91" s="29">
        <v>46023</v>
      </c>
      <c r="X91" s="18"/>
      <c r="Y91" s="18"/>
      <c r="Z91" s="28" t="s">
        <v>161</v>
      </c>
      <c r="AA91" s="18"/>
      <c r="AB91" s="18"/>
      <c r="AC91" s="18"/>
      <c r="AD91" s="18"/>
      <c r="AE91" s="18"/>
      <c r="AF91" s="18"/>
      <c r="AG91" s="18"/>
      <c r="AH91" s="18"/>
      <c r="AI91" s="15"/>
      <c r="AJ91" s="8"/>
    </row>
    <row r="92" spans="1:36" s="11" customFormat="1" ht="41.45" hidden="1" customHeight="1">
      <c r="A92" s="51">
        <v>2025</v>
      </c>
      <c r="B92" s="22" t="str">
        <f>IF(M92="",   "",   TEXT(M92,   "[$-en-US]mmm"))</f>
        <v>Sep</v>
      </c>
      <c r="C92" s="22" t="s">
        <v>36</v>
      </c>
      <c r="D92" s="24" t="s">
        <v>264</v>
      </c>
      <c r="E92" s="19" t="s">
        <v>264</v>
      </c>
      <c r="F92" s="19" t="s">
        <v>49</v>
      </c>
      <c r="G92" s="19" t="s">
        <v>98</v>
      </c>
      <c r="H92" s="19" t="s">
        <v>160</v>
      </c>
      <c r="I92" s="12" t="s">
        <v>52</v>
      </c>
      <c r="J92" s="12" t="s">
        <v>43</v>
      </c>
      <c r="K92" s="12" t="s">
        <v>115</v>
      </c>
      <c r="L92" s="12" t="s">
        <v>44</v>
      </c>
      <c r="M92" s="30">
        <v>45915</v>
      </c>
      <c r="N92" s="14">
        <f>IF(M92="",                                                                                                                                                                                                  "",
   WORKDAY(
      M92,
      IF(I92="S-Special",                                                                                                                                                                                                   45,
         IF(OR(I92="O-General",                                                                                                                                                                                                   I92="S-General"),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45978</v>
      </c>
      <c r="O92" s="30"/>
      <c r="P92" s="13">
        <f ca="1">IF(M92="",                                                                                                                                                                                                   "",
   NETWORKDAYS(
      M92,
      IF(O92&lt;&gt;"",                                                                                                                                                                                                   O92,                                                                                                                                                                                                   TODAY()),
      Dropdown!$A$2:$A$100
   )
)</f>
        <v>208</v>
      </c>
      <c r="Q92" s="13" t="str">
        <f ca="1">IF(P92="",                                                                                                                                                                                                   "",
   IF(OR(I92="O-General",                                                                                                                                                                                                   I92="S-General"),
      IF(P92&lt;=30,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IF(I92="S-Special",
         IF(P92&lt;=45,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2" s="13"/>
      <c r="S92" s="18"/>
      <c r="T92" s="18"/>
      <c r="U92" s="18"/>
      <c r="V92" s="18"/>
      <c r="W92" s="29">
        <v>46023</v>
      </c>
      <c r="X92" s="18"/>
      <c r="Y92" s="25"/>
      <c r="Z92" s="34" t="s">
        <v>216</v>
      </c>
      <c r="AA92" s="27"/>
      <c r="AB92" s="18"/>
      <c r="AC92" s="18"/>
      <c r="AD92" s="18"/>
      <c r="AE92" s="18"/>
      <c r="AF92" s="18"/>
      <c r="AG92" s="18"/>
      <c r="AH92" s="18"/>
      <c r="AI92" s="15"/>
      <c r="AJ92" s="8"/>
    </row>
    <row r="93" spans="1:36" s="11" customFormat="1" ht="41.45" hidden="1" customHeight="1">
      <c r="A93" s="51">
        <v>2025</v>
      </c>
      <c r="B93" s="22" t="str">
        <f>IF(M93="",   "",   TEXT(M93,   "[$-en-US]mmm"))</f>
        <v>Oct</v>
      </c>
      <c r="C93" s="22" t="s">
        <v>46</v>
      </c>
      <c r="D93" s="24" t="s">
        <v>47</v>
      </c>
      <c r="E93" s="19" t="s">
        <v>281</v>
      </c>
      <c r="F93" s="19" t="s">
        <v>146</v>
      </c>
      <c r="G93" s="19" t="s">
        <v>282</v>
      </c>
      <c r="H93" s="19" t="s">
        <v>283</v>
      </c>
      <c r="I93" s="12" t="s">
        <v>42</v>
      </c>
      <c r="J93" s="18" t="s">
        <v>84</v>
      </c>
      <c r="K93" s="18" t="s">
        <v>53</v>
      </c>
      <c r="L93" s="18" t="s">
        <v>84</v>
      </c>
      <c r="M93" s="30">
        <v>45957</v>
      </c>
      <c r="N93" s="14">
        <f>IF(M93="",                                                                                                                                                                                                  "",
   WORKDAY(
      M93,
      IF(I93="S-Special",                                                                                                                                                                                                   45,
         IF(OR(I93="O-General",                                                                                                                                                                                                   I93="S-General"),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45999</v>
      </c>
      <c r="O93" s="30">
        <v>45981</v>
      </c>
      <c r="P93" s="13">
        <f ca="1">IF(M93="",                                                                                                                                                                                                   "",
   NETWORKDAYS(
      M93,
      IF(O93&lt;&gt;"",                                                                                                                                                                                                   O93,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93" s="13" t="str">
        <f ca="1">IF(P93="",                                                                                                                                                                                                   "",
   IF(OR(I93="O-General",                                                                                                                                                                                                   I93="S-General"),
      IF(P93&lt;=30,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IF(I93="S-Special",
         IF(P93&lt;=45,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3" s="13"/>
      <c r="S93" s="18"/>
      <c r="T93" s="18"/>
      <c r="U93" s="18"/>
      <c r="V93" s="18"/>
      <c r="W93" s="29"/>
      <c r="X93" s="18"/>
      <c r="Y93" s="25"/>
      <c r="Z93" s="18"/>
      <c r="AA93" s="27"/>
      <c r="AB93" s="18"/>
      <c r="AC93" s="18"/>
      <c r="AD93" s="18"/>
      <c r="AE93" s="18"/>
      <c r="AF93" s="18"/>
      <c r="AG93" s="18"/>
      <c r="AH93" s="18"/>
      <c r="AI93" s="15"/>
      <c r="AJ93" s="8"/>
    </row>
    <row r="94" spans="1:36" s="11" customFormat="1" ht="41.45" hidden="1" customHeight="1">
      <c r="A94" s="51">
        <v>2025</v>
      </c>
      <c r="B94" s="22" t="str">
        <f>IF(M94="",   "",   TEXT(M94,   "[$-en-US]mmm"))</f>
        <v>Oct</v>
      </c>
      <c r="C94" s="22" t="s">
        <v>36</v>
      </c>
      <c r="D94" s="22" t="s">
        <v>181</v>
      </c>
      <c r="E94" s="17" t="s">
        <v>284</v>
      </c>
      <c r="F94" s="18" t="s">
        <v>62</v>
      </c>
      <c r="G94" s="18" t="s">
        <v>105</v>
      </c>
      <c r="H94" s="18" t="s">
        <v>250</v>
      </c>
      <c r="I94" s="18" t="s">
        <v>42</v>
      </c>
      <c r="J94" s="12" t="s">
        <v>43</v>
      </c>
      <c r="K94" s="18" t="s">
        <v>53</v>
      </c>
      <c r="L94" s="12" t="s">
        <v>44</v>
      </c>
      <c r="M94" s="30">
        <v>45950</v>
      </c>
      <c r="N94" s="14">
        <f>IF(M94="",                                                                                                                                                                                                  "",
   WORKDAY(
      M94,
      IF(I94="S-Special",                                                                                                                                                                                                   45,
         IF(OR(I94="O-General",                                                                                                                                                                                                   I94="S-General"),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4" s="30">
        <v>46007</v>
      </c>
      <c r="P94" s="13">
        <f ca="1">IF(M94="",                                                                                                                                                                                                   "",
   NETWORKDAYS(
      M94,
      IF(O94&lt;&gt;"",                                                                                                                                                                                                   O94,                                                                                                                                                                                                   TODAY()),
      Dropdown!$A$2:$A$100
   )
)</f>
        <v>42</v>
      </c>
      <c r="Q94" s="13" t="str">
        <f ca="1">IF(P94="",                                                                                                                                                                                                   "",
   IF(OR(I94="O-General",                                                                                                                                                                                                   I94="S-General"),
      IF(P94&lt;=30,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IF(I94="S-Special",
         IF(P94&lt;=45,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4" s="13"/>
      <c r="S94" s="18"/>
      <c r="T94" s="18"/>
      <c r="U94" s="18"/>
      <c r="V94" s="18"/>
      <c r="W94" s="29">
        <v>46069</v>
      </c>
      <c r="X94" s="18"/>
      <c r="Y94" s="18"/>
      <c r="Z94" s="39" t="s">
        <v>54</v>
      </c>
      <c r="AA94" s="18"/>
      <c r="AB94" s="18"/>
      <c r="AC94" s="18"/>
      <c r="AD94" s="18"/>
      <c r="AE94" s="18"/>
      <c r="AF94" s="18"/>
      <c r="AG94" s="18"/>
      <c r="AH94" s="18"/>
      <c r="AI94" s="15"/>
      <c r="AJ94" s="8"/>
    </row>
    <row r="95" spans="1:36" s="11" customFormat="1" ht="41.45" hidden="1" customHeight="1">
      <c r="A95" s="51">
        <v>2025</v>
      </c>
      <c r="B95" s="22" t="str">
        <f>IF(M95="",   "",   TEXT(M95,   "[$-en-US]mmm"))</f>
        <v>Oct</v>
      </c>
      <c r="C95" s="22" t="s">
        <v>36</v>
      </c>
      <c r="D95" s="22" t="s">
        <v>285</v>
      </c>
      <c r="E95" s="17" t="s">
        <v>286</v>
      </c>
      <c r="F95" s="18" t="s">
        <v>287</v>
      </c>
      <c r="G95" s="18" t="s">
        <v>288</v>
      </c>
      <c r="H95" s="18" t="s">
        <v>289</v>
      </c>
      <c r="I95" s="12" t="s">
        <v>42</v>
      </c>
      <c r="J95" s="12" t="s">
        <v>43</v>
      </c>
      <c r="K95" s="12" t="s">
        <v>115</v>
      </c>
      <c r="L95" s="12" t="s">
        <v>44</v>
      </c>
      <c r="M95" s="30">
        <v>45950</v>
      </c>
      <c r="N95" s="14">
        <f>IF(M95="",                                                                                                                                                                                                  "",
   WORKDAY(
      M95,
      IF(I95="S-Special",                                                                                                                                                                                                   45,
         IF(OR(I95="O-General",                                                                                                                                                                                                   I95="S-General"),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5" s="30">
        <v>45957</v>
      </c>
      <c r="P95" s="13">
        <f ca="1">IF(M95="",                                                                                                                                                                                                   "",
   NETWORKDAYS(
      M95,
      IF(O95&lt;&gt;"",                                                                                                                                                                                                   O95,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95" s="13" t="str">
        <f ca="1">IF(P95="",                                                                                                                                                                                                   "",
   IF(OR(I95="O-General",                                                                                                                                                                                                   I95="S-General"),
      IF(P95&lt;=30,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IF(I95="S-Special",
         IF(P95&lt;=45,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5" s="13"/>
      <c r="S95" s="18"/>
      <c r="T95" s="18"/>
      <c r="U95" s="18"/>
      <c r="V95" s="18"/>
      <c r="W95" s="29">
        <v>46023</v>
      </c>
      <c r="X95" s="18"/>
      <c r="Y95" s="18"/>
      <c r="Z95" s="18" t="s">
        <v>73</v>
      </c>
      <c r="AA95" s="18"/>
      <c r="AB95" s="18"/>
      <c r="AC95" s="18"/>
      <c r="AD95" s="18"/>
      <c r="AE95" s="18"/>
      <c r="AF95" s="18"/>
      <c r="AG95" s="18"/>
      <c r="AH95" s="18"/>
      <c r="AI95" s="15"/>
      <c r="AJ95" s="8"/>
    </row>
    <row r="96" spans="1:36" s="11" customFormat="1" ht="41.45" hidden="1" customHeight="1">
      <c r="A96" s="51">
        <v>2025</v>
      </c>
      <c r="B96" s="22" t="str">
        <f>IF(M96="",   "",   TEXT(M96,   "[$-en-US]mmm"))</f>
        <v>Oct</v>
      </c>
      <c r="C96" s="22" t="s">
        <v>36</v>
      </c>
      <c r="D96" s="24" t="s">
        <v>290</v>
      </c>
      <c r="E96" s="19" t="s">
        <v>291</v>
      </c>
      <c r="F96" s="19" t="s">
        <v>292</v>
      </c>
      <c r="G96" s="19" t="s">
        <v>293</v>
      </c>
      <c r="H96" s="19"/>
      <c r="I96" s="18" t="s">
        <v>42</v>
      </c>
      <c r="J96" s="12" t="s">
        <v>43</v>
      </c>
      <c r="K96" s="18" t="s">
        <v>53</v>
      </c>
      <c r="L96" s="12" t="s">
        <v>44</v>
      </c>
      <c r="M96" s="30">
        <v>45950</v>
      </c>
      <c r="N96" s="14">
        <f>IF(M96="",                                                                                                                                                                                                  "",
   WORKDAY(
      M96,
      IF(I96="S-Special",                                                                                                                                                                                                   45,
         IF(OR(I96="O-General",                                                                                                                                                                                                   I96="S-General"),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6" s="30"/>
      <c r="P96" s="13">
        <f ca="1">IF(M96="",                                                                                                                                                                                                   "",
   NETWORKDAYS(
      M96,
      IF(O96&lt;&gt;"",                                                                                                                                                                                                   O96,                                                                                                                                                                                                   TODAY()),
      Dropdown!$A$2:$A$100
   )
)</f>
        <v>183</v>
      </c>
      <c r="Q96" s="13" t="str">
        <f ca="1">IF(P96="",                                                                                                                                                                                                   "",
   IF(OR(I96="O-General",                                                                                                                                                                                                   I96="S-General"),
      IF(P96&lt;=30,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IF(I96="S-Special",
         IF(P96&lt;=45,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6" s="13"/>
      <c r="S96" s="18"/>
      <c r="T96" s="18"/>
      <c r="U96" s="18"/>
      <c r="V96" s="18"/>
      <c r="W96" s="29">
        <v>46054</v>
      </c>
      <c r="X96" s="18"/>
      <c r="Y96" s="18"/>
      <c r="Z96" s="34" t="s">
        <v>216</v>
      </c>
      <c r="AA96" s="18"/>
      <c r="AB96" s="18"/>
      <c r="AC96" s="18"/>
      <c r="AD96" s="18"/>
      <c r="AE96" s="18"/>
      <c r="AF96" s="18"/>
      <c r="AG96" s="18"/>
      <c r="AH96" s="18"/>
      <c r="AI96" s="15"/>
      <c r="AJ96" s="8"/>
    </row>
    <row r="97" spans="1:36" s="11" customFormat="1" ht="41.45" hidden="1" customHeight="1">
      <c r="A97" s="51">
        <v>2025</v>
      </c>
      <c r="B97" s="22" t="str">
        <f>IF(M97="",   "",   TEXT(M97,   "[$-en-US]mmm"))</f>
        <v>Oct</v>
      </c>
      <c r="C97" s="22" t="s">
        <v>36</v>
      </c>
      <c r="D97" s="22" t="s">
        <v>294</v>
      </c>
      <c r="E97" s="17" t="s">
        <v>294</v>
      </c>
      <c r="F97" s="18" t="s">
        <v>175</v>
      </c>
      <c r="G97" s="18" t="s">
        <v>295</v>
      </c>
      <c r="H97" s="18" t="s">
        <v>296</v>
      </c>
      <c r="I97" s="12" t="s">
        <v>52</v>
      </c>
      <c r="J97" s="12" t="s">
        <v>43</v>
      </c>
      <c r="K97" s="18" t="s">
        <v>53</v>
      </c>
      <c r="L97" s="12" t="s">
        <v>44</v>
      </c>
      <c r="M97" s="30">
        <v>45950</v>
      </c>
      <c r="N97" s="14">
        <f>IF(M97="",                                                                                                                                                                                                  "",
   WORKDAY(
      M97,
      IF(I97="S-Special",                                                                                                                                                                                                   45,
         IF(OR(I97="O-General",                                                                                                                                                                                                   I97="S-General"),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46013</v>
      </c>
      <c r="O97" s="30"/>
      <c r="P97" s="13">
        <f ca="1">IF(M97="",                                                                                                                                                                                                   "",
   NETWORKDAYS(
      M97,
      IF(O97&lt;&gt;"",                                                                                                                                                                                                   O97,                                                                                                                                                                                                   TODAY()),
      Dropdown!$A$2:$A$100
   )
)</f>
        <v>183</v>
      </c>
      <c r="Q97" s="13" t="str">
        <f ca="1">IF(P97="",                                                                                                                                                                                                   "",
   IF(OR(I97="O-General",                                                                                                                                                                                                   I97="S-General"),
      IF(P97&lt;=30,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IF(I97="S-Special",
         IF(P97&lt;=45,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97" s="13"/>
      <c r="S97" s="18"/>
      <c r="T97" s="18"/>
      <c r="U97" s="18"/>
      <c r="V97" s="18"/>
      <c r="W97" s="29"/>
      <c r="X97" s="18"/>
      <c r="Y97" s="18"/>
      <c r="Z97" s="18" t="s">
        <v>73</v>
      </c>
      <c r="AA97" s="18"/>
      <c r="AB97" s="18"/>
      <c r="AC97" s="18"/>
      <c r="AD97" s="18"/>
      <c r="AE97" s="18"/>
      <c r="AF97" s="18"/>
      <c r="AG97" s="18"/>
      <c r="AH97" s="18"/>
      <c r="AI97" s="15"/>
      <c r="AJ97" s="8"/>
    </row>
    <row r="98" spans="1:36" s="11" customFormat="1" ht="41.45" hidden="1" customHeight="1">
      <c r="A98" s="51">
        <v>2025</v>
      </c>
      <c r="B98" s="22" t="str">
        <f>IF(M98="",   "",   TEXT(M98,   "[$-en-US]mmm"))</f>
        <v>Oct</v>
      </c>
      <c r="C98" s="22" t="s">
        <v>36</v>
      </c>
      <c r="D98" s="24" t="s">
        <v>297</v>
      </c>
      <c r="E98" s="19" t="s">
        <v>117</v>
      </c>
      <c r="F98" s="19" t="s">
        <v>175</v>
      </c>
      <c r="G98" s="19" t="s">
        <v>298</v>
      </c>
      <c r="H98" s="19" t="s">
        <v>299</v>
      </c>
      <c r="I98" s="12" t="s">
        <v>83</v>
      </c>
      <c r="J98" s="12" t="s">
        <v>43</v>
      </c>
      <c r="K98" s="12" t="s">
        <v>73</v>
      </c>
      <c r="L98" s="12" t="s">
        <v>44</v>
      </c>
      <c r="M98" s="30">
        <v>45950</v>
      </c>
      <c r="N98" s="14">
        <f>IF(M98="",                                                                                                                                                                                                  "",
   WORKDAY(
      M98,
      IF(I98="S-Special",                                                                                                                                                                                                   45,
         IF(OR(I98="O-General",                                                                                                                                                                                                   I98="S-General"),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8" s="48">
        <v>45987</v>
      </c>
      <c r="P98" s="13">
        <f ca="1">IF(M98="",                                                                                                                                                                                                   "",
   NETWORKDAYS(
      M98,
      IF(O98&lt;&gt;"",                                                                                                                                                                                                   O98,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98" s="13" t="str">
        <f ca="1">IF(P98="",                                                                                                                                                                                                   "",
   IF(OR(I98="O-General",                                                                                                                                                                                                   I98="S-General"),
      IF(P98&lt;=30,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IF(I98="S-Special",
         IF(P98&lt;=45,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8" s="13"/>
      <c r="S98" s="18"/>
      <c r="T98" s="18"/>
      <c r="U98" s="18"/>
      <c r="V98" s="18"/>
      <c r="W98" s="29">
        <v>46023</v>
      </c>
      <c r="X98" s="18"/>
      <c r="Y98" s="18"/>
      <c r="Z98" s="41" t="s">
        <v>73</v>
      </c>
      <c r="AA98" s="18"/>
      <c r="AB98" s="18"/>
      <c r="AC98" s="18"/>
      <c r="AD98" s="18"/>
      <c r="AE98" s="18"/>
      <c r="AF98" s="18"/>
      <c r="AG98" s="18"/>
      <c r="AH98" s="18"/>
      <c r="AI98" s="15"/>
      <c r="AJ98" s="8"/>
    </row>
    <row r="99" spans="1:36" s="59" customFormat="1" ht="36" hidden="1" customHeight="1">
      <c r="A99" s="58">
        <v>2026</v>
      </c>
      <c r="B99" s="58" t="str">
        <f>IF(M99="", "", TEXT(M99, "[$-en-US]mmm"))</f>
        <v>Jan</v>
      </c>
      <c r="C99" s="58" t="s">
        <v>36</v>
      </c>
      <c r="D99" s="58" t="s">
        <v>167</v>
      </c>
      <c r="E99" s="58" t="s">
        <v>167</v>
      </c>
      <c r="F99" s="59" t="s">
        <v>112</v>
      </c>
      <c r="G99" s="58" t="s">
        <v>245</v>
      </c>
      <c r="H99" s="58" t="s">
        <v>300</v>
      </c>
      <c r="I99" s="58" t="s">
        <v>52</v>
      </c>
      <c r="J99" s="58" t="s">
        <v>43</v>
      </c>
      <c r="K99" s="58" t="s">
        <v>53</v>
      </c>
      <c r="L99" s="58" t="s">
        <v>44</v>
      </c>
      <c r="M99" s="60">
        <v>46031</v>
      </c>
      <c r="N99" s="61">
        <f>IF(M99="",                                                                                                                                                                                                  "",
   WORKDAY(
      M99,
      IF(I99="S-Special",                                                                                                                                                                                                   45,
         IF(OR(I99="O-General",                                                                                                                                                                                                   I99="S-General"),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99" s="62">
        <v>46048</v>
      </c>
      <c r="P99" s="58">
        <f ca="1">IF(M99="",                                                                                                                                                                                                   "",
   NETWORKDAYS(
      M99,
      IF(O99&lt;&gt;"",                                                                                                                                                                                                   O99,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99" s="58" t="str">
        <f ca="1">IF(P99="",                                                                                                                                                                                                   "",
   IF(OR(I99="O-General",                                                                                                                                                                                                   I99="S-General"),
      IF(P99&lt;=30,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IF(I99="S-Special",
         IF(P99&lt;=45,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9" s="58" t="s">
        <v>301</v>
      </c>
      <c r="S99" s="58">
        <v>15432</v>
      </c>
      <c r="T99" s="58" t="s">
        <v>302</v>
      </c>
      <c r="U99" s="58"/>
      <c r="V99" s="119" t="s">
        <v>303</v>
      </c>
      <c r="W99" s="58" t="s">
        <v>304</v>
      </c>
      <c r="X99" s="58"/>
      <c r="Y99" s="61">
        <v>46097</v>
      </c>
      <c r="Z99" s="58" t="s">
        <v>216</v>
      </c>
      <c r="AA99" s="58"/>
      <c r="AB99" s="58"/>
      <c r="AC99" s="63">
        <v>55</v>
      </c>
      <c r="AD99" s="63">
        <v>3</v>
      </c>
      <c r="AE99" s="63">
        <v>2</v>
      </c>
      <c r="AF99" s="63"/>
      <c r="AG99" s="63"/>
      <c r="AH99" s="59">
        <v>1</v>
      </c>
      <c r="AI99" s="63"/>
    </row>
    <row r="100" spans="1:36" s="65" customFormat="1" ht="36" hidden="1" customHeight="1">
      <c r="A100" s="64">
        <v>2026</v>
      </c>
      <c r="B100" s="58" t="str">
        <f>IF(M100="", "", TEXT(M100, "[$-en-US]mmm"))</f>
        <v>Jan</v>
      </c>
      <c r="C100" s="64" t="s">
        <v>36</v>
      </c>
      <c r="D100" s="64" t="s">
        <v>305</v>
      </c>
      <c r="E100" s="64" t="s">
        <v>305</v>
      </c>
      <c r="F100" s="65" t="s">
        <v>112</v>
      </c>
      <c r="G100" s="64" t="s">
        <v>306</v>
      </c>
      <c r="H100" s="64" t="s">
        <v>114</v>
      </c>
      <c r="I100" s="64" t="s">
        <v>52</v>
      </c>
      <c r="J100" s="64" t="s">
        <v>43</v>
      </c>
      <c r="K100" s="64" t="s">
        <v>115</v>
      </c>
      <c r="L100" s="64" t="s">
        <v>44</v>
      </c>
      <c r="M100" s="66">
        <v>46031</v>
      </c>
      <c r="N100" s="67">
        <f>IF(M100="",                                                                                                                                                                                                  "",
   WORKDAY(
      M100,
      IF(I100="S-Special",                                                                                                                                                                                                   45,
         IF(OR(I100="O-General",                                                                                                                                                                                                   I100="S-General"),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100" s="68">
        <v>46182</v>
      </c>
      <c r="P100" s="64">
        <f ca="1">IF(M100="",                                                                                                                                                                                                   "",
   NETWORKDAYS(
      M100,
      IF(O100&lt;&gt;"",                                                                                                                                                                                                   O100,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100" s="64" t="str">
        <f ca="1">IF(P100="",                                                                                                                                                                                                   "",
   IF(OR(I100="O-General",                                                                                                                                                                                                   I100="S-General"),
      IF(P100&lt;=30,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IF(I100="S-Special",
         IF(P100&lt;=45,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00" s="64" t="s">
        <v>301</v>
      </c>
      <c r="S100" s="64">
        <v>15166</v>
      </c>
      <c r="T100" s="64" t="s">
        <v>307</v>
      </c>
      <c r="U100" s="64"/>
      <c r="V100" s="120" t="s">
        <v>308</v>
      </c>
      <c r="W100" s="58" t="s">
        <v>309</v>
      </c>
      <c r="X100" s="64"/>
      <c r="Y100" s="67"/>
      <c r="Z100" s="64" t="s">
        <v>216</v>
      </c>
      <c r="AA100" s="64"/>
      <c r="AB100" s="64"/>
      <c r="AC100" s="69">
        <v>134</v>
      </c>
      <c r="AD100" s="69">
        <v>4</v>
      </c>
      <c r="AE100" s="69">
        <v>0</v>
      </c>
      <c r="AF100" s="69"/>
      <c r="AG100" s="69"/>
      <c r="AH100" s="65">
        <v>1</v>
      </c>
      <c r="AI100" s="69"/>
    </row>
    <row r="101" spans="1:36" s="70" customFormat="1" ht="36" hidden="1" customHeight="1">
      <c r="A101" s="65">
        <v>2026</v>
      </c>
      <c r="B101" s="58" t="str">
        <f>IF(M101="", "", TEXT(M101, "[$-en-US]mmm"))</f>
        <v>Feb</v>
      </c>
      <c r="C101" s="64" t="s">
        <v>36</v>
      </c>
      <c r="D101" s="65" t="s">
        <v>310</v>
      </c>
      <c r="E101" s="65" t="s">
        <v>310</v>
      </c>
      <c r="F101" s="65" t="s">
        <v>49</v>
      </c>
      <c r="G101" s="65" t="s">
        <v>262</v>
      </c>
      <c r="H101" s="65" t="s">
        <v>311</v>
      </c>
      <c r="I101" s="64" t="s">
        <v>52</v>
      </c>
      <c r="J101" s="64" t="s">
        <v>43</v>
      </c>
      <c r="K101" s="65" t="s">
        <v>53</v>
      </c>
      <c r="L101" s="64" t="s">
        <v>44</v>
      </c>
      <c r="M101" s="66">
        <v>46070</v>
      </c>
      <c r="N101" s="67">
        <f>IF(M101="",                                                                                                                                                                                                  "",
   WORKDAY(
      M101,
      IF(I101="S-Special",                                                                                                                                                                                                   45,
         IF(OR(I101="O-General",                                                                                                                                                                                                   I101="S-General"),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46140</v>
      </c>
      <c r="O101" s="68">
        <v>46106</v>
      </c>
      <c r="P101" s="64">
        <f ca="1">IF(M101="",                                                                                                                                                                                                   "",
   NETWORKDAYS(
      M101,
      IF(O101&lt;&gt;"",                                                                                                                                                                                                   O101,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01" s="64" t="str">
        <f ca="1">IF(P101="",                                                                                                                                                                                                   "",
   IF(OR(I101="O-General",                                                                                                                                                                                                   I101="S-General"),
      IF(P101&lt;=30,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IF(I101="S-Special",
         IF(P101&lt;=45,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1" s="64" t="s">
        <v>301</v>
      </c>
      <c r="S101" s="65">
        <v>16631</v>
      </c>
      <c r="T101" s="65"/>
      <c r="U101" s="65"/>
      <c r="V101" s="121" t="s">
        <v>312</v>
      </c>
      <c r="W101" s="58" t="s">
        <v>313</v>
      </c>
      <c r="X101" s="65"/>
      <c r="Y101" s="68"/>
      <c r="Z101" s="64" t="s">
        <v>216</v>
      </c>
      <c r="AA101" s="65"/>
      <c r="AB101" s="65"/>
      <c r="AC101" s="69">
        <v>250</v>
      </c>
      <c r="AD101" s="69">
        <v>9</v>
      </c>
      <c r="AE101" s="69">
        <v>2</v>
      </c>
      <c r="AF101" s="69"/>
      <c r="AG101" s="69"/>
      <c r="AH101" s="65">
        <v>1</v>
      </c>
      <c r="AI101" s="69"/>
    </row>
    <row r="102" spans="1:36" s="65" customFormat="1" ht="36" hidden="1" customHeight="1">
      <c r="A102" s="65">
        <v>2026</v>
      </c>
      <c r="B102" s="58" t="str">
        <f>IF(M102="", "", TEXT(M102, "[$-en-US]mmm"))</f>
        <v>Feb</v>
      </c>
      <c r="C102" s="64" t="s">
        <v>36</v>
      </c>
      <c r="D102" s="65" t="s">
        <v>314</v>
      </c>
      <c r="E102" s="65" t="s">
        <v>314</v>
      </c>
      <c r="F102" s="65" t="s">
        <v>76</v>
      </c>
      <c r="G102" s="65" t="s">
        <v>315</v>
      </c>
      <c r="H102" s="65" t="s">
        <v>316</v>
      </c>
      <c r="I102" s="64" t="s">
        <v>42</v>
      </c>
      <c r="J102" s="64" t="s">
        <v>84</v>
      </c>
      <c r="L102" s="64" t="s">
        <v>84</v>
      </c>
      <c r="M102" s="66">
        <v>46070</v>
      </c>
      <c r="N102" s="67">
        <f>IF(M102="",                                                                                                                                                                                                  "",
   WORKDAY(
      M102,
      IF(I102="S-Special",                                                                                                                                                                                                   45,
         IF(OR(I102="O-General",                                                                                                                                                                                                   I102="S-General"),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2" s="68">
        <v>46184</v>
      </c>
      <c r="P102" s="64">
        <f ca="1">IF(M102="",                                                                                                                                                                                                   "",
   NETWORKDAYS(
      M102,
      IF(O102&lt;&gt;"",                                                                                                                                                                                                   O102,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102" s="64" t="str">
        <f ca="1">IF(P102="",                                                                                                                                                                                                   "",
   IF(OR(I102="O-General",                                                                                                                                                                                                   I102="S-General"),
      IF(P102&lt;=30,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IF(I102="S-Special",
         IF(P102&lt;=45,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02" s="64" t="s">
        <v>301</v>
      </c>
      <c r="V102" s="121"/>
      <c r="W102" s="65" t="s">
        <v>304</v>
      </c>
      <c r="Y102" s="68"/>
      <c r="Z102" s="64"/>
      <c r="AC102" s="69"/>
      <c r="AD102" s="69"/>
      <c r="AE102" s="69"/>
      <c r="AF102" s="69"/>
      <c r="AG102" s="69"/>
      <c r="AI102" s="69"/>
    </row>
    <row r="103" spans="1:36" s="70" customFormat="1" ht="36" hidden="1" customHeight="1">
      <c r="A103" s="65">
        <v>2026</v>
      </c>
      <c r="B103" s="58" t="str">
        <f>IF(M103="", "", TEXT(M103, "[$-en-US]mmm"))</f>
        <v>Feb</v>
      </c>
      <c r="C103" s="64" t="s">
        <v>36</v>
      </c>
      <c r="D103" s="65" t="s">
        <v>317</v>
      </c>
      <c r="E103" s="65" t="s">
        <v>317</v>
      </c>
      <c r="F103" s="65" t="s">
        <v>292</v>
      </c>
      <c r="G103" s="64" t="s">
        <v>318</v>
      </c>
      <c r="H103" s="65" t="s">
        <v>319</v>
      </c>
      <c r="I103" s="64" t="s">
        <v>52</v>
      </c>
      <c r="J103" s="64" t="s">
        <v>43</v>
      </c>
      <c r="K103" s="65" t="s">
        <v>320</v>
      </c>
      <c r="L103" s="64" t="s">
        <v>44</v>
      </c>
      <c r="M103" s="66">
        <v>46064</v>
      </c>
      <c r="N103" s="67">
        <f>IF(M103="",                                                                                                                                                                                                  "",
   WORKDAY(
      M103,
      IF(I103="S-Special",                                                                                                                                                                                                   45,
         IF(OR(I103="O-General",                                                                                                                                                                                                   I103="S-General"),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46134</v>
      </c>
      <c r="O103" s="97">
        <v>46105</v>
      </c>
      <c r="P103" s="64">
        <f ca="1">IF(M103="",                                                                                                                                                                                                   "",
   NETWORKDAYS(
      M103,
      IF(O103&lt;&gt;"",                                                                                                                                                                                                   O103,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03" s="64" t="str">
        <f ca="1">IF(P103="",                                                                                                                                                                                                   "",
   IF(OR(I103="O-General",                                                                                                                                                                                                   I103="S-General"),
      IF(P103&lt;=30,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IF(I103="S-Special",
         IF(P103&lt;=45,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3" s="64" t="s">
        <v>301</v>
      </c>
      <c r="S103" s="65">
        <v>16552</v>
      </c>
      <c r="T103" s="65" t="s">
        <v>321</v>
      </c>
      <c r="U103" s="65"/>
      <c r="V103" s="121" t="s">
        <v>322</v>
      </c>
      <c r="W103" s="65" t="s">
        <v>323</v>
      </c>
      <c r="X103" s="65"/>
      <c r="Y103" s="68"/>
      <c r="Z103" s="64" t="s">
        <v>216</v>
      </c>
      <c r="AA103" s="65"/>
      <c r="AB103" s="65"/>
      <c r="AC103" s="69">
        <v>27</v>
      </c>
      <c r="AD103" s="69">
        <v>8</v>
      </c>
      <c r="AE103" s="69">
        <v>3</v>
      </c>
      <c r="AF103" s="69"/>
      <c r="AG103" s="69"/>
      <c r="AH103" s="65">
        <v>1</v>
      </c>
      <c r="AI103" s="69"/>
    </row>
    <row r="104" spans="1:36" s="65" customFormat="1" ht="36" hidden="1" customHeight="1">
      <c r="A104" s="65">
        <v>2026</v>
      </c>
      <c r="B104" s="58" t="str">
        <f>IF(M104="", "", TEXT(M104, "[$-en-US]mmm"))</f>
        <v>Feb</v>
      </c>
      <c r="C104" s="64" t="s">
        <v>36</v>
      </c>
      <c r="D104" s="65" t="s">
        <v>238</v>
      </c>
      <c r="E104" s="65" t="s">
        <v>238</v>
      </c>
      <c r="F104" s="65" t="s">
        <v>49</v>
      </c>
      <c r="G104" s="65" t="s">
        <v>98</v>
      </c>
      <c r="H104" s="65" t="s">
        <v>324</v>
      </c>
      <c r="I104" s="64" t="s">
        <v>42</v>
      </c>
      <c r="J104" s="64" t="s">
        <v>43</v>
      </c>
      <c r="K104" s="65" t="s">
        <v>53</v>
      </c>
      <c r="L104" s="64" t="s">
        <v>44</v>
      </c>
      <c r="M104" s="66">
        <v>46070</v>
      </c>
      <c r="N104" s="67">
        <f>IF(M104="",                                                                                                                                                                                                  "",
   WORKDAY(
      M104,
      IF(I104="S-Special",                                                                                                                                                                                                   45,
         IF(OR(I104="O-General",                                                                                                                                                                                                   I104="S-General"),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4" s="98">
        <v>46105</v>
      </c>
      <c r="P104" s="64">
        <f ca="1">IF(M104="",                                                                                                                                                                                                   "",
   NETWORKDAYS(
      M104,
      IF(O104&lt;&gt;"",                                                                                                                                                                                                   O104,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04" s="64" t="str">
        <f ca="1">IF(P104="",                                                                                                                                                                                                   "",
   IF(OR(I104="O-General",                                                                                                                                                                                                   I104="S-General"),
      IF(P104&lt;=30,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IF(I104="S-Special",
         IF(P104&lt;=45,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4" s="64"/>
      <c r="V104" s="121" t="s">
        <v>325</v>
      </c>
      <c r="W104" s="65" t="s">
        <v>326</v>
      </c>
      <c r="Y104" s="68"/>
      <c r="Z104" s="64" t="s">
        <v>216</v>
      </c>
      <c r="AC104" s="69">
        <v>274</v>
      </c>
      <c r="AD104" s="69">
        <v>5</v>
      </c>
      <c r="AE104" s="69">
        <v>2</v>
      </c>
      <c r="AF104" s="69"/>
      <c r="AG104" s="69"/>
      <c r="AH104" s="65">
        <v>1</v>
      </c>
      <c r="AI104" s="69"/>
    </row>
    <row r="105" spans="1:36" s="70" customFormat="1" ht="36" hidden="1" customHeight="1">
      <c r="A105" s="65">
        <v>2026</v>
      </c>
      <c r="B105" s="58" t="str">
        <f>IF(M105="", "", TEXT(M105, "[$-en-US]mmm"))</f>
        <v>Mar</v>
      </c>
      <c r="C105" s="64" t="s">
        <v>36</v>
      </c>
      <c r="D105" s="65" t="s">
        <v>310</v>
      </c>
      <c r="E105" s="65" t="s">
        <v>310</v>
      </c>
      <c r="F105" s="65" t="s">
        <v>49</v>
      </c>
      <c r="G105" s="65" t="s">
        <v>262</v>
      </c>
      <c r="H105" s="65" t="s">
        <v>311</v>
      </c>
      <c r="I105" s="64" t="s">
        <v>52</v>
      </c>
      <c r="J105" s="64" t="s">
        <v>43</v>
      </c>
      <c r="K105" s="65" t="s">
        <v>53</v>
      </c>
      <c r="L105" s="64" t="s">
        <v>44</v>
      </c>
      <c r="M105" s="66">
        <v>46094</v>
      </c>
      <c r="N105" s="67">
        <f>IF(M105="",                                                                                                                                                                                                  "",
   WORKDAY(
      M105,
      IF(I105="S-Special",                                                                                                                                                                                                   45,
         IF(OR(I105="O-General",                                                                                                                                                                                                   I105="S-General"),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46168</v>
      </c>
      <c r="O105" s="68">
        <v>46104</v>
      </c>
      <c r="P105" s="64">
        <f ca="1">IF(M105="",                                                                                                                                                                                                   "",
   NETWORKDAYS(
      M105,
      IF(O105&lt;&gt;"",                                                                                                                                                                                                   O105,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05" s="64" t="str">
        <f ca="1">IF(P105="",                                                                                                                                                                                                   "",
   IF(OR(I105="O-General",                                                                                                                                                                                                   I105="S-General"),
      IF(P105&lt;=30,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IF(I105="S-Special",
         IF(P105&lt;=45,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5" s="64" t="s">
        <v>301</v>
      </c>
      <c r="S105" s="65">
        <v>15969</v>
      </c>
      <c r="T105" s="65"/>
      <c r="U105" s="65"/>
      <c r="V105" s="121" t="s">
        <v>327</v>
      </c>
      <c r="W105" s="65" t="s">
        <v>313</v>
      </c>
      <c r="X105" s="65"/>
      <c r="Y105" s="68"/>
      <c r="Z105" s="64" t="s">
        <v>216</v>
      </c>
      <c r="AA105" s="65"/>
      <c r="AB105" s="65"/>
      <c r="AC105" s="69"/>
      <c r="AD105" s="69"/>
      <c r="AE105" s="69"/>
      <c r="AF105" s="69"/>
      <c r="AG105" s="69"/>
      <c r="AH105" s="65"/>
      <c r="AI105" s="69"/>
    </row>
    <row r="106" spans="1:36" s="65" customFormat="1" ht="36" hidden="1" customHeight="1">
      <c r="A106" s="65">
        <v>2026</v>
      </c>
      <c r="B106" s="58" t="str">
        <f>IF(M106="", "", TEXT(M106, "[$-en-US]mmm"))</f>
        <v>Mar</v>
      </c>
      <c r="C106" s="64" t="s">
        <v>36</v>
      </c>
      <c r="D106" s="65" t="s">
        <v>328</v>
      </c>
      <c r="E106" s="65" t="s">
        <v>329</v>
      </c>
      <c r="I106" s="64" t="s">
        <v>42</v>
      </c>
      <c r="J106" s="64" t="s">
        <v>43</v>
      </c>
      <c r="K106" s="65" t="s">
        <v>53</v>
      </c>
      <c r="L106" s="64" t="s">
        <v>44</v>
      </c>
      <c r="M106" s="66">
        <v>46091</v>
      </c>
      <c r="N106" s="67">
        <f>IF(M106="",                                                                                                                                                                                                  "",
   WORKDAY(
      M106,
      IF(I106="S-Special",                                                                                                                                                                                                   45,
         IF(OR(I106="O-General",                                                                                                                                                                                                   I106="S-General"),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6" s="68">
        <v>46142</v>
      </c>
      <c r="P106" s="64">
        <f ca="1">IF(M106="",                                                                                                                                                                                                   "",
   NETWORKDAYS(
      M106,
      IF(O106&lt;&gt;"",                                                                                                                                                                                                   O106,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106" s="64" t="str">
        <f ca="1">IF(P106="",                                                                                                                                                                                                   "",
   IF(OR(I106="O-General",                                                                                                                                                                                                   I106="S-General"),
      IF(P106&lt;=30,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IF(I106="S-Special",
         IF(P106&lt;=45,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06" s="64" t="s">
        <v>330</v>
      </c>
      <c r="V106" s="121" t="s">
        <v>331</v>
      </c>
      <c r="W106" s="65" t="s">
        <v>332</v>
      </c>
      <c r="Y106" s="68"/>
      <c r="Z106" s="64" t="s">
        <v>54</v>
      </c>
      <c r="AC106" s="69"/>
      <c r="AD106" s="69"/>
      <c r="AE106" s="69"/>
      <c r="AF106" s="69"/>
      <c r="AG106" s="69"/>
      <c r="AI106" s="69"/>
    </row>
    <row r="107" spans="1:36" s="70" customFormat="1" ht="36" hidden="1" customHeight="1">
      <c r="A107" s="65">
        <v>2026</v>
      </c>
      <c r="B107" s="58" t="str">
        <f>IF(M107="", "", TEXT(M107, "[$-en-US]mmm"))</f>
        <v>Mar</v>
      </c>
      <c r="C107" s="64" t="s">
        <v>36</v>
      </c>
      <c r="D107" s="65" t="s">
        <v>247</v>
      </c>
      <c r="E107" s="65" t="s">
        <v>247</v>
      </c>
      <c r="F107" s="65" t="s">
        <v>333</v>
      </c>
      <c r="G107" s="65" t="s">
        <v>157</v>
      </c>
      <c r="H107" s="65" t="s">
        <v>334</v>
      </c>
      <c r="I107" s="64" t="s">
        <v>42</v>
      </c>
      <c r="J107" s="64" t="s">
        <v>43</v>
      </c>
      <c r="K107" s="65" t="s">
        <v>53</v>
      </c>
      <c r="L107" s="64" t="s">
        <v>44</v>
      </c>
      <c r="M107" s="66">
        <v>46091</v>
      </c>
      <c r="N107" s="67">
        <f>IF(M107="",                                                                                                                                                                                                  "",
   WORKDAY(
      M107,
      IF(I107="S-Special",                                                                                                                                                                                                   45,
         IF(OR(I107="O-General",                                                                                                                                                                                                   I107="S-General"),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7" s="68">
        <v>46096</v>
      </c>
      <c r="P107" s="64">
        <f ca="1">IF(M107="",                                                                                                                                                                                                   "",
   NETWORKDAYS(
      M107,
      IF(O107&lt;&gt;"",                                                                                                                                                                                                   O107,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07" s="64" t="str">
        <f ca="1">IF(P107="",                                                                                                                                                                                                   "",
   IF(OR(I107="O-General",                                                                                                                                                                                                   I107="S-General"),
      IF(P107&lt;=30,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IF(I107="S-Special",
         IF(P107&lt;=45,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7" s="64" t="s">
        <v>301</v>
      </c>
      <c r="S107" s="65">
        <v>16733</v>
      </c>
      <c r="T107" s="65" t="s">
        <v>335</v>
      </c>
      <c r="U107" s="65">
        <v>16749</v>
      </c>
      <c r="V107" s="121" t="s">
        <v>336</v>
      </c>
      <c r="W107" s="65" t="s">
        <v>323</v>
      </c>
      <c r="X107" s="65"/>
      <c r="Y107" s="68"/>
      <c r="Z107" s="64" t="s">
        <v>216</v>
      </c>
      <c r="AA107" s="65"/>
      <c r="AB107" s="65"/>
      <c r="AC107" s="69"/>
      <c r="AD107" s="69"/>
      <c r="AE107" s="69"/>
      <c r="AF107" s="69"/>
      <c r="AG107" s="69"/>
      <c r="AH107" s="65"/>
      <c r="AI107" s="69"/>
    </row>
    <row r="108" spans="1:36" s="70" customFormat="1" ht="36" hidden="1" customHeight="1">
      <c r="A108" s="71">
        <v>2026</v>
      </c>
      <c r="B108" s="64" t="str">
        <f>IF(M108="", "", TEXT(M108, "[$-en-US]mmmm"))</f>
        <v>March</v>
      </c>
      <c r="C108" s="64" t="s">
        <v>36</v>
      </c>
      <c r="D108" s="65" t="s">
        <v>337</v>
      </c>
      <c r="E108" s="65" t="s">
        <v>337</v>
      </c>
      <c r="F108" s="65" t="s">
        <v>292</v>
      </c>
      <c r="G108" s="65" t="s">
        <v>318</v>
      </c>
      <c r="H108" s="65" t="s">
        <v>338</v>
      </c>
      <c r="I108" s="64" t="s">
        <v>52</v>
      </c>
      <c r="J108" s="64" t="s">
        <v>43</v>
      </c>
      <c r="K108" s="65" t="s">
        <v>53</v>
      </c>
      <c r="L108" s="64" t="s">
        <v>44</v>
      </c>
      <c r="M108" s="66">
        <v>46098</v>
      </c>
      <c r="N108" s="67">
        <f>IF(M108="",                                                                                                                                                                                                  "",
   WORKDAY(
      M108,
      IF(I108="S-Special",                                                                                                                                                                                                   45,
         IF(OR(I108="O-General",                                                                                                                                                                                                   I108="S-General"),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46170</v>
      </c>
      <c r="O108" s="68">
        <v>46104</v>
      </c>
      <c r="P108" s="64">
        <f ca="1">IF(M108="",                                                                                                                                                                                                   "",
   NETWORKDAYS(
      M108,
      IF(O108&lt;&gt;"",                                                                                                                                                                                                   O108,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08" s="64" t="str">
        <f ca="1">IF(P108="",                                                                                                                                                                                                   "",
   IF(OR(I108="O-General",                                                                                                                                                                                                   I108="S-General"),
      IF(P108&lt;=30,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IF(I108="S-Special",
         IF(P108&lt;=45,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8" s="64" t="s">
        <v>339</v>
      </c>
      <c r="S108" s="65">
        <v>16269</v>
      </c>
      <c r="T108" s="65" t="s">
        <v>340</v>
      </c>
      <c r="U108" s="65"/>
      <c r="V108" s="121" t="s">
        <v>341</v>
      </c>
      <c r="W108" s="65" t="s">
        <v>309</v>
      </c>
      <c r="X108" s="65"/>
      <c r="Y108" s="68"/>
      <c r="Z108" s="64" t="s">
        <v>216</v>
      </c>
      <c r="AA108" s="65"/>
      <c r="AB108" s="65"/>
      <c r="AC108" s="69"/>
      <c r="AD108" s="69"/>
      <c r="AE108" s="69"/>
      <c r="AF108" s="72"/>
      <c r="AG108" s="72"/>
      <c r="AI108" s="69"/>
    </row>
    <row r="109" spans="1:36" s="70" customFormat="1" ht="36" hidden="1" customHeight="1">
      <c r="A109" s="71">
        <v>2026</v>
      </c>
      <c r="B109" s="58" t="str">
        <f>IF(M109="", "", TEXT(M109, "[$-en-US]mmm"))</f>
        <v>May</v>
      </c>
      <c r="C109" s="64" t="s">
        <v>36</v>
      </c>
      <c r="D109" s="65" t="s">
        <v>47</v>
      </c>
      <c r="E109" s="65" t="s">
        <v>249</v>
      </c>
      <c r="F109" s="65" t="s">
        <v>62</v>
      </c>
      <c r="G109" s="65" t="s">
        <v>105</v>
      </c>
      <c r="H109" s="65" t="s">
        <v>342</v>
      </c>
      <c r="I109" s="64" t="s">
        <v>42</v>
      </c>
      <c r="J109" s="64" t="s">
        <v>43</v>
      </c>
      <c r="K109" s="65" t="s">
        <v>53</v>
      </c>
      <c r="L109" s="64" t="s">
        <v>343</v>
      </c>
      <c r="M109" s="66">
        <v>46151</v>
      </c>
      <c r="N109" s="67">
        <f>IF(M109="",                                                                                                                                                                                                  "",
   WORKDAY(
      M109,
      IF(I109="S-Special",                                                                                                                                                                                                   45,
         IF(OR(I109="O-General",                                                                                                                                                                                                   I109="S-General"),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09" s="68">
        <v>46189</v>
      </c>
      <c r="P109" s="64">
        <f ca="1">IF(M109="",                                                                                                                                                                                                   "",
   NETWORKDAYS(
      M109,
      IF(O109&lt;&gt;"",                                                                                                                                                                                                   O109,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09" s="64" t="str">
        <f ca="1">IF(P109="",                                                                                                                                                                                                   "",
   IF(OR(I109="O-General",                                                                                                                                                                                                   I109="S-General"),
      IF(P109&lt;=30,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IF(I109="S-Special",
         IF(P109&lt;=45,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09" s="64" t="s">
        <v>301</v>
      </c>
      <c r="S109" s="65" t="s">
        <v>344</v>
      </c>
      <c r="T109" s="65" t="s">
        <v>345</v>
      </c>
      <c r="U109" s="65"/>
      <c r="V109" s="121" t="s">
        <v>346</v>
      </c>
      <c r="W109" s="65" t="s">
        <v>347</v>
      </c>
      <c r="X109" s="65"/>
      <c r="Y109" s="68"/>
      <c r="Z109" s="64" t="s">
        <v>216</v>
      </c>
      <c r="AA109" s="65"/>
      <c r="AB109" s="65"/>
      <c r="AC109" s="69"/>
      <c r="AD109" s="69"/>
      <c r="AE109" s="69"/>
      <c r="AF109" s="73"/>
      <c r="AG109" s="73"/>
      <c r="AI109" s="69"/>
    </row>
    <row r="110" spans="1:36" s="70" customFormat="1" ht="36" customHeight="1">
      <c r="A110" s="71">
        <v>2026</v>
      </c>
      <c r="B110" s="58" t="str">
        <f>IF(M110="", "", TEXT(M110, "[$-en-US]mmm"))</f>
        <v>May</v>
      </c>
      <c r="C110" s="64" t="s">
        <v>36</v>
      </c>
      <c r="D110" s="65" t="s">
        <v>348</v>
      </c>
      <c r="E110" s="65" t="s">
        <v>349</v>
      </c>
      <c r="F110" s="65" t="s">
        <v>88</v>
      </c>
      <c r="G110" s="65" t="s">
        <v>107</v>
      </c>
      <c r="H110" s="65" t="s">
        <v>350</v>
      </c>
      <c r="I110" s="64" t="s">
        <v>42</v>
      </c>
      <c r="J110" s="64" t="s">
        <v>43</v>
      </c>
      <c r="K110" s="65" t="s">
        <v>53</v>
      </c>
      <c r="L110" s="64" t="s">
        <v>343</v>
      </c>
      <c r="M110" s="66">
        <v>46169</v>
      </c>
      <c r="N110" s="67">
        <f>IF(M110="",                                                                                                                                                                                                  "",
   WORKDAY(
      M110,
      IF(I110="S-Special",                                                                                                                                                                                                   45,
         IF(OR(I110="O-General",                                                                                                                                                                                                   I110="S-General"),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46213</v>
      </c>
      <c r="O110" s="68">
        <v>46209</v>
      </c>
      <c r="P110" s="64">
        <f ca="1">IF(M110="",                                                                                                                                                                                                   "",
   NETWORKDAYS(
      M110,
      IF(O110&lt;&gt;"",                                                                                                                                                                                                   O110,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10" s="64" t="str">
        <f ca="1">IF(P110="",                                                                                                                                                                                                   "",
   IF(OR(I110="O-General",                                                                                                                                                                                                   I110="S-General"),
      IF(P110&lt;=30,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IF(I110="S-Special",
         IF(P110&lt;=45,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0" s="64" t="s">
        <v>339</v>
      </c>
      <c r="S110" s="65">
        <v>15917</v>
      </c>
      <c r="T110" s="65" t="s">
        <v>351</v>
      </c>
      <c r="U110" s="65"/>
      <c r="V110" s="121" t="s">
        <v>352</v>
      </c>
      <c r="W110" s="65" t="s">
        <v>353</v>
      </c>
      <c r="X110" s="65"/>
      <c r="Y110" s="68"/>
      <c r="Z110" s="64" t="s">
        <v>161</v>
      </c>
      <c r="AA110" s="65"/>
      <c r="AB110" s="65"/>
      <c r="AC110" s="69"/>
      <c r="AD110" s="69"/>
      <c r="AE110" s="69"/>
      <c r="AF110" s="73"/>
      <c r="AG110" s="73"/>
      <c r="AI110" s="69"/>
      <c r="AJ110" s="74" t="s">
        <v>354</v>
      </c>
    </row>
    <row r="111" spans="1:36" s="70" customFormat="1" ht="36" customHeight="1">
      <c r="A111" s="71">
        <v>2026</v>
      </c>
      <c r="B111" s="58" t="str">
        <f>IF(M111="", "", TEXT(M111, "[$-en-US]mmm"))</f>
        <v>May</v>
      </c>
      <c r="C111" s="64" t="s">
        <v>36</v>
      </c>
      <c r="D111" s="75" t="s">
        <v>355</v>
      </c>
      <c r="E111" s="75" t="s">
        <v>355</v>
      </c>
      <c r="F111" s="75" t="s">
        <v>88</v>
      </c>
      <c r="G111" s="75" t="s">
        <v>107</v>
      </c>
      <c r="H111" s="75" t="s">
        <v>255</v>
      </c>
      <c r="I111" s="76" t="s">
        <v>42</v>
      </c>
      <c r="J111" s="64" t="s">
        <v>43</v>
      </c>
      <c r="K111" s="65" t="s">
        <v>53</v>
      </c>
      <c r="L111" s="76" t="s">
        <v>343</v>
      </c>
      <c r="M111" s="77">
        <v>46151</v>
      </c>
      <c r="N111" s="78">
        <f>IF(M111="",                                                                                                                                                                                                  "",
   WORKDAY(
      M111,
      IF(I111="S-Special",                                                                                                                                                                                                   45,
         IF(OR(I111="O-General",                                                                                                                                                                                                   I111="S-General"),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11" s="68">
        <v>46184</v>
      </c>
      <c r="P111" s="76">
        <f ca="1">IF(M111="",                                                                                                                                                                                                   "",
   NETWORKDAYS(
      M111,
      IF(O111&lt;&gt;"",                                                                                                                                                                                                   O111,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111" s="76" t="str">
        <f ca="1">IF(P111="",                                                                                                                                                                                                   "",
   IF(OR(I111="O-General",                                                                                                                                                                                                   I111="S-General"),
      IF(P111&lt;=30,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IF(I111="S-Special",
         IF(P111&lt;=45,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1" s="76"/>
      <c r="S111" s="75"/>
      <c r="T111" s="75"/>
      <c r="U111" s="75">
        <v>15880</v>
      </c>
      <c r="V111" s="122" t="s">
        <v>356</v>
      </c>
      <c r="W111" s="75"/>
      <c r="X111" s="75"/>
      <c r="Y111" s="79"/>
      <c r="Z111" s="76" t="s">
        <v>73</v>
      </c>
      <c r="AA111" s="75"/>
      <c r="AB111" s="75"/>
      <c r="AC111" s="80"/>
      <c r="AD111" s="80"/>
      <c r="AE111" s="80"/>
      <c r="AF111" s="72"/>
      <c r="AG111" s="72"/>
      <c r="AH111" s="81"/>
      <c r="AI111" s="80"/>
    </row>
    <row r="112" spans="1:36" s="70" customFormat="1" ht="36" hidden="1" customHeight="1">
      <c r="A112" s="71">
        <v>2026</v>
      </c>
      <c r="B112" s="58" t="str">
        <f>IF(M112="", "", TEXT(M112, "[$-en-US]mmm"))</f>
        <v>Jun</v>
      </c>
      <c r="C112" s="64" t="s">
        <v>36</v>
      </c>
      <c r="D112" s="116" t="s">
        <v>357</v>
      </c>
      <c r="E112" s="65" t="s">
        <v>358</v>
      </c>
      <c r="F112" s="65" t="s">
        <v>112</v>
      </c>
      <c r="G112" s="65" t="s">
        <v>359</v>
      </c>
      <c r="H112" s="65" t="s">
        <v>360</v>
      </c>
      <c r="I112" s="64" t="s">
        <v>52</v>
      </c>
      <c r="J112" s="64" t="s">
        <v>43</v>
      </c>
      <c r="K112" s="65" t="s">
        <v>53</v>
      </c>
      <c r="L112" s="76" t="s">
        <v>361</v>
      </c>
      <c r="M112" s="77">
        <v>46182</v>
      </c>
      <c r="N112" s="67">
        <f>IF(M112="",                                                                                                                                                                                                  "",
   WORKDAY(
      M112,
      IF(I112="S-Special",                                                                                                                                                                                                   45,
         IF(OR(I112="O-General",                                                                                                                                                                                                   I112="S-General"),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2" s="68">
        <v>46212</v>
      </c>
      <c r="P112" s="64">
        <f ca="1">IF(M112="",                                                                                                                                                                                                   "",
   NETWORKDAYS(
      M112,
      IF(O112&lt;&gt;"",                                                                                                                                                                                                   O112,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112" s="64" t="str">
        <f ca="1">IF(P112="",                                                                                                                                                                                                   "",
   IF(OR(I112="O-General",                                                                                                                                                                                                   I112="S-General"),
      IF(P112&lt;=30,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IF(I112="S-Special",
         IF(P112&lt;=45,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2" s="64"/>
      <c r="S112" s="65">
        <v>16124</v>
      </c>
      <c r="T112" s="65"/>
      <c r="U112" s="65"/>
      <c r="V112" s="121"/>
      <c r="W112" s="65"/>
      <c r="X112" s="65"/>
      <c r="Y112" s="68"/>
      <c r="Z112" s="64"/>
      <c r="AA112" s="65"/>
      <c r="AB112" s="65" t="s">
        <v>362</v>
      </c>
      <c r="AC112" s="69"/>
      <c r="AD112" s="69"/>
      <c r="AE112" s="69"/>
      <c r="AF112" s="72"/>
      <c r="AG112" s="72"/>
      <c r="AI112" s="69"/>
      <c r="AJ112" s="74" t="s">
        <v>363</v>
      </c>
    </row>
    <row r="113" spans="1:36" s="70" customFormat="1" ht="36" hidden="1" customHeight="1">
      <c r="A113" s="71">
        <v>2026</v>
      </c>
      <c r="B113" s="58" t="str">
        <f>IF(M113="", "", TEXT(M113, "[$-en-US]mmm"))</f>
        <v>Jun</v>
      </c>
      <c r="C113" s="64" t="s">
        <v>36</v>
      </c>
      <c r="D113" s="75" t="s">
        <v>97</v>
      </c>
      <c r="E113" s="75" t="s">
        <v>97</v>
      </c>
      <c r="F113" s="75" t="s">
        <v>49</v>
      </c>
      <c r="G113" s="75" t="s">
        <v>98</v>
      </c>
      <c r="H113" s="75" t="s">
        <v>99</v>
      </c>
      <c r="I113" s="76" t="s">
        <v>52</v>
      </c>
      <c r="J113" s="64" t="s">
        <v>43</v>
      </c>
      <c r="K113" s="65" t="s">
        <v>53</v>
      </c>
      <c r="L113" s="76" t="s">
        <v>343</v>
      </c>
      <c r="M113" s="77">
        <v>46182</v>
      </c>
      <c r="N113" s="78">
        <f>IF(M113="",                                                                                                                                                                                                  "",
   WORKDAY(
      M113,
      IF(I113="S-Special",                                                                                                                                                                                                   45,
         IF(OR(I113="O-General",                                                                                                                                                                                                   I113="S-General"),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3" s="68">
        <v>46213</v>
      </c>
      <c r="P113" s="76">
        <f ca="1">IF(M113="",                                                                                                                                                                                                   "",
   NETWORKDAYS(
      M113,
      IF(O113&lt;&gt;"",                                                                                                                                                                                                   O113,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3" s="76" t="str">
        <f ca="1">IF(P113="",                                                                                                                                                                                                   "",
   IF(OR(I113="O-General",                                                                                                                                                                                                   I113="S-General"),
      IF(P113&lt;=30,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IF(I113="S-Special",
         IF(P113&lt;=45,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3" s="76"/>
      <c r="S113" s="75">
        <v>16700</v>
      </c>
      <c r="T113" s="75"/>
      <c r="U113" s="75"/>
      <c r="V113" s="122" t="s">
        <v>364</v>
      </c>
      <c r="W113" s="65" t="s">
        <v>365</v>
      </c>
      <c r="X113" s="75"/>
      <c r="Y113" s="79"/>
      <c r="Z113" s="76" t="s">
        <v>216</v>
      </c>
      <c r="AA113" s="75"/>
      <c r="AB113" s="76" t="s">
        <v>366</v>
      </c>
      <c r="AC113" s="80"/>
      <c r="AD113" s="80"/>
      <c r="AE113" s="80"/>
      <c r="AF113" s="72"/>
      <c r="AG113" s="72"/>
      <c r="AH113" s="81"/>
      <c r="AI113" s="80"/>
      <c r="AJ113" s="74" t="s">
        <v>367</v>
      </c>
    </row>
    <row r="114" spans="1:36" s="70" customFormat="1" ht="36" hidden="1" customHeight="1">
      <c r="A114" s="71">
        <v>2026</v>
      </c>
      <c r="B114" s="58" t="str">
        <f>IF(M114="", "", TEXT(M114, "[$-en-US]mmm"))</f>
        <v>Jun</v>
      </c>
      <c r="C114" s="64" t="s">
        <v>36</v>
      </c>
      <c r="D114" s="117" t="s">
        <v>368</v>
      </c>
      <c r="E114" s="75" t="s">
        <v>368</v>
      </c>
      <c r="F114" s="75" t="s">
        <v>175</v>
      </c>
      <c r="G114" s="75" t="s">
        <v>295</v>
      </c>
      <c r="H114" s="75" t="s">
        <v>369</v>
      </c>
      <c r="I114" s="76" t="s">
        <v>42</v>
      </c>
      <c r="J114" s="64" t="s">
        <v>43</v>
      </c>
      <c r="K114" s="65" t="s">
        <v>115</v>
      </c>
      <c r="L114" s="76" t="s">
        <v>370</v>
      </c>
      <c r="M114" s="77">
        <v>46182</v>
      </c>
      <c r="N114" s="78">
        <f>IF(M114="",                                                                                                                                                                                                  "",
   WORKDAY(
      M114,
      IF(I114="S-Special",                                                                                                                                                                                                   45,
         IF(OR(I114="O-General",                                                                                                                                                                                                   I114="S-General"),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4" s="68">
        <v>46220</v>
      </c>
      <c r="P114" s="76">
        <f ca="1">IF(M114="",                                                                                                                                                                                                   "",
   NETWORKDAYS(
      M114,
      IF(O114&lt;&gt;"",                                                                                                                                                                                                   O114,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14" s="76" t="str">
        <f ca="1">IF(P114="",                                                                                                                                                                                                   "",
   IF(OR(I114="O-General",                                                                                                                                                                                                   I114="S-General"),
      IF(P114&lt;=30,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IF(I114="S-Special",
         IF(P114&lt;=45,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4" s="76"/>
      <c r="S114" s="75">
        <v>15889</v>
      </c>
      <c r="T114" s="75"/>
      <c r="U114" s="75"/>
      <c r="V114" s="122"/>
      <c r="W114" s="75"/>
      <c r="X114" s="75"/>
      <c r="Y114" s="79"/>
      <c r="Z114" s="76"/>
      <c r="AA114" s="75"/>
      <c r="AB114" s="75" t="s">
        <v>371</v>
      </c>
      <c r="AC114" s="80"/>
      <c r="AD114" s="80"/>
      <c r="AE114" s="80"/>
      <c r="AF114" s="72"/>
      <c r="AG114" s="72"/>
      <c r="AH114" s="81"/>
      <c r="AI114" s="80"/>
      <c r="AJ114" s="50" t="s">
        <v>372</v>
      </c>
    </row>
    <row r="115" spans="1:36" s="70" customFormat="1" ht="36" hidden="1" customHeight="1">
      <c r="A115" s="71">
        <v>2026</v>
      </c>
      <c r="B115" s="58" t="str">
        <f>IF(M115="", "", TEXT(M115, "[$-en-US]mmm"))</f>
        <v>Jun</v>
      </c>
      <c r="C115" s="64" t="s">
        <v>36</v>
      </c>
      <c r="D115" s="75" t="s">
        <v>373</v>
      </c>
      <c r="E115" s="75" t="s">
        <v>373</v>
      </c>
      <c r="F115" s="75" t="s">
        <v>292</v>
      </c>
      <c r="G115" s="75" t="s">
        <v>293</v>
      </c>
      <c r="H115" s="75"/>
      <c r="I115" s="76" t="s">
        <v>52</v>
      </c>
      <c r="J115" s="64" t="s">
        <v>43</v>
      </c>
      <c r="K115" s="65" t="s">
        <v>53</v>
      </c>
      <c r="L115" s="76" t="s">
        <v>343</v>
      </c>
      <c r="M115" s="77">
        <v>46182</v>
      </c>
      <c r="N115" s="78">
        <f>IF(M115="",                                                                                                                                                                                                  "",
   WORKDAY(
      M115,
      IF(I115="S-Special",                                                                                                                                                                                                   45,
         IF(OR(I115="O-General",                                                                                                                                                                                                   I115="S-General"),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5" s="68">
        <v>46213</v>
      </c>
      <c r="P115" s="76">
        <f ca="1">IF(M115="",                                                                                                                                                                                                   "",
   NETWORKDAYS(
      M115,
      IF(O115&lt;&gt;"",                                                                                                                                                                                                   O115,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5" s="76" t="str">
        <f ca="1">IF(P115="",                                                                                                                                                                                                   "",
   IF(OR(I115="O-General",                                                                                                                                                                                                   I115="S-General"),
      IF(P115&lt;=30,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IF(I115="S-Special",
         IF(P115&lt;=45,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5" s="76"/>
      <c r="S115" s="75">
        <v>16266</v>
      </c>
      <c r="T115" s="75"/>
      <c r="U115" s="81"/>
      <c r="V115" s="125" t="s">
        <v>374</v>
      </c>
      <c r="W115" s="127"/>
      <c r="X115" s="75"/>
      <c r="Y115" s="79"/>
      <c r="Z115" s="76" t="s">
        <v>216</v>
      </c>
      <c r="AA115" s="75"/>
      <c r="AB115" s="65" t="s">
        <v>362</v>
      </c>
      <c r="AC115" s="80"/>
      <c r="AD115" s="80"/>
      <c r="AE115" s="80"/>
      <c r="AF115" s="72"/>
      <c r="AG115" s="72"/>
      <c r="AH115" s="81"/>
      <c r="AI115" s="80"/>
      <c r="AJ115" s="50" t="s">
        <v>375</v>
      </c>
    </row>
    <row r="116" spans="1:36" s="81" customFormat="1" ht="36" hidden="1" customHeight="1">
      <c r="A116" s="71">
        <v>2026</v>
      </c>
      <c r="B116" s="58" t="str">
        <f>IF(M116="", "", TEXT(M116, "[$-en-US]mmm"))</f>
        <v>Jun</v>
      </c>
      <c r="C116" s="76" t="s">
        <v>36</v>
      </c>
      <c r="D116" s="75" t="s">
        <v>261</v>
      </c>
      <c r="E116" s="75" t="s">
        <v>261</v>
      </c>
      <c r="F116" s="75" t="s">
        <v>49</v>
      </c>
      <c r="G116" s="75" t="s">
        <v>262</v>
      </c>
      <c r="H116" s="75" t="s">
        <v>376</v>
      </c>
      <c r="I116" s="76" t="s">
        <v>52</v>
      </c>
      <c r="J116" s="64" t="s">
        <v>43</v>
      </c>
      <c r="K116" s="75" t="s">
        <v>53</v>
      </c>
      <c r="L116" s="76" t="s">
        <v>343</v>
      </c>
      <c r="M116" s="77">
        <v>46182</v>
      </c>
      <c r="N116" s="78">
        <f>IF(M116="",                                                                                                                                                                                                  "",
   WORKDAY(
      M116,
      IF(I116="S-Special",                                                                                                                                                                                                   45,
         IF(OR(I116="O-General",                                                                                                                                                                                                   I116="S-General"),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6" s="68">
        <v>46205</v>
      </c>
      <c r="P116" s="76">
        <f ca="1">IF(M116="",                                                                                                                                                                                                   "",
   NETWORKDAYS(
      M116,
      IF(O116&lt;&gt;"",                                                                                                                                                                                                   O116,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6" s="76" t="str">
        <f ca="1">IF(P116="",                                                                                                                                                                                                   "",
   IF(OR(I116="O-General",                                                                                                                                                                                                   I116="S-General"),
      IF(P116&lt;=30,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IF(I116="S-Special",
         IF(P116&lt;=45,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6" s="76" t="s">
        <v>301</v>
      </c>
      <c r="S116" s="75">
        <v>16404</v>
      </c>
      <c r="T116" s="75"/>
      <c r="V116" s="126" t="s">
        <v>377</v>
      </c>
      <c r="W116" s="71" t="s">
        <v>347</v>
      </c>
      <c r="X116" s="75"/>
      <c r="Y116" s="79"/>
      <c r="Z116" s="76" t="s">
        <v>216</v>
      </c>
      <c r="AA116" s="75"/>
      <c r="AB116" s="65" t="s">
        <v>362</v>
      </c>
      <c r="AC116" s="80"/>
      <c r="AD116" s="80"/>
      <c r="AE116" s="80"/>
      <c r="AF116" s="72"/>
      <c r="AG116" s="72"/>
      <c r="AI116" s="80"/>
      <c r="AJ116" s="82" t="s">
        <v>378</v>
      </c>
    </row>
    <row r="117" spans="1:36" s="9" customFormat="1" ht="20.25" hidden="1" customHeight="1">
      <c r="A117" s="23"/>
      <c r="B117" s="42" t="str">
        <f>IF(M117="", "", TEXT(M117, "[$-en-US]mmm"))</f>
        <v/>
      </c>
      <c r="C117" s="22"/>
      <c r="D117" s="23"/>
      <c r="E117" s="12"/>
      <c r="F117" s="12"/>
      <c r="G117" s="12"/>
      <c r="H117" s="12"/>
      <c r="I117" s="13"/>
      <c r="J117" s="13"/>
      <c r="K117" s="12"/>
      <c r="L117" s="13"/>
      <c r="M117" s="20"/>
      <c r="N117" s="14" t="str">
        <f>IF(M117="",                                                                                                                                                                                                  "",
   WORKDAY(
      M117,
      IF(I117="S-Special",                                                                                                                                                                                                   45,
         IF(OR(I117="O-General",                                                                                                                                                                                                   I117="S-General"),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17" s="49"/>
      <c r="P117" s="13" t="str">
        <f ca="1">IF(M117="",                                                                                                                                                                                                   "",
   NETWORKDAYS(
      M117,
      IF(O117&lt;&gt;"",                                                                                                                                                                                                   O117,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17" s="13" t="str">
        <f ca="1">IF(P117="",                                                                                                                                                                                                   "",
   IF(OR(I117="O-General",                                                                                                                                                                                                   I117="S-General"),
      IF(P117&lt;=30,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IF(I117="S-Special",
         IF(P117&lt;=45,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17" s="13"/>
      <c r="S117" s="12"/>
      <c r="T117" s="12"/>
      <c r="U117" s="12"/>
      <c r="V117" s="128"/>
      <c r="W117" s="12"/>
      <c r="X117" s="12"/>
      <c r="Y117" s="16"/>
      <c r="Z117" s="13"/>
      <c r="AA117" s="12"/>
      <c r="AB117" s="12"/>
      <c r="AC117" s="15"/>
      <c r="AD117" s="15"/>
      <c r="AE117" s="15"/>
      <c r="AF117" s="15"/>
      <c r="AG117" s="15"/>
      <c r="AH117" s="12"/>
      <c r="AI117" s="15"/>
      <c r="AJ117" s="21"/>
    </row>
    <row r="118" spans="1:36" s="9" customFormat="1" ht="20.25" hidden="1" customHeight="1">
      <c r="A118" s="23"/>
      <c r="B118" s="42" t="str">
        <f>IF(M118="", "", TEXT(M118, "[$-en-US]mmm"))</f>
        <v/>
      </c>
      <c r="C118" s="22"/>
      <c r="D118" s="23"/>
      <c r="E118" s="12"/>
      <c r="F118" s="12"/>
      <c r="G118" s="12"/>
      <c r="H118" s="12"/>
      <c r="I118" s="13"/>
      <c r="J118" s="13"/>
      <c r="K118" s="12"/>
      <c r="L118" s="13"/>
      <c r="M118" s="20"/>
      <c r="N118" s="14" t="str">
        <f>IF(M118="",                                                                                                                                                                                                  "",
   WORKDAY(
      M118,
      IF(I118="S-Special",                                                                                                                                                                                                   45,
         IF(OR(I118="O-General",                                                                                                                                                                                                   I118="S-General"),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18" s="10"/>
      <c r="P118" s="13" t="str">
        <f ca="1">IF(M118="",                                                                                                                                                                                                   "",
   NETWORKDAYS(
      M118,
      IF(O118&lt;&gt;"",                                                                                                                                                                                                   O118,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18" s="13" t="str">
        <f ca="1">IF(P118="",                                                                                                                                                                                                   "",
   IF(OR(I118="O-General",                                                                                                                                                                                                   I118="S-General"),
      IF(P118&lt;=30,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IF(I118="S-Special",
         IF(P118&lt;=45,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18" s="13"/>
      <c r="S118" s="12"/>
      <c r="T118" s="12"/>
      <c r="U118" s="12"/>
      <c r="V118" s="12"/>
      <c r="W118" s="12"/>
      <c r="X118" s="12"/>
      <c r="Y118" s="16"/>
      <c r="Z118" s="13"/>
      <c r="AA118" s="12"/>
      <c r="AB118" s="12"/>
      <c r="AC118" s="15"/>
      <c r="AD118" s="15"/>
      <c r="AE118" s="15"/>
      <c r="AF118" s="15"/>
      <c r="AG118" s="15"/>
      <c r="AH118" s="12"/>
      <c r="AI118" s="15"/>
      <c r="AJ118" s="21"/>
    </row>
    <row r="119" spans="1:36" s="9" customFormat="1" ht="20.25" hidden="1" customHeight="1">
      <c r="A119" s="23"/>
      <c r="B119" s="42" t="str">
        <f>IF(M119="", "", TEXT(M119, "[$-en-US]mmm"))</f>
        <v/>
      </c>
      <c r="C119" s="22"/>
      <c r="D119" s="23"/>
      <c r="E119" s="12"/>
      <c r="F119" s="12"/>
      <c r="G119" s="12"/>
      <c r="H119" s="12"/>
      <c r="I119" s="13"/>
      <c r="J119" s="13"/>
      <c r="K119" s="12"/>
      <c r="L119" s="13"/>
      <c r="M119" s="20"/>
      <c r="N119" s="14" t="str">
        <f>IF(M119="",                                                                                                                                                                                                  "",
   WORKDAY(
      M119,
      IF(I119="S-Special",                                                                                                                                                                                                   45,
         IF(OR(I119="O-General",                                                                                                                                                                                                   I119="S-General"),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19" s="10"/>
      <c r="P119" s="13" t="str">
        <f ca="1">IF(M119="",                                                                                                                                                                                                   "",
   NETWORKDAYS(
      M119,
      IF(O119&lt;&gt;"",                                                                                                                                                                                                   O119,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19" s="13" t="str">
        <f ca="1">IF(P119="",                                                                                                                                                                                                   "",
   IF(OR(I119="O-General",                                                                                                                                                                                                   I119="S-General"),
      IF(P119&lt;=30,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IF(I119="S-Special",
         IF(P119&lt;=45,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19" s="13"/>
      <c r="S119" s="12"/>
      <c r="T119" s="12"/>
      <c r="U119" s="12"/>
      <c r="V119" s="12"/>
      <c r="W119" s="12"/>
      <c r="X119" s="12"/>
      <c r="Y119" s="16"/>
      <c r="Z119" s="13"/>
      <c r="AA119" s="12"/>
      <c r="AB119" s="12"/>
      <c r="AC119" s="15"/>
      <c r="AD119" s="15"/>
      <c r="AE119" s="15"/>
      <c r="AF119" s="15"/>
      <c r="AG119" s="15"/>
      <c r="AH119" s="12"/>
      <c r="AI119" s="15"/>
      <c r="AJ119" s="21"/>
    </row>
    <row r="120" spans="1:36" s="9" customFormat="1" ht="20.25" hidden="1" customHeight="1">
      <c r="A120" s="23"/>
      <c r="B120" s="42" t="str">
        <f>IF(M120="", "", TEXT(M120, "[$-en-US]mmm"))</f>
        <v/>
      </c>
      <c r="C120" s="22"/>
      <c r="D120" s="23"/>
      <c r="E120" s="12"/>
      <c r="F120" s="12"/>
      <c r="G120" s="12"/>
      <c r="H120" s="12"/>
      <c r="I120" s="13"/>
      <c r="J120" s="13"/>
      <c r="K120" s="12"/>
      <c r="L120" s="13"/>
      <c r="M120" s="20"/>
      <c r="N120" s="14" t="str">
        <f>IF(M120="",                                                                                                                                                                                                  "",
   WORKDAY(
      M120,
      IF(I120="S-Special",                                                                                                                                                                                                   45,
         IF(OR(I120="O-General",                                                                                                                                                                                                   I120="S-General"),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0" s="10"/>
      <c r="P120" s="13" t="str">
        <f ca="1">IF(M120="",                                                                                                                                                                                                   "",
   NETWORKDAYS(
      M120,
      IF(O120&lt;&gt;"",                                                                                                                                                                                                   O120,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0" s="13" t="str">
        <f ca="1">IF(P120="",                                                                                                                                                                                                   "",
   IF(OR(I120="O-General",                                                                                                                                                                                                   I120="S-General"),
      IF(P120&lt;=30,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IF(I120="S-Special",
         IF(P120&lt;=45,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0" s="13"/>
      <c r="S120" s="12"/>
      <c r="T120" s="12"/>
      <c r="U120" s="12"/>
      <c r="V120" s="12"/>
      <c r="W120" s="12"/>
      <c r="X120" s="12"/>
      <c r="Y120" s="16"/>
      <c r="Z120" s="13"/>
      <c r="AA120" s="12"/>
      <c r="AB120" s="12"/>
      <c r="AC120" s="15"/>
      <c r="AD120" s="15"/>
      <c r="AE120" s="15"/>
      <c r="AF120" s="15"/>
      <c r="AG120" s="15"/>
      <c r="AH120" s="12"/>
      <c r="AI120" s="15"/>
      <c r="AJ120" s="21"/>
    </row>
    <row r="121" spans="1:36" s="9" customFormat="1" ht="20.25" hidden="1" customHeight="1">
      <c r="A121" s="23"/>
      <c r="B121" s="42" t="str">
        <f>IF(M121="", "", TEXT(M121, "[$-en-US]mmm"))</f>
        <v/>
      </c>
      <c r="C121" s="22"/>
      <c r="D121" s="23"/>
      <c r="E121" s="12"/>
      <c r="F121" s="12"/>
      <c r="G121" s="12"/>
      <c r="H121" s="12"/>
      <c r="I121" s="13"/>
      <c r="J121" s="13"/>
      <c r="K121" s="12"/>
      <c r="L121" s="13"/>
      <c r="M121" s="20"/>
      <c r="N121" s="14" t="str">
        <f>IF(M121="",                                                                                                                                                                                                  "",
   WORKDAY(
      M121,
      IF(I121="S-Special",                                                                                                                                                                                                   45,
         IF(OR(I121="O-General",                                                                                                                                                                                                   I121="S-General"),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1" s="10"/>
      <c r="P121" s="13" t="str">
        <f ca="1">IF(M121="",                                                                                                                                                                                                   "",
   NETWORKDAYS(
      M121,
      IF(O121&lt;&gt;"",                                                                                                                                                                                                   O121,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1" s="13" t="str">
        <f ca="1">IF(P121="",                                                                                                                                                                                                   "",
   IF(OR(I121="O-General",                                                                                                                                                                                                   I121="S-General"),
      IF(P121&lt;=30,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IF(I121="S-Special",
         IF(P121&lt;=45,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1" s="13"/>
      <c r="S121" s="12"/>
      <c r="T121" s="12"/>
      <c r="U121" s="12"/>
      <c r="V121" s="12"/>
      <c r="W121" s="12"/>
      <c r="X121" s="12"/>
      <c r="Y121" s="16"/>
      <c r="Z121" s="13"/>
      <c r="AA121" s="12"/>
      <c r="AB121" s="12"/>
      <c r="AC121" s="15"/>
      <c r="AD121" s="15"/>
      <c r="AE121" s="15"/>
      <c r="AF121" s="15"/>
      <c r="AG121" s="15"/>
      <c r="AH121" s="12"/>
      <c r="AI121" s="15"/>
      <c r="AJ121" s="21"/>
    </row>
    <row r="122" spans="1:36" s="9" customFormat="1" ht="20.25" hidden="1" customHeight="1">
      <c r="A122" s="23"/>
      <c r="B122" s="42" t="str">
        <f>IF(M122="", "", TEXT(M122, "[$-en-US]mmm"))</f>
        <v/>
      </c>
      <c r="C122" s="22"/>
      <c r="D122" s="23"/>
      <c r="E122" s="12"/>
      <c r="F122" s="12"/>
      <c r="G122" s="12"/>
      <c r="H122" s="12"/>
      <c r="I122" s="13"/>
      <c r="J122" s="13"/>
      <c r="K122" s="12"/>
      <c r="L122" s="13"/>
      <c r="M122" s="20"/>
      <c r="N122" s="14" t="str">
        <f>IF(M122="",                                                                                                                                                                                                  "",
   WORKDAY(
      M122,
      IF(I122="S-Special",                                                                                                                                                                                                   45,
         IF(OR(I122="O-General",                                                                                                                                                                                                   I122="S-General"),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2" s="10"/>
      <c r="P122" s="13" t="str">
        <f ca="1">IF(M122="",                                                                                                                                                                                                   "",
   NETWORKDAYS(
      M122,
      IF(O122&lt;&gt;"",                                                                                                                                                                                                   O122,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2" s="13" t="str">
        <f ca="1">IF(P122="",                                                                                                                                                                                                   "",
   IF(OR(I122="O-General",                                                                                                                                                                                                   I122="S-General"),
      IF(P122&lt;=30,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IF(I122="S-Special",
         IF(P122&lt;=45,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2" s="13"/>
      <c r="S122" s="12"/>
      <c r="T122" s="12"/>
      <c r="U122" s="12"/>
      <c r="V122" s="12"/>
      <c r="W122" s="12"/>
      <c r="X122" s="12"/>
      <c r="Y122" s="16"/>
      <c r="Z122" s="13"/>
      <c r="AA122" s="12"/>
      <c r="AB122" s="12"/>
      <c r="AC122" s="15"/>
      <c r="AD122" s="15"/>
      <c r="AE122" s="15"/>
      <c r="AF122" s="15"/>
      <c r="AG122" s="15"/>
      <c r="AH122" s="12"/>
      <c r="AI122" s="15"/>
      <c r="AJ122" s="21"/>
    </row>
    <row r="123" spans="1:36" s="9" customFormat="1" ht="20.25" hidden="1" customHeight="1">
      <c r="A123" s="23"/>
      <c r="B123" s="42" t="str">
        <f>IF(M123="", "", TEXT(M123, "[$-en-US]mmm"))</f>
        <v/>
      </c>
      <c r="C123" s="22"/>
      <c r="D123" s="23"/>
      <c r="E123" s="12"/>
      <c r="F123" s="12"/>
      <c r="G123" s="12"/>
      <c r="H123" s="12"/>
      <c r="I123" s="13"/>
      <c r="J123" s="13"/>
      <c r="K123" s="12"/>
      <c r="L123" s="13"/>
      <c r="M123" s="20"/>
      <c r="N123" s="14" t="str">
        <f>IF(M123="",                                                                                                                                                                                                  "",
   WORKDAY(
      M123,
      IF(I123="S-Special",                                                                                                                                                                                                   45,
         IF(OR(I123="O-General",                                                                                                                                                                                                   I123="S-General"),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3" s="10"/>
      <c r="P123" s="13" t="str">
        <f ca="1">IF(M123="",                                                                                                                                                                                                   "",
   NETWORKDAYS(
      M123,
      IF(O123&lt;&gt;"",                                                                                                                                                                                                   O123,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3" s="13" t="str">
        <f ca="1">IF(P123="",                                                                                                                                                                                                   "",
   IF(OR(I123="O-General",                                                                                                                                                                                                   I123="S-General"),
      IF(P123&lt;=30,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IF(I123="S-Special",
         IF(P123&lt;=45,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3" s="13"/>
      <c r="S123" s="12"/>
      <c r="T123" s="12"/>
      <c r="U123" s="12"/>
      <c r="V123" s="12"/>
      <c r="W123" s="12"/>
      <c r="X123" s="12"/>
      <c r="Y123" s="16"/>
      <c r="Z123" s="13"/>
      <c r="AA123" s="12"/>
      <c r="AB123" s="12"/>
      <c r="AC123" s="15"/>
      <c r="AD123" s="15"/>
      <c r="AE123" s="15"/>
      <c r="AF123" s="15"/>
      <c r="AG123" s="15"/>
      <c r="AH123" s="12"/>
      <c r="AI123" s="15"/>
      <c r="AJ123" s="21"/>
    </row>
    <row r="124" spans="1:36" s="9" customFormat="1" ht="20.25" hidden="1" customHeight="1">
      <c r="A124" s="23"/>
      <c r="B124" s="42" t="str">
        <f>IF(M124="", "", TEXT(M124, "[$-en-US]mmm"))</f>
        <v/>
      </c>
      <c r="C124" s="22"/>
      <c r="D124" s="23"/>
      <c r="E124" s="12"/>
      <c r="F124" s="12"/>
      <c r="G124" s="12"/>
      <c r="H124" s="12"/>
      <c r="I124" s="13"/>
      <c r="J124" s="13"/>
      <c r="K124" s="12"/>
      <c r="L124" s="13"/>
      <c r="M124" s="20"/>
      <c r="N124" s="14" t="str">
        <f>IF(M124="",                                                                                                                                                                                                  "",
   WORKDAY(
      M124,
      IF(I124="S-Special",                                                                                                                                                                                                   45,
         IF(OR(I124="O-General",                                                                                                                                                                                                   I124="S-General"),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4" s="10"/>
      <c r="P124" s="13" t="str">
        <f ca="1">IF(M124="",                                                                                                                                                                                                   "",
   NETWORKDAYS(
      M124,
      IF(O124&lt;&gt;"",                                                                                                                                                                                                   O124,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4" s="13" t="str">
        <f ca="1">IF(P124="",                                                                                                                                                                                                   "",
   IF(OR(I124="O-General",                                                                                                                                                                                                   I124="S-General"),
      IF(P124&lt;=30,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IF(I124="S-Special",
         IF(P124&lt;=45,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4" s="13"/>
      <c r="S124" s="12"/>
      <c r="T124" s="12"/>
      <c r="U124" s="12"/>
      <c r="V124" s="12"/>
      <c r="W124" s="12"/>
      <c r="X124" s="12"/>
      <c r="Y124" s="16"/>
      <c r="Z124" s="13"/>
      <c r="AA124" s="12"/>
      <c r="AB124" s="12"/>
      <c r="AC124" s="15"/>
      <c r="AD124" s="15"/>
      <c r="AE124" s="15"/>
      <c r="AF124" s="15"/>
      <c r="AG124" s="15"/>
      <c r="AH124" s="12"/>
      <c r="AI124" s="15"/>
      <c r="AJ124" s="21"/>
    </row>
    <row r="125" spans="1:36" s="9" customFormat="1" ht="20.25" hidden="1" customHeight="1">
      <c r="A125" s="23"/>
      <c r="B125" s="42" t="str">
        <f>IF(M125="", "", TEXT(M125, "[$-en-US]mmm"))</f>
        <v/>
      </c>
      <c r="C125" s="22"/>
      <c r="D125" s="23"/>
      <c r="E125" s="12"/>
      <c r="F125" s="12"/>
      <c r="G125" s="12"/>
      <c r="H125" s="12"/>
      <c r="I125" s="13"/>
      <c r="J125" s="13"/>
      <c r="K125" s="12"/>
      <c r="L125" s="13"/>
      <c r="M125" s="20"/>
      <c r="N125" s="14" t="str">
        <f>IF(M125="",                                                                                                                                                                                                  "",
   WORKDAY(
      M125,
      IF(I125="S-Special",                                                                                                                                                                                                   45,
         IF(OR(I125="O-General",                                                                                                                                                                                                   I125="S-General"),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5" s="10"/>
      <c r="P125" s="13" t="str">
        <f ca="1">IF(M125="",                                                                                                                                                                                                   "",
   NETWORKDAYS(
      M125,
      IF(O125&lt;&gt;"",                                                                                                                                                                                                   O125,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5" s="13" t="str">
        <f ca="1">IF(P125="",                                                                                                                                                                                                   "",
   IF(OR(I125="O-General",                                                                                                                                                                                                   I125="S-General"),
      IF(P125&lt;=30,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IF(I125="S-Special",
         IF(P125&lt;=45,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5" s="13"/>
      <c r="S125" s="12"/>
      <c r="T125" s="12"/>
      <c r="U125" s="12"/>
      <c r="V125" s="12"/>
      <c r="W125" s="12"/>
      <c r="X125" s="12"/>
      <c r="Y125" s="16"/>
      <c r="Z125" s="13"/>
      <c r="AA125" s="12"/>
      <c r="AB125" s="12"/>
      <c r="AC125" s="15"/>
      <c r="AD125" s="15"/>
      <c r="AE125" s="15"/>
      <c r="AF125" s="15"/>
      <c r="AG125" s="15"/>
      <c r="AH125" s="12"/>
      <c r="AI125" s="15"/>
      <c r="AJ125" s="21"/>
    </row>
    <row r="126" spans="1:36" s="9" customFormat="1" ht="20.25" hidden="1" customHeight="1">
      <c r="A126" s="23"/>
      <c r="B126" s="42" t="str">
        <f>IF(M126="", "", TEXT(M126, "[$-en-US]mmm"))</f>
        <v/>
      </c>
      <c r="C126" s="22"/>
      <c r="D126" s="23"/>
      <c r="E126" s="12"/>
      <c r="F126" s="12"/>
      <c r="G126" s="12"/>
      <c r="H126" s="12"/>
      <c r="I126" s="13"/>
      <c r="J126" s="13"/>
      <c r="K126" s="12"/>
      <c r="L126" s="13"/>
      <c r="M126" s="20"/>
      <c r="N126" s="14" t="str">
        <f>IF(M126="",                                                                                                                                                                                                  "",
   WORKDAY(
      M126,
      IF(I126="S-Special",                                                                                                                                                                                                   45,
         IF(OR(I126="O-General",                                                                                                                                                                                                   I126="S-General"),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6" s="10"/>
      <c r="P126" s="13" t="str">
        <f ca="1">IF(M126="",                                                                                                                                                                                                   "",
   NETWORKDAYS(
      M126,
      IF(O126&lt;&gt;"",                                                                                                                                                                                                   O126,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6" s="13" t="str">
        <f ca="1">IF(P126="",                                                                                                                                                                                                   "",
   IF(OR(I126="O-General",                                                                                                                                                                                                   I126="S-General"),
      IF(P126&lt;=30,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IF(I126="S-Special",
         IF(P126&lt;=45,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6" s="13"/>
      <c r="S126" s="12"/>
      <c r="T126" s="12"/>
      <c r="U126" s="12"/>
      <c r="V126" s="12"/>
      <c r="W126" s="12"/>
      <c r="X126" s="12"/>
      <c r="Y126" s="16"/>
      <c r="Z126" s="13"/>
      <c r="AA126" s="12"/>
      <c r="AB126" s="12"/>
      <c r="AC126" s="15"/>
      <c r="AD126" s="15"/>
      <c r="AE126" s="15"/>
      <c r="AF126" s="15"/>
      <c r="AG126" s="15"/>
      <c r="AH126" s="12"/>
      <c r="AI126" s="15"/>
      <c r="AJ126" s="21"/>
    </row>
    <row r="127" spans="1:36" s="9" customFormat="1" ht="20.25" hidden="1" customHeight="1">
      <c r="A127" s="23"/>
      <c r="B127" s="42" t="str">
        <f>IF(M127="", "", TEXT(M127, "[$-en-US]mmm"))</f>
        <v/>
      </c>
      <c r="C127" s="22"/>
      <c r="D127" s="23"/>
      <c r="E127" s="12"/>
      <c r="F127" s="12"/>
      <c r="G127" s="12"/>
      <c r="H127" s="12"/>
      <c r="I127" s="13"/>
      <c r="J127" s="13"/>
      <c r="K127" s="12"/>
      <c r="L127" s="13"/>
      <c r="M127" s="20"/>
      <c r="N127" s="14" t="str">
        <f>IF(M127="",                                                                                                                                                                                                  "",
   WORKDAY(
      M127,
      IF(I127="S-Special",                                                                                                                                                                                                   45,
         IF(OR(I127="O-General",                                                                                                                                                                                                   I127="S-General"),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7" s="10"/>
      <c r="P127" s="13" t="str">
        <f ca="1">IF(M127="",                                                                                                                                                                                                   "",
   NETWORKDAYS(
      M127,
      IF(O127&lt;&gt;"",                                                                                                                                                                                                   O127,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7" s="13" t="str">
        <f ca="1">IF(P127="",                                                                                                                                                                                                   "",
   IF(OR(I127="O-General",                                                                                                                                                                                                   I127="S-General"),
      IF(P127&lt;=30,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IF(I127="S-Special",
         IF(P127&lt;=45,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7" s="13"/>
      <c r="S127" s="12"/>
      <c r="T127" s="12"/>
      <c r="U127" s="12"/>
      <c r="V127" s="12"/>
      <c r="W127" s="12"/>
      <c r="X127" s="12"/>
      <c r="Y127" s="16"/>
      <c r="Z127" s="13"/>
      <c r="AA127" s="12"/>
      <c r="AB127" s="12"/>
      <c r="AC127" s="15"/>
      <c r="AD127" s="15"/>
      <c r="AE127" s="15"/>
      <c r="AF127" s="15"/>
      <c r="AG127" s="15"/>
      <c r="AH127" s="12"/>
      <c r="AI127" s="15"/>
      <c r="AJ127" s="21"/>
    </row>
    <row r="128" spans="1:36" s="9" customFormat="1" ht="20.25" hidden="1" customHeight="1">
      <c r="A128" s="23"/>
      <c r="B128" s="42" t="str">
        <f>IF(M128="", "", TEXT(M128, "[$-en-US]mmm"))</f>
        <v/>
      </c>
      <c r="C128" s="22"/>
      <c r="D128" s="23"/>
      <c r="E128" s="12"/>
      <c r="F128" s="12"/>
      <c r="G128" s="12"/>
      <c r="H128" s="12"/>
      <c r="I128" s="13"/>
      <c r="J128" s="13"/>
      <c r="K128" s="12"/>
      <c r="L128" s="13"/>
      <c r="M128" s="20"/>
      <c r="N128" s="14" t="str">
        <f>IF(M128="",                                                                                                                                                                                                  "",
   WORKDAY(
      M128,
      IF(I128="S-Special",                                                                                                                                                                                                   45,
         IF(OR(I128="O-General",                                                                                                                                                                                                   I128="S-General"),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8" s="10"/>
      <c r="P128" s="13" t="str">
        <f ca="1">IF(M128="",                                                                                                                                                                                                   "",
   NETWORKDAYS(
      M128,
      IF(O128&lt;&gt;"",                                                                                                                                                                                                   O128,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8" s="13" t="str">
        <f ca="1">IF(P128="",                                                                                                                                                                                                   "",
   IF(OR(I128="O-General",                                                                                                                                                                                                   I128="S-General"),
      IF(P128&lt;=30,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IF(I128="S-Special",
         IF(P128&lt;=45,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8" s="13"/>
      <c r="S128" s="12"/>
      <c r="T128" s="12"/>
      <c r="U128" s="12"/>
      <c r="V128" s="12"/>
      <c r="W128" s="12"/>
      <c r="X128" s="12"/>
      <c r="Y128" s="16"/>
      <c r="Z128" s="13"/>
      <c r="AA128" s="12"/>
      <c r="AB128" s="12"/>
      <c r="AC128" s="15"/>
      <c r="AD128" s="15"/>
      <c r="AE128" s="15"/>
      <c r="AF128" s="15"/>
      <c r="AG128" s="15"/>
      <c r="AH128" s="12"/>
      <c r="AI128" s="15"/>
      <c r="AJ128" s="21"/>
    </row>
    <row r="129" spans="1:36" s="9" customFormat="1" ht="20.25" hidden="1" customHeight="1">
      <c r="A129" s="23"/>
      <c r="B129" s="42" t="str">
        <f>IF(M129="", "", TEXT(M129, "[$-en-US]mmm"))</f>
        <v/>
      </c>
      <c r="C129" s="22"/>
      <c r="D129" s="23"/>
      <c r="E129" s="12"/>
      <c r="F129" s="12"/>
      <c r="G129" s="12"/>
      <c r="H129" s="12"/>
      <c r="I129" s="13"/>
      <c r="J129" s="13"/>
      <c r="K129" s="12"/>
      <c r="L129" s="13"/>
      <c r="M129" s="20"/>
      <c r="N129" s="14" t="str">
        <f>IF(M129="",                                                                                                                                                                                                  "",
   WORKDAY(
      M129,
      IF(I129="S-Special",                                                                                                                                                                                                   45,
         IF(OR(I129="O-General",                                                                                                                                                                                                   I129="S-General"),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9" s="10"/>
      <c r="P129" s="13" t="str">
        <f ca="1">IF(M129="",                                                                                                                                                                                                   "",
   NETWORKDAYS(
      M129,
      IF(O129&lt;&gt;"",                                                                                                                                                                                                   O129,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9" s="13" t="str">
        <f ca="1">IF(P129="",                                                                                                                                                                                                   "",
   IF(OR(I129="O-General",                                                                                                                                                                                                   I129="S-General"),
      IF(P129&lt;=30,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IF(I129="S-Special",
         IF(P129&lt;=45,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9" s="13"/>
      <c r="S129" s="12"/>
      <c r="T129" s="12"/>
      <c r="U129" s="12"/>
      <c r="V129" s="12"/>
      <c r="W129" s="12"/>
      <c r="X129" s="12"/>
      <c r="Y129" s="16"/>
      <c r="Z129" s="13"/>
      <c r="AA129" s="12"/>
      <c r="AB129" s="12"/>
      <c r="AC129" s="15"/>
      <c r="AD129" s="15"/>
      <c r="AE129" s="15"/>
      <c r="AF129" s="15"/>
      <c r="AG129" s="15"/>
      <c r="AH129" s="12"/>
      <c r="AI129" s="15"/>
      <c r="AJ129" s="21"/>
    </row>
    <row r="130" spans="1:36" s="9" customFormat="1" ht="20.25" hidden="1" customHeight="1">
      <c r="A130" s="23"/>
      <c r="B130" s="42" t="str">
        <f>IF(M130="", "", TEXT(M130, "[$-en-US]mmm"))</f>
        <v/>
      </c>
      <c r="C130" s="22"/>
      <c r="D130" s="23"/>
      <c r="E130" s="12"/>
      <c r="F130" s="12"/>
      <c r="G130" s="12"/>
      <c r="H130" s="12"/>
      <c r="I130" s="13"/>
      <c r="J130" s="13"/>
      <c r="K130" s="12"/>
      <c r="L130" s="13"/>
      <c r="M130" s="20"/>
      <c r="N130" s="14" t="str">
        <f>IF(M130="",                                                                                                                                                                                                  "",
   WORKDAY(
      M130,
      IF(I130="S-Special",                                                                                                                                                                                                   45,
         IF(OR(I130="O-General",                                                                                                                                                                                                   I130="S-General"),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30" s="10"/>
      <c r="P130" s="13" t="str">
        <f ca="1">IF(M130="",                                                                                                                                                                                                   "",
   NETWORKDAYS(
      M130,
      IF(O130&lt;&gt;"",                                                                                                                                                                                                   O130,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30" s="13" t="str">
        <f ca="1">IF(P130="",                                                                                                                                                                                                   "",
   IF(OR(I130="O-General",                                                                                                                                                                                                   I130="S-General"),
      IF(P130&lt;=30,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IF(I130="S-Special",
         IF(P130&lt;=45,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30" s="13"/>
      <c r="S130" s="12"/>
      <c r="T130" s="12"/>
      <c r="U130" s="12"/>
      <c r="V130" s="12"/>
      <c r="W130" s="12"/>
      <c r="X130" s="12"/>
      <c r="Y130" s="16"/>
      <c r="Z130" s="13"/>
      <c r="AA130" s="12"/>
      <c r="AB130" s="12"/>
      <c r="AC130" s="15"/>
      <c r="AD130" s="15"/>
      <c r="AE130" s="15"/>
      <c r="AF130" s="15"/>
      <c r="AG130" s="15"/>
      <c r="AH130" s="12"/>
      <c r="AI130" s="15"/>
      <c r="AJ130" s="21"/>
    </row>
    <row r="131" spans="1:36" s="9" customFormat="1" ht="20.25" hidden="1" customHeight="1">
      <c r="A131" s="23"/>
      <c r="B131" s="42" t="str">
        <f>IF(M131="", "", TEXT(M131, "[$-en-US]mmm"))</f>
        <v/>
      </c>
      <c r="C131" s="22"/>
      <c r="D131" s="23"/>
      <c r="E131" s="12"/>
      <c r="F131" s="12"/>
      <c r="G131" s="12"/>
      <c r="H131" s="12"/>
      <c r="I131" s="13"/>
      <c r="J131" s="13"/>
      <c r="K131" s="12"/>
      <c r="L131" s="13"/>
      <c r="M131" s="20"/>
      <c r="N131" s="14" t="str">
        <f>IF(M131="",                                                                                                                                                                                                  "",
   WORKDAY(
      M131,
      IF(I131="S-Special",                                                                                                                                                                                                   45,
         IF(OR(I131="O-General",                                                                                                                                                                                                   I131="S-General"),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31" s="10"/>
      <c r="P131" s="13" t="str">
        <f ca="1">IF(M131="",                                                                                                                                                                                                   "",
   NETWORKDAYS(
      M131,
      IF(O131&lt;&gt;"",                                                                                                                                                                                                   O131,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31" s="13" t="str">
        <f ca="1">IF(P131="",                                                                                                                                                                                                   "",
   IF(OR(I131="O-General",                                                                                                                                                                                                   I131="S-General"),
      IF(P131&lt;=30,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IF(I131="S-Special",
         IF(P131&lt;=45,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31" s="13"/>
      <c r="S131" s="12"/>
      <c r="T131" s="12"/>
      <c r="U131" s="12"/>
      <c r="V131" s="12"/>
      <c r="W131" s="12"/>
      <c r="X131" s="12"/>
      <c r="Y131" s="16"/>
      <c r="Z131" s="13"/>
      <c r="AA131" s="12"/>
      <c r="AB131" s="12"/>
      <c r="AC131" s="15"/>
      <c r="AD131" s="15"/>
      <c r="AE131" s="15"/>
      <c r="AF131" s="15"/>
      <c r="AG131" s="15"/>
      <c r="AH131" s="12"/>
      <c r="AI131" s="15"/>
      <c r="AJ131" s="21"/>
    </row>
    <row r="132" spans="1:36" s="9" customFormat="1" ht="20.25" hidden="1" customHeight="1">
      <c r="A132" s="23"/>
      <c r="B132" s="42" t="str">
        <f>IF(M132="", "", TEXT(M132, "[$-en-US]mmm"))</f>
        <v/>
      </c>
      <c r="C132" s="22"/>
      <c r="D132" s="23"/>
      <c r="E132" s="12"/>
      <c r="F132" s="12"/>
      <c r="G132" s="12"/>
      <c r="H132" s="12"/>
      <c r="I132" s="13"/>
      <c r="J132" s="13"/>
      <c r="K132" s="12"/>
      <c r="L132" s="13"/>
      <c r="M132" s="20"/>
      <c r="N132" s="14" t="str">
        <f>IF(M132="",                                                                                                                                                                                                  "",
   WORKDAY(
      M132,
      IF(I132="S-Special",                                                                                                                                                                                                   45,
         IF(OR(I132="O-General",                                                                                                                                                                                                   I132="S-General"),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32" s="10"/>
      <c r="P132" s="13" t="str">
        <f ca="1">IF(M132="",                                                                                                                                                                                                   "",
   NETWORKDAYS(
      M132,
      IF(O132&lt;&gt;"",                                                                                                                                                                                                   O132,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32" s="13" t="str">
        <f ca="1">IF(P132="",                                                                                                                                                                                                   "",
   IF(OR(I132="O-General",                                                                                                                                                                                                   I132="S-General"),
      IF(P132&lt;=30,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IF(I132="S-Special",
         IF(P132&lt;=45,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32" s="13"/>
      <c r="S132" s="12"/>
      <c r="T132" s="12"/>
      <c r="U132" s="12"/>
      <c r="V132" s="12"/>
      <c r="W132" s="12"/>
      <c r="X132" s="12"/>
      <c r="Y132" s="16"/>
      <c r="Z132" s="13"/>
      <c r="AA132" s="12"/>
      <c r="AB132" s="12"/>
      <c r="AC132" s="15"/>
      <c r="AD132" s="15"/>
      <c r="AE132" s="15"/>
      <c r="AF132" s="15"/>
      <c r="AG132" s="15"/>
      <c r="AH132" s="12"/>
      <c r="AI132" s="15"/>
      <c r="AJ132" s="21"/>
    </row>
    <row r="133" spans="1:36" s="9" customFormat="1" ht="20.25" hidden="1" customHeight="1">
      <c r="A133" s="23"/>
      <c r="B133" s="42" t="str">
        <f>IF(M133="", "", TEXT(M133, "[$-en-US]mmm"))</f>
        <v/>
      </c>
      <c r="C133" s="22"/>
      <c r="D133" s="23"/>
      <c r="E133" s="12"/>
      <c r="F133" s="12"/>
      <c r="G133" s="12"/>
      <c r="H133" s="12"/>
      <c r="I133" s="13"/>
      <c r="J133" s="13"/>
      <c r="K133" s="12"/>
      <c r="L133" s="13"/>
      <c r="M133" s="20"/>
      <c r="N133" s="14" t="str">
        <f>IF(M133="",                                                                                                                                                                                                  "",
   WORKDAY(
      M133,
      IF(I133="S-Special",                                                                                                                                                                                                   45,
         IF(OR(I133="O-General",                                                                                                                                                                                                   I133="S-General"),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33" s="10"/>
      <c r="P133" s="13" t="str">
        <f ca="1">IF(M133="",                                                                                                                                                                                                   "",
   NETWORKDAYS(
      M133,
      IF(O133&lt;&gt;"",                                                                                                                                                                                                   O133,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33" s="13" t="str">
        <f ca="1">IF(P133="",                                                                                                                                                                                                   "",
   IF(OR(I133="O-General",                                                                                                                                                                                                   I133="S-General"),
      IF(P133&lt;=30,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IF(I133="S-Special",
         IF(P133&lt;=45,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33" s="13"/>
      <c r="S133" s="12"/>
      <c r="T133" s="12"/>
      <c r="U133" s="12"/>
      <c r="V133" s="12"/>
      <c r="W133" s="12"/>
      <c r="X133" s="12"/>
      <c r="Y133" s="16"/>
      <c r="Z133" s="13"/>
      <c r="AA133" s="12"/>
      <c r="AB133" s="12"/>
      <c r="AC133" s="15"/>
      <c r="AD133" s="15"/>
      <c r="AE133" s="15"/>
      <c r="AF133" s="15"/>
      <c r="AG133" s="15"/>
      <c r="AH133" s="12"/>
      <c r="AI133" s="15"/>
      <c r="AJ133" s="21"/>
    </row>
    <row r="134" spans="1:36" s="111" customFormat="1" ht="31.5" hidden="1" customHeight="1">
      <c r="A134" s="100">
        <v>2026</v>
      </c>
      <c r="B134" s="101" t="str">
        <f>IF(M134="", "", TEXT(M134, "[$-en-US]mmmm"))</f>
        <v>June</v>
      </c>
      <c r="C134" s="101" t="s">
        <v>36</v>
      </c>
      <c r="D134" s="102" t="s">
        <v>379</v>
      </c>
      <c r="E134" s="102"/>
      <c r="F134" s="102" t="s">
        <v>62</v>
      </c>
      <c r="G134" s="102"/>
      <c r="H134" s="102"/>
      <c r="I134" s="101" t="s">
        <v>42</v>
      </c>
      <c r="J134" s="101" t="s">
        <v>43</v>
      </c>
      <c r="K134" s="102"/>
      <c r="L134" s="101" t="s">
        <v>370</v>
      </c>
      <c r="M134" s="103">
        <v>46184</v>
      </c>
      <c r="N134" s="104">
        <f>IF(M134="",                                                                                                                                                                                                  "",
   WORKDAY(
      M134,
      IF(I134="S-Special",                                                                                                                                                                                                   45,
         IF(OR(I134="O-General",                                                                                                                                                                                                   I134="S-General"),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46226</v>
      </c>
      <c r="O134" s="105">
        <v>46220</v>
      </c>
      <c r="P134" s="101">
        <f ca="1">IF(M134="",                                                                                                                                                                                                   "",
   NETWORKDAYS(
      M134,
      IF(O134&lt;&gt;"",                                                                                                                                                                                                   O134,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34" s="101" t="str">
        <f ca="1">IF(P134="",                                                                                                                                                                                                   "",
   IF(OR(I134="O-General",                                                                                                                                                                                                   I134="S-General"),
      IF(P134&lt;=30,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IF(I134="S-Special",
         IF(P134&lt;=45,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34" s="101" t="s">
        <v>339</v>
      </c>
      <c r="S134" s="102">
        <v>15880</v>
      </c>
      <c r="T134" s="102"/>
      <c r="U134" s="102"/>
      <c r="V134" s="123"/>
      <c r="W134" s="105"/>
      <c r="X134" s="102"/>
      <c r="Y134" s="106"/>
      <c r="Z134" s="101"/>
      <c r="AA134" s="102"/>
      <c r="AB134" s="102" t="s">
        <v>380</v>
      </c>
      <c r="AC134" s="107"/>
      <c r="AD134" s="107"/>
      <c r="AE134" s="107"/>
      <c r="AF134" s="108"/>
      <c r="AG134" s="108"/>
      <c r="AH134" s="109"/>
      <c r="AI134" s="107"/>
      <c r="AJ134" s="110"/>
    </row>
    <row r="135" spans="1:36" s="111" customFormat="1" ht="31.5" hidden="1" customHeight="1">
      <c r="A135" s="100">
        <v>2026</v>
      </c>
      <c r="B135" s="101" t="str">
        <f>IF(M135="", "", TEXT(M135, "[$-en-US]mmmm"))</f>
        <v>June</v>
      </c>
      <c r="C135" s="101" t="s">
        <v>36</v>
      </c>
      <c r="D135" s="115" t="s">
        <v>317</v>
      </c>
      <c r="E135" s="102" t="s">
        <v>317</v>
      </c>
      <c r="F135" s="102" t="s">
        <v>292</v>
      </c>
      <c r="G135" s="112" t="s">
        <v>318</v>
      </c>
      <c r="H135" s="113" t="s">
        <v>319</v>
      </c>
      <c r="I135" s="101" t="s">
        <v>52</v>
      </c>
      <c r="J135" s="101" t="s">
        <v>43</v>
      </c>
      <c r="K135" s="102"/>
      <c r="L135" s="101" t="s">
        <v>361</v>
      </c>
      <c r="M135" s="103">
        <v>46203</v>
      </c>
      <c r="N135" s="104">
        <f>IF(M135="",                                                                                                                                                                                                  "",
   WORKDAY(
      M135,
      IF(I135="S-Special",                                                                                                                                                                                                   45,
         IF(OR(I135="O-General",                                                                                                                                                                                                   I135="S-General"),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46272</v>
      </c>
      <c r="O135" s="105"/>
      <c r="P135" s="101">
        <f ca="1">IF(M135="",                                                                                                                                                                                                   "",
   NETWORKDAYS(
      M135,
      IF(O135&lt;&gt;"",                                                                                                                                                                                                   O135,                                                                                                                                                                                                   TODAY()),
      Dropdown!$A$2:$A$100
   )
)</f>
        <v>14</v>
      </c>
      <c r="Q135" s="101" t="str">
        <f ca="1">IF(P135="",                                                                                                                                                                                                   "",
   IF(OR(I135="O-General",                                                                                                                                                                                                   I135="S-General"),
      IF(P135&lt;=30,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IF(I135="S-Special",
         IF(P135&lt;=45,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35" s="101" t="s">
        <v>301</v>
      </c>
      <c r="S135" s="102">
        <v>16748</v>
      </c>
      <c r="T135" s="102" t="s">
        <v>322</v>
      </c>
      <c r="U135" s="102"/>
      <c r="V135" s="123"/>
      <c r="W135" s="105"/>
      <c r="X135" s="102"/>
      <c r="Y135" s="106"/>
      <c r="Z135" s="101"/>
      <c r="AA135" s="102"/>
      <c r="AB135" s="102" t="s">
        <v>381</v>
      </c>
      <c r="AC135" s="107"/>
      <c r="AD135" s="107"/>
      <c r="AE135" s="107"/>
      <c r="AF135" s="108"/>
      <c r="AG135" s="108"/>
      <c r="AH135" s="109"/>
      <c r="AI135" s="107"/>
      <c r="AJ135" s="114" t="s">
        <v>382</v>
      </c>
    </row>
    <row r="136" spans="1:36" s="111" customFormat="1" ht="31.5" hidden="1" customHeight="1">
      <c r="A136" s="100">
        <v>2026</v>
      </c>
      <c r="B136" s="101" t="str">
        <f>IF(M136="", "", TEXT(M136, "[$-en-US]mmmm"))</f>
        <v>June</v>
      </c>
      <c r="C136" s="101" t="s">
        <v>36</v>
      </c>
      <c r="D136" s="115" t="s">
        <v>47</v>
      </c>
      <c r="E136" s="102" t="s">
        <v>383</v>
      </c>
      <c r="F136" s="102" t="s">
        <v>62</v>
      </c>
      <c r="G136" s="102" t="s">
        <v>105</v>
      </c>
      <c r="H136" s="102" t="s">
        <v>384</v>
      </c>
      <c r="I136" s="101" t="s">
        <v>42</v>
      </c>
      <c r="J136" s="101" t="s">
        <v>43</v>
      </c>
      <c r="K136" s="102"/>
      <c r="L136" s="101" t="s">
        <v>361</v>
      </c>
      <c r="M136" s="103">
        <v>46182</v>
      </c>
      <c r="N136" s="104">
        <f>IF(M136="",                                                                                                                                                                                                  "",
   WORKDAY(
      M136,
      IF(I136="S-Special",                                                                                                                                                                                                   45,
         IF(OR(I136="O-General",                                                                                                                                                                                                   I136="S-General"),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36" s="105"/>
      <c r="P136" s="101">
        <f ca="1">IF(M136="",                                                                                                                                                                                                   "",
   NETWORKDAYS(
      M136,
      IF(O136&lt;&gt;"",                                                                                                                                                                                                   O136,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36" s="101" t="str">
        <f ca="1">IF(P136="",                                                                                                                                                                                                   "",
   IF(OR(I136="O-General",                                                                                                                                                                                                   I136="S-General"),
      IF(P136&lt;=30,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IF(I136="S-Special",
         IF(P136&lt;=45,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36" s="101" t="s">
        <v>339</v>
      </c>
      <c r="S136" s="102"/>
      <c r="T136" s="102"/>
      <c r="U136" s="102"/>
      <c r="V136" s="123"/>
      <c r="W136" s="105"/>
      <c r="X136" s="102"/>
      <c r="Y136" s="106"/>
      <c r="Z136" s="101"/>
      <c r="AA136" s="102"/>
      <c r="AB136" s="101" t="s">
        <v>385</v>
      </c>
      <c r="AC136" s="107"/>
      <c r="AD136" s="107"/>
      <c r="AE136" s="107"/>
      <c r="AF136" s="108"/>
      <c r="AG136" s="108"/>
      <c r="AH136" s="109"/>
      <c r="AI136" s="107"/>
      <c r="AJ136" s="114" t="s">
        <v>386</v>
      </c>
    </row>
  </sheetData>
  <phoneticPr fontId="5" type="noConversion"/>
  <conditionalFormatting sqref="L2:L136">
    <cfRule type="containsText" dxfId="63" priority="9" operator="containsText" text="Effective">
      <formula>NOT(ISERROR(SEARCH("Effective",L2)))</formula>
    </cfRule>
  </conditionalFormatting>
  <conditionalFormatting sqref="L1:L1048576">
    <cfRule type="containsText" dxfId="62" priority="8" operator="containsText" text="Wait to Join">
      <formula>NOT(ISERROR(SEARCH("Wait to Join",L1)))</formula>
    </cfRule>
  </conditionalFormatting>
  <conditionalFormatting sqref="L1:L1048576">
    <cfRule type="containsText" dxfId="61" priority="7" operator="containsText" text="Effective">
      <formula>NOT(ISERROR(SEARCH("Effective",L1)))</formula>
    </cfRule>
  </conditionalFormatting>
  <conditionalFormatting sqref="K1:K1048576">
    <cfRule type="containsText" dxfId="60" priority="6" operator="containsText" text="Hold">
      <formula>NOT(ISERROR(SEARCH("Hold",K1)))</formula>
    </cfRule>
  </conditionalFormatting>
  <conditionalFormatting sqref="Q1:R1048576">
    <cfRule type="containsText" dxfId="59" priority="5" operator="containsText" text="ON KPI">
      <formula>NOT(ISERROR(SEARCH("ON KPI",Q1)))</formula>
    </cfRule>
  </conditionalFormatting>
  <conditionalFormatting sqref="Q1:R1048576">
    <cfRule type="containsText" dxfId="58" priority="4" operator="containsText" text="OVER KPI">
      <formula>NOT(ISERROR(SEARCH("OVER KPI",Q1)))</formula>
    </cfRule>
  </conditionalFormatting>
  <conditionalFormatting sqref="I1:I1048576">
    <cfRule type="containsText" dxfId="57" priority="3" operator="containsText" text="Special">
      <formula>NOT(ISERROR(SEARCH("Special",I1)))</formula>
    </cfRule>
  </conditionalFormatting>
  <conditionalFormatting sqref="J1:J1048576">
    <cfRule type="containsText" dxfId="56" priority="2" operator="containsText" text="Approved">
      <formula>NOT(ISERROR(SEARCH("Approved",J1)))</formula>
    </cfRule>
  </conditionalFormatting>
  <conditionalFormatting sqref="L1:L1048576">
    <cfRule type="containsText" dxfId="55" priority="1" operator="containsText" text="Final Interview">
      <formula>NOT(ISERROR(SEARCH("Final Interview",L1)))</formula>
    </cfRule>
  </conditionalFormatting>
  <hyperlinks>
    <hyperlink ref="AJ113" r:id="rId1" xr:uid="{75445B6B-41DC-490F-920E-126AF73276F0}"/>
    <hyperlink ref="AJ115" r:id="rId2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B955782B-AE7F-4712-93CD-1ECAC26C1C1A}"/>
    <hyperlink ref="AJ116" r:id="rId3" xr:uid="{F3ED0DAE-C5C4-45D2-A95F-D1327440D1AF}"/>
    <hyperlink ref="AJ112" r:id="rId4" xr:uid="{295AB73A-DD0A-4E65-8972-1844DAA90BE8}"/>
    <hyperlink ref="AJ114" r:id="rId5" xr:uid="{312EB09C-EFC8-4486-8755-06654057D5E8}"/>
    <hyperlink ref="AJ110" r:id="rId6" xr:uid="{60B9A379-7A08-4CCA-8EBD-7E9DA6E61218}"/>
    <hyperlink ref="AJ136" r:id="rId7" xr:uid="{6412AD55-DFDE-4449-8C87-7306C306DF21}"/>
    <hyperlink ref="AJ135" r:id="rId8" xr:uid="{3AE257EE-27A3-49C5-A451-67A7958DDEDF}"/>
  </hyperlinks>
  <pageMargins left="0.7" right="0.7" top="0.75" bottom="0.75" header="0.3" footer="0.3"/>
  <ignoredErrors>
    <ignoredError sqref="B32" calculatedColumn="1"/>
  </ignoredErrors>
  <legacyDrawing r:id="rId9"/>
  <tableParts count="1">
    <tablePart r:id="rId10"/>
  </tableParts>
  <extLst>
    <ext xmlns:x14="http://schemas.microsoft.com/office/spreadsheetml/2009/9/main" uri="{CCE6A557-97BC-4b89-ADB6-D9C93CAAB3DF}">
      <x14:dataValidations xmlns:xm="http://schemas.microsoft.com/office/excel/2006/main" count="18">
        <x14:dataValidation type="list" allowBlank="1" showInputMessage="1" showErrorMessage="1" xr:uid="{F15F0AEB-090A-441C-972C-1207759A5266}">
          <x14:formula1>
            <xm:f>Dropdown!$K$2:$K$1048576</xm:f>
          </x14:formula1>
          <xm:sqref>G77:G84 G96:G1048576</xm:sqref>
        </x14:dataValidation>
        <x14:dataValidation type="list" allowBlank="1" showInputMessage="1" showErrorMessage="1" xr:uid="{0ED21357-3167-40EC-B3D8-E2D4D2133C43}">
          <x14:formula1>
            <xm:f>Dropdown!$L$2:$L$1048576</xm:f>
          </x14:formula1>
          <xm:sqref>H77:H84 H96:H1048576</xm:sqref>
        </x14:dataValidation>
        <x14:dataValidation type="list" allowBlank="1" showInputMessage="1" showErrorMessage="1" xr:uid="{A10DA5BF-F14A-450E-8F70-948B4C152C6A}">
          <x14:formula1>
            <xm:f>Dropdown!$J:$J</xm:f>
          </x14:formula1>
          <xm:sqref>F77:F84 F96:F1048576</xm:sqref>
        </x14:dataValidation>
        <x14:dataValidation type="list" allowBlank="1" showInputMessage="1" showErrorMessage="1" xr:uid="{CF8F8853-0925-43DF-999B-19082569BC0F}">
          <x14:formula1>
            <xm:f>Dropdown!$B$2:$B$4</xm:f>
          </x14:formula1>
          <xm:sqref>I2:I136</xm:sqref>
        </x14:dataValidation>
        <x14:dataValidation type="list" allowBlank="1" showInputMessage="1" showErrorMessage="1" xr:uid="{38F39922-C8D8-44DD-A2D9-454996D8D019}">
          <x14:formula1>
            <xm:f>Dropdown!$H$2:$H$3</xm:f>
          </x14:formula1>
          <xm:sqref>X2:X136</xm:sqref>
        </x14:dataValidation>
        <x14:dataValidation type="list" allowBlank="1" showInputMessage="1" showErrorMessage="1" xr:uid="{4A45F0F8-6C89-43B6-B86F-23B03B048ECD}">
          <x14:formula1>
            <xm:f>Dropdown!M39:M41</xm:f>
          </x14:formula1>
          <xm:sqref>AI113:AI133</xm:sqref>
        </x14:dataValidation>
        <x14:dataValidation type="list" allowBlank="1" showInputMessage="1" showErrorMessage="1" xr:uid="{B17DCCD6-AE11-409D-A26B-22695B790AD6}">
          <x14:formula1>
            <xm:f>Dropdown!M1048484:M1048486</xm:f>
          </x14:formula1>
          <xm:sqref>AI1048575:AI1048576</xm:sqref>
        </x14:dataValidation>
        <x14:dataValidation type="list" allowBlank="1" showInputMessage="1" showErrorMessage="1" xr:uid="{80BC1EE6-04B5-48AE-93DE-72CA86711259}">
          <x14:formula1>
            <xm:f>Dropdown!M44:M46</xm:f>
          </x14:formula1>
          <xm:sqref>AI134:AI1048574</xm:sqref>
        </x14:dataValidation>
        <x14:dataValidation type="list" allowBlank="1" showInputMessage="1" showErrorMessage="1" xr:uid="{39719A1F-7699-4140-8954-31876CB998C2}">
          <x14:formula1>
            <xm:f>Dropdown!M34:M36</xm:f>
          </x14:formula1>
          <xm:sqref>AI112 AI99:AI108</xm:sqref>
        </x14:dataValidation>
        <x14:dataValidation type="list" allowBlank="1" showInputMessage="1" showErrorMessage="1" xr:uid="{75E2AF62-7CE1-4E41-B6C2-C25647190B07}">
          <x14:formula1>
            <xm:f>Dropdown!$G$2:$G$4</xm:f>
          </x14:formula1>
          <xm:sqref>K1:K1048576</xm:sqref>
        </x14:dataValidation>
        <x14:dataValidation type="list" allowBlank="1" showInputMessage="1" showErrorMessage="1" xr:uid="{761C6A97-22A4-4BF9-86E1-5BB95330ACF6}">
          <x14:formula1>
            <xm:f>Dropdown!$C$2:$C$10</xm:f>
          </x14:formula1>
          <xm:sqref>L1:L1048576</xm:sqref>
        </x14:dataValidation>
        <x14:dataValidation type="list" allowBlank="1" showInputMessage="1" showErrorMessage="1" xr:uid="{55BB5149-73A2-4B8C-AD8D-2B57D709BB0F}">
          <x14:formula1>
            <xm:f>Dropdown!$F$2:$F$9</xm:f>
          </x14:formula1>
          <xm:sqref>Z1:Z1048576</xm:sqref>
        </x14:dataValidation>
        <x14:dataValidation type="list" allowBlank="1" showInputMessage="1" showErrorMessage="1" xr:uid="{08EAC8F2-FF42-4AFD-AE38-87EDC9A75FE3}">
          <x14:formula1>
            <xm:f>Dropdown!$D$2:$D$4</xm:f>
          </x14:formula1>
          <xm:sqref>C1:C1048576</xm:sqref>
        </x14:dataValidation>
        <x14:dataValidation type="list" allowBlank="1" showInputMessage="1" showErrorMessage="1" xr:uid="{7AFC1605-BFE4-4D6F-9A81-930DD63CEF84}">
          <x14:formula1>
            <xm:f>Dropdown!$I$2:$I$4</xm:f>
          </x14:formula1>
          <xm:sqref>J1:J1048576</xm:sqref>
        </x14:dataValidation>
        <x14:dataValidation type="list" allowBlank="1" showInputMessage="1" showErrorMessage="1" xr:uid="{93385E88-1D05-4D4C-ACC4-5EF87E6628A6}">
          <x14:formula1>
            <xm:f>Dropdown!M20:M22</xm:f>
          </x14:formula1>
          <xm:sqref>AI109:AI111 AI86:AI98</xm:sqref>
        </x14:dataValidation>
        <x14:dataValidation type="list" allowBlank="1" showInputMessage="1" showErrorMessage="1" xr:uid="{E14E9CE6-44D2-4AC6-B7FC-571CF998A7A3}">
          <x14:formula1>
            <xm:f>Dropdown!M10:M12</xm:f>
          </x14:formula1>
          <xm:sqref>AI77:AI85</xm:sqref>
        </x14:dataValidation>
        <x14:dataValidation type="list" allowBlank="1" showInputMessage="1" showErrorMessage="1" xr:uid="{EF3B96D3-9EF4-4638-85B9-8A44472773AA}">
          <x14:formula1>
            <xm:f>Dropdown!M2:M4</xm:f>
          </x14:formula1>
          <xm:sqref>AI71:AI76</xm:sqref>
        </x14:dataValidation>
        <x14:dataValidation type="list" allowBlank="1" showInputMessage="1" showErrorMessage="1" xr:uid="{8B7D5C5A-14D2-49C3-BCCE-226A7D3B37DC}">
          <x14:formula1>
            <xm:f>Dropdown!$N$2:$N$7</xm:f>
          </x14:formula1>
          <xm:sqref>R99:R1048576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335D-9F7C-4ABD-A50B-EC31212444DC}">
  <dimension ref="A1:N1000"/>
  <sheetViews>
    <sheetView topLeftCell="A137" workbookViewId="0">
      <selection activeCell="L166" sqref="L166"/>
    </sheetView>
  </sheetViews>
  <sheetFormatPr defaultColWidth="13.125" defaultRowHeight="21"/>
  <cols>
    <col min="1" max="1" width="13.25" style="4" customWidth="1"/>
    <col min="2" max="2" width="17.125" style="1" customWidth="1"/>
    <col min="3" max="3" width="18.375" style="1" customWidth="1"/>
    <col min="4" max="4" width="17.75" style="1" customWidth="1"/>
    <col min="5" max="5" width="9.25" style="1" customWidth="1"/>
    <col min="6" max="6" width="26.375" style="1" customWidth="1"/>
    <col min="7" max="7" width="10.875" style="1" customWidth="1"/>
    <col min="8" max="8" width="9.375" style="1" customWidth="1"/>
    <col min="9" max="1256" width="13.125" style="1" customWidth="1"/>
    <col min="1257" max="16384" width="13.125" style="1"/>
  </cols>
  <sheetData>
    <row r="1" spans="1:14" ht="42">
      <c r="A1" s="3" t="s">
        <v>387</v>
      </c>
      <c r="B1" s="1" t="s">
        <v>8</v>
      </c>
      <c r="C1" s="1" t="s">
        <v>388</v>
      </c>
      <c r="D1" s="1" t="s">
        <v>389</v>
      </c>
      <c r="E1" s="1" t="s">
        <v>390</v>
      </c>
      <c r="F1" s="1" t="s">
        <v>391</v>
      </c>
      <c r="G1" s="1" t="s">
        <v>73</v>
      </c>
      <c r="H1" s="1" t="s">
        <v>392</v>
      </c>
      <c r="I1" s="1" t="s">
        <v>9</v>
      </c>
      <c r="J1" s="6" t="s">
        <v>393</v>
      </c>
      <c r="K1" s="6" t="s">
        <v>394</v>
      </c>
      <c r="L1" s="7" t="s">
        <v>395</v>
      </c>
      <c r="M1" s="1" t="s">
        <v>23</v>
      </c>
      <c r="N1" s="1" t="s">
        <v>396</v>
      </c>
    </row>
    <row r="2" spans="1:14" ht="102.75">
      <c r="A2" s="4">
        <v>46023</v>
      </c>
      <c r="B2" s="1" t="s">
        <v>42</v>
      </c>
      <c r="C2" s="1" t="s">
        <v>44</v>
      </c>
      <c r="D2" s="1" t="s">
        <v>36</v>
      </c>
      <c r="E2" s="1" t="s">
        <v>29</v>
      </c>
      <c r="F2" s="1" t="s">
        <v>216</v>
      </c>
      <c r="G2" s="1" t="s">
        <v>73</v>
      </c>
      <c r="H2" s="1" t="s">
        <v>397</v>
      </c>
      <c r="I2" s="1" t="s">
        <v>84</v>
      </c>
      <c r="J2" s="2" t="s">
        <v>175</v>
      </c>
      <c r="K2" s="2" t="s">
        <v>176</v>
      </c>
      <c r="L2" s="2" t="s">
        <v>398</v>
      </c>
      <c r="M2" s="1" t="s">
        <v>397</v>
      </c>
      <c r="N2" s="1" t="s">
        <v>301</v>
      </c>
    </row>
    <row r="3" spans="1:14" ht="84.6" thickBot="1">
      <c r="A3" s="4">
        <v>46024</v>
      </c>
      <c r="B3" s="1" t="s">
        <v>52</v>
      </c>
      <c r="C3" s="1" t="s">
        <v>343</v>
      </c>
      <c r="D3" s="1" t="s">
        <v>46</v>
      </c>
      <c r="E3" s="1" t="s">
        <v>399</v>
      </c>
      <c r="F3" s="1" t="s">
        <v>54</v>
      </c>
      <c r="G3" s="1" t="s">
        <v>115</v>
      </c>
      <c r="H3" s="1" t="s">
        <v>400</v>
      </c>
      <c r="I3" s="1" t="s">
        <v>401</v>
      </c>
      <c r="J3" s="2" t="s">
        <v>183</v>
      </c>
      <c r="K3" s="2" t="s">
        <v>229</v>
      </c>
      <c r="L3" s="2" t="s">
        <v>402</v>
      </c>
      <c r="M3" s="1" t="s">
        <v>403</v>
      </c>
      <c r="N3" s="1" t="s">
        <v>404</v>
      </c>
    </row>
    <row r="4" spans="1:14" ht="84.6" thickBot="1">
      <c r="A4" s="4">
        <v>46025</v>
      </c>
      <c r="B4" s="1" t="s">
        <v>83</v>
      </c>
      <c r="C4" s="1" t="s">
        <v>370</v>
      </c>
      <c r="D4" s="1" t="s">
        <v>55</v>
      </c>
      <c r="E4" s="1" t="s">
        <v>405</v>
      </c>
      <c r="F4" s="1" t="s">
        <v>73</v>
      </c>
      <c r="G4" s="1" t="s">
        <v>53</v>
      </c>
      <c r="I4" s="1" t="s">
        <v>43</v>
      </c>
      <c r="J4" s="2" t="s">
        <v>124</v>
      </c>
      <c r="K4" s="2" t="s">
        <v>225</v>
      </c>
      <c r="L4" s="2" t="s">
        <v>406</v>
      </c>
      <c r="M4" s="1" t="s">
        <v>400</v>
      </c>
      <c r="N4" s="1" t="s">
        <v>339</v>
      </c>
    </row>
    <row r="5" spans="1:14" ht="105.6" thickBot="1">
      <c r="A5" s="4">
        <v>46026</v>
      </c>
      <c r="C5" s="1" t="s">
        <v>407</v>
      </c>
      <c r="F5" s="1" t="s">
        <v>408</v>
      </c>
      <c r="J5" s="2" t="s">
        <v>409</v>
      </c>
      <c r="K5" s="2" t="s">
        <v>282</v>
      </c>
      <c r="L5" s="2" t="s">
        <v>227</v>
      </c>
      <c r="N5" s="1" t="s">
        <v>410</v>
      </c>
    </row>
    <row r="6" spans="1:14" ht="84">
      <c r="A6" s="4">
        <v>46032</v>
      </c>
      <c r="C6" s="1" t="s">
        <v>361</v>
      </c>
      <c r="F6" s="1" t="s">
        <v>411</v>
      </c>
      <c r="J6" s="2" t="s">
        <v>120</v>
      </c>
      <c r="K6" s="2" t="s">
        <v>412</v>
      </c>
      <c r="L6" s="2" t="s">
        <v>413</v>
      </c>
      <c r="N6" s="1" t="s">
        <v>414</v>
      </c>
    </row>
    <row r="7" spans="1:14" ht="63.6" thickBot="1">
      <c r="A7" s="4">
        <v>46033</v>
      </c>
      <c r="C7" s="1" t="s">
        <v>85</v>
      </c>
      <c r="F7" s="1" t="s">
        <v>415</v>
      </c>
      <c r="J7" s="2" t="s">
        <v>178</v>
      </c>
      <c r="K7" s="2" t="s">
        <v>416</v>
      </c>
      <c r="L7" s="2" t="s">
        <v>417</v>
      </c>
      <c r="N7" s="1" t="s">
        <v>330</v>
      </c>
    </row>
    <row r="8" spans="1:14" ht="42.6" thickBot="1">
      <c r="A8" s="4">
        <v>46039</v>
      </c>
      <c r="C8" s="1" t="s">
        <v>84</v>
      </c>
      <c r="F8" s="1" t="s">
        <v>220</v>
      </c>
      <c r="J8" s="2" t="s">
        <v>128</v>
      </c>
      <c r="K8" s="2" t="s">
        <v>418</v>
      </c>
      <c r="L8" s="2" t="s">
        <v>419</v>
      </c>
    </row>
    <row r="9" spans="1:14" ht="84.6" thickBot="1">
      <c r="A9" s="4">
        <v>46040</v>
      </c>
      <c r="C9" s="1" t="s">
        <v>420</v>
      </c>
      <c r="F9" s="1" t="s">
        <v>161</v>
      </c>
      <c r="J9" s="2" t="s">
        <v>146</v>
      </c>
      <c r="K9" s="2" t="s">
        <v>121</v>
      </c>
      <c r="L9" s="2" t="s">
        <v>421</v>
      </c>
    </row>
    <row r="10" spans="1:14" ht="84.6" thickBot="1">
      <c r="A10" s="4">
        <v>46047</v>
      </c>
      <c r="J10" s="2" t="s">
        <v>422</v>
      </c>
      <c r="K10" s="2" t="s">
        <v>179</v>
      </c>
      <c r="L10" s="2" t="s">
        <v>423</v>
      </c>
    </row>
    <row r="11" spans="1:14" ht="105.6" thickBot="1">
      <c r="A11" s="4">
        <v>46053</v>
      </c>
      <c r="J11" s="2" t="s">
        <v>49</v>
      </c>
      <c r="K11" s="2" t="s">
        <v>125</v>
      </c>
      <c r="L11" s="2" t="s">
        <v>424</v>
      </c>
    </row>
    <row r="12" spans="1:14" ht="42.6" thickBot="1">
      <c r="A12" s="4">
        <v>46054</v>
      </c>
      <c r="J12" s="2" t="s">
        <v>112</v>
      </c>
      <c r="K12" s="2" t="s">
        <v>172</v>
      </c>
      <c r="L12" s="2" t="s">
        <v>425</v>
      </c>
    </row>
    <row r="13" spans="1:14" ht="63.6" thickBot="1">
      <c r="A13" s="4">
        <v>46061</v>
      </c>
      <c r="J13" s="2" t="s">
        <v>82</v>
      </c>
      <c r="K13" s="2" t="s">
        <v>129</v>
      </c>
      <c r="L13" s="2" t="s">
        <v>426</v>
      </c>
    </row>
    <row r="14" spans="1:14" ht="84.6" thickBot="1">
      <c r="A14" s="4">
        <v>46067</v>
      </c>
      <c r="J14" s="2" t="s">
        <v>62</v>
      </c>
      <c r="K14" s="2" t="s">
        <v>50</v>
      </c>
      <c r="L14" s="2" t="s">
        <v>427</v>
      </c>
    </row>
    <row r="15" spans="1:14" ht="84.6" thickBot="1">
      <c r="A15" s="4">
        <v>46068</v>
      </c>
      <c r="J15" s="2" t="s">
        <v>67</v>
      </c>
      <c r="K15" s="2" t="s">
        <v>184</v>
      </c>
      <c r="L15" s="2" t="s">
        <v>428</v>
      </c>
    </row>
    <row r="16" spans="1:14" ht="63.6" thickBot="1">
      <c r="A16" s="4">
        <v>46075</v>
      </c>
      <c r="J16" s="2" t="s">
        <v>55</v>
      </c>
      <c r="K16" s="2" t="s">
        <v>133</v>
      </c>
      <c r="L16" s="2" t="s">
        <v>429</v>
      </c>
    </row>
    <row r="17" spans="1:12" ht="84.6" thickBot="1">
      <c r="A17" s="4">
        <v>46081</v>
      </c>
      <c r="J17" s="2" t="s">
        <v>76</v>
      </c>
      <c r="K17" s="2" t="s">
        <v>213</v>
      </c>
      <c r="L17" s="2" t="s">
        <v>260</v>
      </c>
    </row>
    <row r="18" spans="1:12" ht="63.6" thickBot="1">
      <c r="A18" s="4">
        <v>46082</v>
      </c>
      <c r="J18" s="2" t="s">
        <v>88</v>
      </c>
      <c r="K18" s="2" t="s">
        <v>430</v>
      </c>
      <c r="L18" s="2" t="s">
        <v>431</v>
      </c>
    </row>
    <row r="19" spans="1:12" ht="84.6" thickBot="1">
      <c r="A19" s="4">
        <v>46084</v>
      </c>
      <c r="J19" s="2" t="s">
        <v>80</v>
      </c>
      <c r="K19" s="2" t="s">
        <v>432</v>
      </c>
      <c r="L19" s="2" t="s">
        <v>433</v>
      </c>
    </row>
    <row r="20" spans="1:12" ht="84.6" thickBot="1">
      <c r="A20" s="4">
        <v>46089</v>
      </c>
      <c r="J20" s="2" t="s">
        <v>91</v>
      </c>
      <c r="K20" s="2" t="s">
        <v>434</v>
      </c>
      <c r="L20" s="2" t="s">
        <v>435</v>
      </c>
    </row>
    <row r="21" spans="1:12" ht="105.6" thickBot="1">
      <c r="A21" s="4">
        <v>46095</v>
      </c>
      <c r="J21" s="2" t="s">
        <v>39</v>
      </c>
      <c r="K21" s="2" t="s">
        <v>436</v>
      </c>
      <c r="L21" s="2" t="s">
        <v>437</v>
      </c>
    </row>
    <row r="22" spans="1:12" ht="63.6" thickBot="1">
      <c r="A22" s="4">
        <v>46096</v>
      </c>
      <c r="J22" s="2" t="s">
        <v>292</v>
      </c>
      <c r="K22" s="2" t="s">
        <v>438</v>
      </c>
      <c r="L22" s="2" t="s">
        <v>439</v>
      </c>
    </row>
    <row r="23" spans="1:12" ht="84.6" thickBot="1">
      <c r="A23" s="4">
        <v>46103</v>
      </c>
      <c r="J23" s="2" t="s">
        <v>209</v>
      </c>
      <c r="K23" s="2" t="s">
        <v>440</v>
      </c>
      <c r="L23" s="2" t="s">
        <v>441</v>
      </c>
    </row>
    <row r="24" spans="1:12" ht="63.6" thickBot="1">
      <c r="A24" s="4">
        <v>46109</v>
      </c>
      <c r="J24" s="2" t="s">
        <v>150</v>
      </c>
      <c r="K24" s="2" t="s">
        <v>168</v>
      </c>
      <c r="L24" s="2" t="s">
        <v>442</v>
      </c>
    </row>
    <row r="25" spans="1:12" ht="63.6" thickBot="1">
      <c r="A25" s="4">
        <v>46110</v>
      </c>
      <c r="J25" s="2" t="s">
        <v>287</v>
      </c>
      <c r="K25" s="2" t="s">
        <v>443</v>
      </c>
      <c r="L25" s="2" t="s">
        <v>444</v>
      </c>
    </row>
    <row r="26" spans="1:12" ht="63.6" thickBot="1">
      <c r="A26" s="4">
        <v>46116</v>
      </c>
      <c r="J26" s="2" t="s">
        <v>333</v>
      </c>
      <c r="K26" s="2" t="s">
        <v>445</v>
      </c>
      <c r="L26" s="2" t="s">
        <v>446</v>
      </c>
    </row>
    <row r="27" spans="1:12" ht="84">
      <c r="A27" s="4">
        <v>46117</v>
      </c>
      <c r="J27" s="2" t="s">
        <v>175</v>
      </c>
      <c r="K27" s="2" t="s">
        <v>262</v>
      </c>
      <c r="L27" s="2" t="s">
        <v>126</v>
      </c>
    </row>
    <row r="28" spans="1:12" ht="21.6" thickBot="1">
      <c r="A28" s="4">
        <v>46118</v>
      </c>
      <c r="J28" s="2"/>
      <c r="K28" s="2" t="s">
        <v>82</v>
      </c>
      <c r="L28" s="2" t="s">
        <v>447</v>
      </c>
    </row>
    <row r="29" spans="1:12" ht="84.6" thickBot="1">
      <c r="A29" s="4">
        <v>46123</v>
      </c>
      <c r="J29" s="2"/>
      <c r="K29" s="2" t="s">
        <v>63</v>
      </c>
      <c r="L29" s="2" t="s">
        <v>122</v>
      </c>
    </row>
    <row r="30" spans="1:12" ht="63.6" thickBot="1">
      <c r="A30" s="4">
        <v>46124</v>
      </c>
      <c r="J30" s="2"/>
      <c r="K30" s="2" t="s">
        <v>68</v>
      </c>
      <c r="L30" s="2" t="s">
        <v>448</v>
      </c>
    </row>
    <row r="31" spans="1:12" ht="84.6" thickBot="1">
      <c r="A31" s="4">
        <v>46125</v>
      </c>
      <c r="J31" s="2"/>
      <c r="K31" s="2" t="s">
        <v>58</v>
      </c>
      <c r="L31" s="2" t="s">
        <v>449</v>
      </c>
    </row>
    <row r="32" spans="1:12" ht="42.6" thickBot="1">
      <c r="A32" s="4">
        <v>46126</v>
      </c>
      <c r="J32" s="2"/>
      <c r="K32" s="2" t="s">
        <v>71</v>
      </c>
      <c r="L32" s="2" t="s">
        <v>450</v>
      </c>
    </row>
    <row r="33" spans="1:12" ht="63.6" thickBot="1">
      <c r="A33" s="4">
        <v>46127</v>
      </c>
      <c r="J33" s="2"/>
      <c r="K33" s="2" t="s">
        <v>77</v>
      </c>
      <c r="L33" s="2" t="s">
        <v>451</v>
      </c>
    </row>
    <row r="34" spans="1:12" ht="63.6" thickBot="1">
      <c r="A34" s="4">
        <v>46130</v>
      </c>
      <c r="J34" s="2"/>
      <c r="K34" s="2" t="s">
        <v>100</v>
      </c>
      <c r="L34" s="2" t="s">
        <v>452</v>
      </c>
    </row>
    <row r="35" spans="1:12" ht="63.6" thickBot="1">
      <c r="A35" s="4">
        <v>46131</v>
      </c>
      <c r="J35" s="2"/>
      <c r="K35" s="2" t="s">
        <v>81</v>
      </c>
      <c r="L35" s="2" t="s">
        <v>453</v>
      </c>
    </row>
    <row r="36" spans="1:12" ht="42.6" thickBot="1">
      <c r="A36" s="4">
        <v>46138</v>
      </c>
      <c r="J36" s="2"/>
      <c r="K36" s="2" t="s">
        <v>95</v>
      </c>
      <c r="L36" s="2" t="s">
        <v>454</v>
      </c>
    </row>
    <row r="37" spans="1:12" ht="63.6" thickBot="1">
      <c r="A37" s="4">
        <v>46143</v>
      </c>
      <c r="J37" s="2"/>
      <c r="K37" s="2" t="s">
        <v>92</v>
      </c>
      <c r="L37" s="2" t="s">
        <v>455</v>
      </c>
    </row>
    <row r="38" spans="1:12" ht="63.6" thickBot="1">
      <c r="A38" s="4">
        <v>46144</v>
      </c>
      <c r="J38" s="2"/>
      <c r="K38" s="2" t="s">
        <v>98</v>
      </c>
      <c r="L38" s="2" t="s">
        <v>456</v>
      </c>
    </row>
    <row r="39" spans="1:12" ht="63.6" thickBot="1">
      <c r="A39" s="4">
        <v>46145</v>
      </c>
      <c r="J39" s="2"/>
      <c r="K39" s="2" t="s">
        <v>40</v>
      </c>
      <c r="L39" s="2" t="s">
        <v>457</v>
      </c>
    </row>
    <row r="40" spans="1:12" ht="84.6" thickBot="1">
      <c r="A40" s="4">
        <v>46146</v>
      </c>
      <c r="J40" s="2"/>
      <c r="K40" s="2" t="s">
        <v>458</v>
      </c>
      <c r="L40" s="2" t="s">
        <v>230</v>
      </c>
    </row>
    <row r="41" spans="1:12" ht="63.6" thickBot="1">
      <c r="A41" s="4">
        <v>46152</v>
      </c>
      <c r="J41" s="2"/>
      <c r="K41" s="2" t="s">
        <v>105</v>
      </c>
      <c r="L41" s="2" t="s">
        <v>459</v>
      </c>
    </row>
    <row r="42" spans="1:12" ht="63.6" thickBot="1">
      <c r="A42" s="4">
        <v>46153</v>
      </c>
      <c r="J42" s="2"/>
      <c r="K42" s="2" t="s">
        <v>102</v>
      </c>
      <c r="L42" s="2" t="s">
        <v>460</v>
      </c>
    </row>
    <row r="43" spans="1:12" ht="84.6" thickBot="1">
      <c r="A43" s="4">
        <v>46158</v>
      </c>
      <c r="J43" s="2"/>
      <c r="K43" s="2" t="s">
        <v>113</v>
      </c>
      <c r="L43" s="2" t="s">
        <v>461</v>
      </c>
    </row>
    <row r="44" spans="1:12" ht="42.6" thickBot="1">
      <c r="A44" s="4">
        <v>46159</v>
      </c>
      <c r="J44" s="2"/>
      <c r="K44" s="2" t="s">
        <v>315</v>
      </c>
      <c r="L44" s="2" t="s">
        <v>265</v>
      </c>
    </row>
    <row r="45" spans="1:12" ht="84.6" thickBot="1">
      <c r="A45" s="4">
        <v>46166</v>
      </c>
      <c r="J45" s="2"/>
      <c r="K45" s="2" t="s">
        <v>253</v>
      </c>
      <c r="L45" s="2" t="s">
        <v>462</v>
      </c>
    </row>
    <row r="46" spans="1:12" ht="42.6" thickBot="1">
      <c r="A46" s="4">
        <v>46172</v>
      </c>
      <c r="J46" s="2"/>
      <c r="K46" s="2" t="s">
        <v>143</v>
      </c>
      <c r="L46" s="2" t="s">
        <v>463</v>
      </c>
    </row>
    <row r="47" spans="1:12" ht="84.6" thickBot="1">
      <c r="A47" s="4">
        <v>46173</v>
      </c>
      <c r="J47" s="2"/>
      <c r="K47" s="2" t="s">
        <v>137</v>
      </c>
      <c r="L47" s="2" t="s">
        <v>464</v>
      </c>
    </row>
    <row r="48" spans="1:12" ht="42.6" thickBot="1">
      <c r="A48" s="4">
        <v>46174</v>
      </c>
      <c r="J48" s="2"/>
      <c r="K48" s="2" t="s">
        <v>465</v>
      </c>
      <c r="L48" s="2" t="s">
        <v>466</v>
      </c>
    </row>
    <row r="49" spans="1:12" ht="42.6" thickBot="1">
      <c r="A49" s="4">
        <v>46176</v>
      </c>
      <c r="J49" s="2"/>
      <c r="K49" s="2" t="s">
        <v>467</v>
      </c>
      <c r="L49" s="2" t="s">
        <v>177</v>
      </c>
    </row>
    <row r="50" spans="1:12" ht="84.6" thickBot="1">
      <c r="A50" s="4">
        <v>46180</v>
      </c>
      <c r="J50" s="2"/>
      <c r="K50" s="2" t="s">
        <v>267</v>
      </c>
      <c r="L50" s="2" t="s">
        <v>468</v>
      </c>
    </row>
    <row r="51" spans="1:12" ht="105.6" thickBot="1">
      <c r="A51" s="4">
        <v>46186</v>
      </c>
      <c r="J51" s="2"/>
      <c r="K51" s="2" t="s">
        <v>295</v>
      </c>
      <c r="L51" s="2" t="s">
        <v>180</v>
      </c>
    </row>
    <row r="52" spans="1:12" ht="63.6" thickBot="1">
      <c r="A52" s="4">
        <v>46187</v>
      </c>
      <c r="J52" s="2"/>
      <c r="K52" s="2" t="s">
        <v>298</v>
      </c>
      <c r="L52" s="2" t="s">
        <v>134</v>
      </c>
    </row>
    <row r="53" spans="1:12" ht="105.6" thickBot="1">
      <c r="A53" s="4">
        <v>46194</v>
      </c>
      <c r="J53" s="2"/>
      <c r="K53" s="2" t="s">
        <v>469</v>
      </c>
      <c r="L53" s="2" t="s">
        <v>470</v>
      </c>
    </row>
    <row r="54" spans="1:12" ht="63.6" thickBot="1">
      <c r="A54" s="4">
        <v>46200</v>
      </c>
      <c r="J54" s="2"/>
      <c r="K54" s="2" t="s">
        <v>147</v>
      </c>
      <c r="L54" s="2" t="s">
        <v>471</v>
      </c>
    </row>
    <row r="55" spans="1:12" ht="63.6" thickBot="1">
      <c r="A55" s="4">
        <v>46201</v>
      </c>
      <c r="J55" s="2"/>
      <c r="K55" s="2" t="s">
        <v>472</v>
      </c>
      <c r="L55" s="2" t="s">
        <v>473</v>
      </c>
    </row>
    <row r="56" spans="1:12" ht="63.6" thickBot="1">
      <c r="A56" s="4">
        <v>46207</v>
      </c>
      <c r="J56" s="2"/>
      <c r="K56" s="2" t="s">
        <v>474</v>
      </c>
      <c r="L56" s="2" t="s">
        <v>475</v>
      </c>
    </row>
    <row r="57" spans="1:12" ht="105.6" thickBot="1">
      <c r="A57" s="4">
        <v>46208</v>
      </c>
      <c r="J57" s="2"/>
      <c r="K57" s="2" t="s">
        <v>218</v>
      </c>
      <c r="L57" s="2" t="s">
        <v>476</v>
      </c>
    </row>
    <row r="58" spans="1:12" ht="84.6" thickBot="1">
      <c r="A58" s="4">
        <v>46214</v>
      </c>
      <c r="J58" s="2"/>
      <c r="K58" s="2" t="s">
        <v>259</v>
      </c>
      <c r="L58" s="2" t="s">
        <v>477</v>
      </c>
    </row>
    <row r="59" spans="1:12" ht="63.6" thickBot="1">
      <c r="A59" s="4">
        <v>46215</v>
      </c>
      <c r="J59" s="2"/>
      <c r="K59" s="2" t="s">
        <v>107</v>
      </c>
      <c r="L59" s="2" t="s">
        <v>478</v>
      </c>
    </row>
    <row r="60" spans="1:12" ht="63.6" thickBot="1">
      <c r="A60" s="4">
        <v>46221</v>
      </c>
      <c r="J60" s="2"/>
      <c r="K60" s="2" t="s">
        <v>479</v>
      </c>
      <c r="L60" s="2" t="s">
        <v>480</v>
      </c>
    </row>
    <row r="61" spans="1:12" ht="84.6" thickBot="1">
      <c r="A61" s="4">
        <v>46222</v>
      </c>
      <c r="J61" s="2"/>
      <c r="K61" s="2" t="s">
        <v>194</v>
      </c>
      <c r="L61" s="2" t="s">
        <v>481</v>
      </c>
    </row>
    <row r="62" spans="1:12" ht="84.6" thickBot="1">
      <c r="A62" s="4">
        <v>46228</v>
      </c>
      <c r="J62" s="2"/>
      <c r="K62" s="2" t="s">
        <v>237</v>
      </c>
      <c r="L62" s="2" t="s">
        <v>482</v>
      </c>
    </row>
    <row r="63" spans="1:12" ht="63.6" thickBot="1">
      <c r="A63" s="4">
        <v>46229</v>
      </c>
      <c r="J63" s="2"/>
      <c r="K63" s="2" t="s">
        <v>483</v>
      </c>
      <c r="L63" s="2" t="s">
        <v>484</v>
      </c>
    </row>
    <row r="64" spans="1:12" ht="63.6" thickBot="1">
      <c r="A64" s="4">
        <v>46231</v>
      </c>
      <c r="J64" s="2"/>
      <c r="K64" s="2" t="s">
        <v>157</v>
      </c>
      <c r="L64" s="2" t="s">
        <v>485</v>
      </c>
    </row>
    <row r="65" spans="1:12" ht="42.6" thickBot="1">
      <c r="A65" s="4">
        <v>46232</v>
      </c>
      <c r="J65" s="2"/>
      <c r="K65" s="2" t="s">
        <v>486</v>
      </c>
      <c r="L65" s="2" t="s">
        <v>212</v>
      </c>
    </row>
    <row r="66" spans="1:12" ht="63.6" thickBot="1">
      <c r="A66" s="4">
        <v>46233</v>
      </c>
      <c r="J66" s="2"/>
      <c r="K66" s="2" t="s">
        <v>487</v>
      </c>
      <c r="L66" s="2" t="s">
        <v>488</v>
      </c>
    </row>
    <row r="67" spans="1:12" ht="63.6" thickBot="1">
      <c r="A67" s="4">
        <v>46235</v>
      </c>
      <c r="J67" s="2"/>
      <c r="K67" s="2" t="s">
        <v>489</v>
      </c>
      <c r="L67" s="2" t="s">
        <v>490</v>
      </c>
    </row>
    <row r="68" spans="1:12" ht="42.6" thickBot="1">
      <c r="A68" s="4">
        <v>46236</v>
      </c>
      <c r="J68" s="2"/>
      <c r="K68" s="2" t="s">
        <v>210</v>
      </c>
      <c r="L68" s="2" t="s">
        <v>491</v>
      </c>
    </row>
    <row r="69" spans="1:12" ht="42.6" thickBot="1">
      <c r="A69" s="4">
        <v>46242</v>
      </c>
      <c r="J69" s="2"/>
      <c r="K69" s="2" t="s">
        <v>492</v>
      </c>
      <c r="L69" s="2" t="s">
        <v>214</v>
      </c>
    </row>
    <row r="70" spans="1:12" ht="42.6" thickBot="1">
      <c r="A70" s="4">
        <v>46243</v>
      </c>
      <c r="J70" s="2"/>
      <c r="K70" s="2" t="s">
        <v>151</v>
      </c>
      <c r="L70" s="2" t="s">
        <v>51</v>
      </c>
    </row>
    <row r="71" spans="1:12" ht="84.6" thickBot="1">
      <c r="A71" s="4">
        <v>46246</v>
      </c>
      <c r="J71" s="2"/>
      <c r="K71" s="2" t="s">
        <v>277</v>
      </c>
      <c r="L71" s="2" t="s">
        <v>493</v>
      </c>
    </row>
    <row r="72" spans="1:12" ht="84.6" thickBot="1">
      <c r="A72" s="4">
        <v>46249</v>
      </c>
      <c r="J72" s="2"/>
      <c r="K72" s="2" t="s">
        <v>494</v>
      </c>
      <c r="L72" s="2" t="s">
        <v>495</v>
      </c>
    </row>
    <row r="73" spans="1:12" ht="63.6" thickBot="1">
      <c r="A73" s="4">
        <v>46250</v>
      </c>
      <c r="J73" s="2"/>
      <c r="K73" s="2" t="s">
        <v>496</v>
      </c>
      <c r="L73" s="2" t="s">
        <v>497</v>
      </c>
    </row>
    <row r="74" spans="1:12" ht="84.6" thickBot="1">
      <c r="A74" s="4">
        <v>46256</v>
      </c>
      <c r="J74" s="2"/>
      <c r="K74" s="2" t="s">
        <v>498</v>
      </c>
      <c r="L74" s="2" t="s">
        <v>499</v>
      </c>
    </row>
    <row r="75" spans="1:12" ht="84.6" thickBot="1">
      <c r="A75" s="4">
        <v>46257</v>
      </c>
      <c r="J75" s="2"/>
      <c r="K75" s="2" t="s">
        <v>288</v>
      </c>
      <c r="L75" s="2" t="s">
        <v>500</v>
      </c>
    </row>
    <row r="76" spans="1:12" ht="42.6" thickBot="1">
      <c r="A76" s="4">
        <v>46263</v>
      </c>
      <c r="J76" s="2"/>
      <c r="K76" s="2" t="s">
        <v>501</v>
      </c>
      <c r="L76" s="2" t="s">
        <v>502</v>
      </c>
    </row>
    <row r="77" spans="1:12" ht="42.6" thickBot="1">
      <c r="A77" s="4">
        <v>46264</v>
      </c>
      <c r="J77" s="2"/>
      <c r="K77" s="2" t="s">
        <v>245</v>
      </c>
      <c r="L77" s="2" t="s">
        <v>169</v>
      </c>
    </row>
    <row r="78" spans="1:12" ht="63.6" thickBot="1">
      <c r="A78" s="4">
        <v>46270</v>
      </c>
      <c r="J78" s="2"/>
      <c r="K78" s="2" t="s">
        <v>359</v>
      </c>
      <c r="L78" s="2" t="s">
        <v>283</v>
      </c>
    </row>
    <row r="79" spans="1:12" ht="105.6" thickBot="1">
      <c r="A79" s="4">
        <v>46271</v>
      </c>
      <c r="J79" s="2"/>
      <c r="K79" s="2" t="s">
        <v>189</v>
      </c>
      <c r="L79" s="2" t="s">
        <v>131</v>
      </c>
    </row>
    <row r="80" spans="1:12" ht="63.6" thickBot="1">
      <c r="A80" s="4">
        <v>46277</v>
      </c>
      <c r="J80" s="2"/>
      <c r="K80" s="2" t="s">
        <v>503</v>
      </c>
      <c r="L80" s="2" t="s">
        <v>504</v>
      </c>
    </row>
    <row r="81" spans="1:12" ht="63.6" thickBot="1">
      <c r="A81" s="4">
        <v>46278</v>
      </c>
      <c r="J81" s="2"/>
      <c r="K81" s="2" t="s">
        <v>203</v>
      </c>
      <c r="L81" s="2" t="s">
        <v>505</v>
      </c>
    </row>
    <row r="82" spans="1:12" ht="42.6" thickBot="1">
      <c r="A82" s="4">
        <v>46284</v>
      </c>
      <c r="J82" s="2"/>
      <c r="K82" s="2" t="s">
        <v>233</v>
      </c>
      <c r="L82" s="2" t="s">
        <v>506</v>
      </c>
    </row>
    <row r="83" spans="1:12" ht="63.6" thickBot="1">
      <c r="A83" s="4">
        <v>46285</v>
      </c>
      <c r="J83" s="2"/>
      <c r="K83" s="2" t="s">
        <v>210</v>
      </c>
      <c r="L83" s="2" t="s">
        <v>185</v>
      </c>
    </row>
    <row r="84" spans="1:12" ht="84.6" thickBot="1">
      <c r="A84" s="4">
        <v>46291</v>
      </c>
      <c r="J84" s="2"/>
      <c r="K84" s="2" t="s">
        <v>494</v>
      </c>
      <c r="L84" s="2" t="s">
        <v>507</v>
      </c>
    </row>
    <row r="85" spans="1:12" ht="63.6" thickBot="1">
      <c r="A85" s="4">
        <v>46292</v>
      </c>
      <c r="J85" s="2"/>
      <c r="K85" s="2" t="s">
        <v>508</v>
      </c>
      <c r="L85" s="2" t="s">
        <v>82</v>
      </c>
    </row>
    <row r="86" spans="1:12" ht="42.6" thickBot="1">
      <c r="A86" s="4">
        <v>46298</v>
      </c>
      <c r="J86" s="2"/>
      <c r="K86" s="2" t="s">
        <v>306</v>
      </c>
      <c r="L86" s="2" t="s">
        <v>64</v>
      </c>
    </row>
    <row r="87" spans="1:12" ht="63.6" thickBot="1">
      <c r="A87" s="4">
        <v>46299</v>
      </c>
      <c r="J87" s="2"/>
      <c r="K87" s="2" t="s">
        <v>359</v>
      </c>
      <c r="L87" s="2" t="s">
        <v>69</v>
      </c>
    </row>
    <row r="88" spans="1:12" ht="84.6" thickBot="1">
      <c r="A88" s="4">
        <v>46305</v>
      </c>
      <c r="J88" s="2"/>
      <c r="K88" s="2" t="s">
        <v>509</v>
      </c>
      <c r="L88" s="2" t="s">
        <v>59</v>
      </c>
    </row>
    <row r="89" spans="1:12" ht="84.6" thickBot="1">
      <c r="A89" s="4">
        <v>46306</v>
      </c>
      <c r="J89" s="2"/>
      <c r="K89" s="2" t="s">
        <v>277</v>
      </c>
      <c r="L89" s="2" t="s">
        <v>72</v>
      </c>
    </row>
    <row r="90" spans="1:12" ht="63.6" thickBot="1">
      <c r="A90" s="4">
        <v>46308</v>
      </c>
      <c r="J90" s="2"/>
      <c r="K90" s="2" t="s">
        <v>274</v>
      </c>
      <c r="L90" s="2" t="s">
        <v>75</v>
      </c>
    </row>
    <row r="91" spans="1:12" ht="63.6" thickBot="1">
      <c r="A91" s="4">
        <v>46312</v>
      </c>
      <c r="J91" s="2"/>
      <c r="K91" s="2" t="s">
        <v>298</v>
      </c>
      <c r="L91" s="2" t="s">
        <v>89</v>
      </c>
    </row>
    <row r="92" spans="1:12" ht="84.6" thickBot="1">
      <c r="A92" s="4">
        <v>46313</v>
      </c>
      <c r="J92" s="2"/>
      <c r="K92" s="2" t="s">
        <v>293</v>
      </c>
      <c r="L92" s="2" t="s">
        <v>96</v>
      </c>
    </row>
    <row r="93" spans="1:12" ht="105.6" thickBot="1">
      <c r="A93" s="4">
        <v>46318</v>
      </c>
      <c r="J93" s="2"/>
      <c r="K93" s="2" t="s">
        <v>295</v>
      </c>
      <c r="L93" s="2" t="s">
        <v>93</v>
      </c>
    </row>
    <row r="94" spans="1:12" ht="63.6" thickBot="1">
      <c r="A94" s="4">
        <v>46319</v>
      </c>
      <c r="J94" s="2"/>
      <c r="K94" s="2" t="s">
        <v>318</v>
      </c>
      <c r="L94" s="2" t="s">
        <v>99</v>
      </c>
    </row>
    <row r="95" spans="1:12" ht="63.6" thickBot="1">
      <c r="A95" s="4">
        <v>46320</v>
      </c>
      <c r="J95" s="2"/>
      <c r="K95" s="2" t="s">
        <v>262</v>
      </c>
      <c r="L95" s="2" t="s">
        <v>41</v>
      </c>
    </row>
    <row r="96" spans="1:12" ht="63.6" thickBot="1">
      <c r="A96" s="4">
        <v>46326</v>
      </c>
      <c r="J96" s="2"/>
      <c r="K96" s="2" t="s">
        <v>157</v>
      </c>
      <c r="L96" s="2" t="s">
        <v>192</v>
      </c>
    </row>
    <row r="97" spans="1:12" ht="84.6" thickBot="1">
      <c r="A97" s="4">
        <v>46327</v>
      </c>
      <c r="J97" s="2"/>
      <c r="K97" s="2" t="s">
        <v>105</v>
      </c>
      <c r="L97" s="2" t="s">
        <v>103</v>
      </c>
    </row>
    <row r="98" spans="1:12" ht="84.6" thickBot="1">
      <c r="A98" s="4">
        <v>46333</v>
      </c>
      <c r="J98" s="2"/>
      <c r="K98" s="2" t="s">
        <v>510</v>
      </c>
      <c r="L98" s="2" t="s">
        <v>114</v>
      </c>
    </row>
    <row r="99" spans="1:12" ht="42">
      <c r="A99" s="4">
        <v>46334</v>
      </c>
      <c r="J99" s="2"/>
      <c r="K99" s="2" t="s">
        <v>511</v>
      </c>
      <c r="L99" s="2" t="s">
        <v>148</v>
      </c>
    </row>
    <row r="100" spans="1:12" ht="105">
      <c r="A100" s="4">
        <v>46340</v>
      </c>
      <c r="J100" s="2"/>
      <c r="K100" s="2" t="s">
        <v>295</v>
      </c>
      <c r="L100" s="2" t="s">
        <v>512</v>
      </c>
    </row>
    <row r="101" spans="1:12" ht="63">
      <c r="A101" s="4">
        <v>46341</v>
      </c>
      <c r="J101" s="2"/>
      <c r="K101" s="2" t="s">
        <v>359</v>
      </c>
      <c r="L101" s="2" t="s">
        <v>70</v>
      </c>
    </row>
    <row r="102" spans="1:12" ht="144.75">
      <c r="A102" s="4">
        <v>46347</v>
      </c>
      <c r="J102" s="2"/>
      <c r="K102" s="99" t="s">
        <v>513</v>
      </c>
      <c r="L102" s="2" t="s">
        <v>139</v>
      </c>
    </row>
    <row r="103" spans="1:12" ht="42.6" thickBot="1">
      <c r="A103" s="4">
        <v>46348</v>
      </c>
      <c r="J103" s="2"/>
      <c r="K103" s="2"/>
      <c r="L103" s="2" t="s">
        <v>158</v>
      </c>
    </row>
    <row r="104" spans="1:12" ht="42.6" thickBot="1">
      <c r="A104" s="4">
        <v>46354</v>
      </c>
      <c r="J104" s="2"/>
      <c r="K104" s="2"/>
      <c r="L104" s="2" t="s">
        <v>164</v>
      </c>
    </row>
    <row r="105" spans="1:12" ht="42.6" thickBot="1">
      <c r="A105" s="4">
        <v>46355</v>
      </c>
      <c r="J105" s="2"/>
      <c r="K105" s="2"/>
      <c r="L105" s="2" t="s">
        <v>514</v>
      </c>
    </row>
    <row r="106" spans="1:12" ht="63.6" thickBot="1">
      <c r="A106" s="4">
        <v>46361</v>
      </c>
      <c r="J106" s="2"/>
      <c r="K106" s="2"/>
      <c r="L106" s="2" t="s">
        <v>515</v>
      </c>
    </row>
    <row r="107" spans="1:12" ht="63.6" thickBot="1">
      <c r="A107" s="4">
        <v>46362</v>
      </c>
      <c r="J107" s="2"/>
      <c r="K107" s="2"/>
      <c r="L107" s="2" t="s">
        <v>160</v>
      </c>
    </row>
    <row r="108" spans="1:12" ht="21.6" thickBot="1">
      <c r="A108" s="4">
        <v>46363</v>
      </c>
      <c r="J108" s="2"/>
      <c r="K108" s="2"/>
      <c r="L108" s="2" t="s">
        <v>118</v>
      </c>
    </row>
    <row r="109" spans="1:12" ht="63.6" thickBot="1">
      <c r="A109" s="4">
        <v>46366</v>
      </c>
      <c r="J109" s="2"/>
      <c r="K109" s="2"/>
      <c r="L109" s="2" t="s">
        <v>108</v>
      </c>
    </row>
    <row r="110" spans="1:12" ht="63.6" thickBot="1">
      <c r="A110" s="4">
        <v>46368</v>
      </c>
      <c r="J110" s="2"/>
      <c r="K110" s="2"/>
      <c r="L110" s="2" t="s">
        <v>204</v>
      </c>
    </row>
    <row r="111" spans="1:12" ht="63.6" thickBot="1">
      <c r="A111" s="4">
        <v>46369</v>
      </c>
      <c r="J111" s="2"/>
      <c r="K111" s="2"/>
      <c r="L111" s="2" t="s">
        <v>198</v>
      </c>
    </row>
    <row r="112" spans="1:12" ht="63.6" thickBot="1">
      <c r="A112" s="4">
        <v>46375</v>
      </c>
      <c r="J112" s="2"/>
      <c r="K112" s="2"/>
      <c r="L112" s="2" t="s">
        <v>201</v>
      </c>
    </row>
    <row r="113" spans="1:12" ht="63.6" thickBot="1">
      <c r="A113" s="4">
        <v>46376</v>
      </c>
      <c r="J113" s="2"/>
      <c r="K113" s="2"/>
      <c r="L113" s="2" t="s">
        <v>195</v>
      </c>
    </row>
    <row r="114" spans="1:12" ht="63.6" thickBot="1">
      <c r="A114" s="4">
        <v>46382</v>
      </c>
      <c r="J114" s="2"/>
      <c r="K114" s="2"/>
      <c r="L114" s="2" t="s">
        <v>516</v>
      </c>
    </row>
    <row r="115" spans="1:12" ht="63.6" thickBot="1">
      <c r="A115" s="4">
        <v>46383</v>
      </c>
      <c r="J115" s="2"/>
      <c r="K115" s="2"/>
      <c r="L115" s="2" t="s">
        <v>190</v>
      </c>
    </row>
    <row r="116" spans="1:12" ht="42.6" thickBot="1">
      <c r="A116" s="4">
        <v>46387</v>
      </c>
      <c r="J116" s="2"/>
      <c r="K116" s="2"/>
      <c r="L116" s="2" t="s">
        <v>211</v>
      </c>
    </row>
    <row r="117" spans="1:12" ht="42.6" thickBot="1">
      <c r="J117" s="2"/>
      <c r="K117" s="2"/>
      <c r="L117" s="2" t="s">
        <v>517</v>
      </c>
    </row>
    <row r="118" spans="1:12" ht="63.6" thickBot="1">
      <c r="J118" s="2"/>
      <c r="K118" s="2"/>
      <c r="L118" s="2" t="s">
        <v>518</v>
      </c>
    </row>
    <row r="119" spans="1:12" ht="21.6" thickBot="1">
      <c r="J119" s="2"/>
      <c r="K119" s="2"/>
      <c r="L119" s="2" t="s">
        <v>207</v>
      </c>
    </row>
    <row r="120" spans="1:12" ht="42.6" thickBot="1">
      <c r="J120" s="2"/>
      <c r="K120" s="2"/>
      <c r="L120" s="2" t="s">
        <v>217</v>
      </c>
    </row>
    <row r="121" spans="1:12" ht="63.6" thickBot="1">
      <c r="J121" s="2"/>
      <c r="K121" s="2"/>
      <c r="L121" s="2" t="s">
        <v>519</v>
      </c>
    </row>
    <row r="122" spans="1:12" ht="42.6" thickBot="1">
      <c r="J122" s="2"/>
      <c r="K122" s="2"/>
      <c r="L122" s="2" t="s">
        <v>520</v>
      </c>
    </row>
    <row r="123" spans="1:12" ht="42.6" thickBot="1">
      <c r="J123" s="2"/>
      <c r="K123" s="2"/>
      <c r="L123" s="2" t="s">
        <v>521</v>
      </c>
    </row>
    <row r="124" spans="1:12" ht="21.6" thickBot="1">
      <c r="J124" s="2"/>
      <c r="K124" s="2"/>
      <c r="L124" s="2" t="s">
        <v>244</v>
      </c>
    </row>
    <row r="125" spans="1:12" ht="63.6" thickBot="1">
      <c r="J125" s="2"/>
      <c r="K125" s="2"/>
      <c r="L125" s="2" t="s">
        <v>221</v>
      </c>
    </row>
    <row r="126" spans="1:12" ht="63.6" thickBot="1">
      <c r="J126" s="2"/>
      <c r="K126" s="2"/>
      <c r="L126" s="2" t="s">
        <v>223</v>
      </c>
    </row>
    <row r="127" spans="1:12" ht="21.6" thickBot="1">
      <c r="J127" s="2"/>
      <c r="K127" s="2"/>
      <c r="L127" s="2" t="s">
        <v>141</v>
      </c>
    </row>
    <row r="128" spans="1:12" ht="42.6" thickBot="1">
      <c r="J128" s="2"/>
      <c r="K128" s="2"/>
      <c r="L128" s="2" t="s">
        <v>226</v>
      </c>
    </row>
    <row r="129" spans="10:12" ht="21.6" thickBot="1">
      <c r="J129" s="2"/>
      <c r="K129" s="2"/>
      <c r="L129" s="5" t="s">
        <v>234</v>
      </c>
    </row>
    <row r="130" spans="10:12" ht="42.6" thickBot="1">
      <c r="J130" s="2"/>
      <c r="K130" s="2"/>
      <c r="L130" s="2" t="s">
        <v>252</v>
      </c>
    </row>
    <row r="131" spans="10:12" ht="21.6" thickBot="1">
      <c r="J131" s="2"/>
      <c r="K131" s="2"/>
      <c r="L131" s="2" t="s">
        <v>255</v>
      </c>
    </row>
    <row r="132" spans="10:12" ht="63.6" thickBot="1">
      <c r="J132" s="2"/>
      <c r="K132" s="2"/>
      <c r="L132" s="2" t="s">
        <v>250</v>
      </c>
    </row>
    <row r="133" spans="10:12" ht="42.6" thickBot="1">
      <c r="J133" s="2"/>
      <c r="K133" s="2"/>
      <c r="L133" s="2" t="s">
        <v>247</v>
      </c>
    </row>
    <row r="134" spans="10:12" ht="21.6" thickBot="1">
      <c r="J134" s="2"/>
      <c r="K134" s="2"/>
      <c r="L134" s="2" t="s">
        <v>522</v>
      </c>
    </row>
    <row r="135" spans="10:12" ht="42.6" thickBot="1">
      <c r="J135" s="2"/>
      <c r="K135" s="2"/>
      <c r="L135" s="2" t="s">
        <v>523</v>
      </c>
    </row>
    <row r="136" spans="10:12" ht="63.6" thickBot="1">
      <c r="J136" s="2"/>
      <c r="K136" s="2"/>
      <c r="L136" s="2" t="s">
        <v>263</v>
      </c>
    </row>
    <row r="137" spans="10:12" ht="63.6" thickBot="1">
      <c r="J137" s="2"/>
      <c r="K137" s="2"/>
      <c r="L137" s="2" t="s">
        <v>278</v>
      </c>
    </row>
    <row r="138" spans="10:12" ht="42.6" thickBot="1">
      <c r="J138" s="2"/>
      <c r="K138" s="2"/>
      <c r="L138" s="2" t="s">
        <v>239</v>
      </c>
    </row>
    <row r="139" spans="10:12" ht="42.6" thickBot="1">
      <c r="J139" s="2"/>
      <c r="K139" s="2"/>
      <c r="L139" s="2" t="s">
        <v>268</v>
      </c>
    </row>
    <row r="140" spans="10:12" ht="42.6" thickBot="1">
      <c r="J140" s="2"/>
      <c r="K140" s="2"/>
      <c r="L140" s="2" t="s">
        <v>272</v>
      </c>
    </row>
    <row r="141" spans="10:12" ht="21.6" thickBot="1">
      <c r="J141" s="2"/>
      <c r="K141" s="2"/>
      <c r="L141" s="2" t="s">
        <v>524</v>
      </c>
    </row>
    <row r="142" spans="10:12" ht="21.6" thickBot="1">
      <c r="J142" s="2"/>
      <c r="K142" s="2"/>
      <c r="L142" s="2" t="s">
        <v>270</v>
      </c>
    </row>
    <row r="143" spans="10:12" ht="42.6" thickBot="1">
      <c r="J143" s="2"/>
      <c r="K143" s="2"/>
      <c r="L143" s="2" t="s">
        <v>280</v>
      </c>
    </row>
    <row r="144" spans="10:12" ht="21.6" thickBot="1">
      <c r="J144" s="2"/>
      <c r="K144" s="2"/>
      <c r="L144" s="2" t="s">
        <v>289</v>
      </c>
    </row>
    <row r="145" spans="10:12" ht="21.6" thickBot="1">
      <c r="J145" s="2"/>
      <c r="K145" s="2"/>
      <c r="L145" s="2" t="s">
        <v>299</v>
      </c>
    </row>
    <row r="146" spans="10:12" ht="63.6" thickBot="1">
      <c r="J146" s="2"/>
      <c r="K146" s="2"/>
      <c r="L146" s="2" t="s">
        <v>296</v>
      </c>
    </row>
    <row r="147" spans="10:12" ht="63.6" thickBot="1">
      <c r="J147" s="2"/>
      <c r="K147" s="2"/>
      <c r="L147" s="5" t="s">
        <v>197</v>
      </c>
    </row>
    <row r="148" spans="10:12" ht="42.6" thickBot="1">
      <c r="J148" s="2"/>
      <c r="K148" s="2"/>
      <c r="L148" s="2" t="s">
        <v>300</v>
      </c>
    </row>
    <row r="149" spans="10:12" ht="42.6" thickBot="1">
      <c r="J149" s="2"/>
      <c r="K149" s="2"/>
      <c r="L149" s="2" t="s">
        <v>324</v>
      </c>
    </row>
    <row r="150" spans="10:12" ht="63.6" thickBot="1">
      <c r="J150" s="2"/>
      <c r="K150" s="2"/>
      <c r="L150" s="2" t="s">
        <v>316</v>
      </c>
    </row>
    <row r="151" spans="10:12" ht="63.6" thickBot="1">
      <c r="J151" s="2"/>
      <c r="K151" s="2"/>
      <c r="L151" s="2" t="s">
        <v>338</v>
      </c>
    </row>
    <row r="152" spans="10:12" ht="42.6" thickBot="1">
      <c r="J152" s="2"/>
      <c r="K152" s="2"/>
      <c r="L152" s="2" t="s">
        <v>319</v>
      </c>
    </row>
    <row r="153" spans="10:12" ht="42.6" thickBot="1">
      <c r="J153" s="2"/>
      <c r="K153" s="2"/>
      <c r="L153" s="2" t="s">
        <v>311</v>
      </c>
    </row>
    <row r="154" spans="10:12" ht="21.6" thickBot="1">
      <c r="J154" s="2"/>
      <c r="K154" s="2"/>
      <c r="L154" s="2" t="s">
        <v>219</v>
      </c>
    </row>
    <row r="155" spans="10:12" ht="42.6" thickBot="1">
      <c r="J155" s="2"/>
      <c r="K155" s="2"/>
      <c r="L155" s="2" t="s">
        <v>525</v>
      </c>
    </row>
    <row r="156" spans="10:12" ht="63.6" thickBot="1">
      <c r="J156" s="2"/>
      <c r="K156" s="2"/>
      <c r="L156" s="2" t="s">
        <v>526</v>
      </c>
    </row>
    <row r="157" spans="10:12" ht="63.6" thickBot="1">
      <c r="J157" s="2"/>
      <c r="K157" s="2"/>
      <c r="L157" s="2" t="s">
        <v>526</v>
      </c>
    </row>
    <row r="158" spans="10:12" ht="63.6" thickBot="1">
      <c r="J158" s="2"/>
      <c r="K158" s="2"/>
      <c r="L158" s="2" t="s">
        <v>342</v>
      </c>
    </row>
    <row r="159" spans="10:12" ht="63.6" thickBot="1">
      <c r="J159" s="2"/>
      <c r="K159" s="2"/>
      <c r="L159" s="2" t="s">
        <v>334</v>
      </c>
    </row>
    <row r="160" spans="10:12" ht="42">
      <c r="J160" s="2"/>
      <c r="K160" s="2"/>
      <c r="L160" s="2" t="s">
        <v>376</v>
      </c>
    </row>
    <row r="161" spans="10:12" ht="42">
      <c r="J161" s="2"/>
      <c r="K161" s="2"/>
      <c r="L161" s="2" t="s">
        <v>369</v>
      </c>
    </row>
    <row r="162" spans="10:12" ht="42">
      <c r="J162" s="2"/>
      <c r="K162" s="2"/>
      <c r="L162" s="2" t="s">
        <v>360</v>
      </c>
    </row>
    <row r="163" spans="10:12" ht="102.75">
      <c r="J163" s="2"/>
      <c r="K163" s="2"/>
      <c r="L163" s="2" t="s">
        <v>384</v>
      </c>
    </row>
    <row r="164" spans="10:12" ht="21.6" thickBot="1">
      <c r="J164" s="2"/>
      <c r="K164" s="2"/>
      <c r="L164" s="2"/>
    </row>
    <row r="165" spans="10:12" ht="21.6" thickBot="1">
      <c r="J165" s="2"/>
      <c r="K165" s="2"/>
      <c r="L165" s="2"/>
    </row>
    <row r="166" spans="10:12" ht="21.6" thickBot="1">
      <c r="J166" s="2"/>
      <c r="K166" s="2"/>
      <c r="L166" s="2"/>
    </row>
    <row r="167" spans="10:12" ht="21.6" thickBot="1">
      <c r="J167" s="2"/>
      <c r="K167" s="2"/>
      <c r="L167" s="2"/>
    </row>
    <row r="168" spans="10:12" ht="21.6" thickBot="1">
      <c r="J168" s="2"/>
      <c r="K168" s="2"/>
      <c r="L168" s="2"/>
    </row>
    <row r="169" spans="10:12" ht="21.6" thickBot="1">
      <c r="J169" s="2"/>
      <c r="K169" s="2"/>
      <c r="L169" s="2"/>
    </row>
    <row r="170" spans="10:12" ht="21.6" thickBot="1">
      <c r="J170" s="2"/>
      <c r="K170" s="2"/>
      <c r="L170" s="2"/>
    </row>
    <row r="171" spans="10:12" ht="21.6" thickBot="1">
      <c r="J171" s="2"/>
      <c r="K171" s="2"/>
      <c r="L171" s="2"/>
    </row>
    <row r="172" spans="10:12" ht="21.6" thickBot="1">
      <c r="J172" s="2"/>
      <c r="K172" s="2"/>
      <c r="L172" s="2"/>
    </row>
    <row r="173" spans="10:12" ht="21.6" thickBot="1">
      <c r="J173" s="2"/>
      <c r="K173" s="2"/>
      <c r="L173" s="2"/>
    </row>
    <row r="174" spans="10:12" ht="21.6" thickBot="1">
      <c r="J174" s="2"/>
      <c r="K174" s="2"/>
      <c r="L174" s="2"/>
    </row>
    <row r="175" spans="10:12" ht="21.6" thickBot="1">
      <c r="J175" s="2"/>
      <c r="K175" s="2"/>
      <c r="L175" s="2"/>
    </row>
    <row r="176" spans="10:12" ht="21.6" thickBot="1">
      <c r="J176" s="2"/>
      <c r="K176" s="2"/>
      <c r="L176" s="2"/>
    </row>
    <row r="177" spans="10:12" ht="21.6" thickBot="1">
      <c r="J177" s="2"/>
      <c r="K177" s="2"/>
      <c r="L177" s="2"/>
    </row>
    <row r="178" spans="10:12" ht="21.6" thickBot="1">
      <c r="J178" s="2"/>
      <c r="K178" s="2"/>
      <c r="L178" s="2"/>
    </row>
    <row r="179" spans="10:12" ht="21.6" thickBot="1">
      <c r="J179" s="2"/>
      <c r="K179" s="2"/>
      <c r="L179" s="2"/>
    </row>
    <row r="180" spans="10:12" ht="21.6" thickBot="1">
      <c r="J180" s="2"/>
      <c r="K180" s="2"/>
      <c r="L180" s="2"/>
    </row>
    <row r="181" spans="10:12" ht="21.6" thickBot="1">
      <c r="J181" s="2"/>
      <c r="K181" s="2"/>
      <c r="L181" s="2"/>
    </row>
    <row r="182" spans="10:12" ht="21.6" thickBot="1">
      <c r="J182" s="2"/>
      <c r="K182" s="2"/>
      <c r="L182" s="2"/>
    </row>
    <row r="183" spans="10:12" ht="21.6" thickBot="1">
      <c r="J183" s="2"/>
      <c r="K183" s="2"/>
      <c r="L183" s="2"/>
    </row>
    <row r="184" spans="10:12" ht="21.6" thickBot="1">
      <c r="J184" s="2"/>
      <c r="K184" s="2"/>
      <c r="L184" s="2"/>
    </row>
    <row r="185" spans="10:12" ht="21.6" thickBot="1">
      <c r="J185" s="2"/>
      <c r="K185" s="2"/>
      <c r="L185" s="2"/>
    </row>
    <row r="186" spans="10:12" ht="21.6" thickBot="1">
      <c r="J186" s="2"/>
      <c r="K186" s="2"/>
      <c r="L186" s="2"/>
    </row>
    <row r="187" spans="10:12" ht="21.6" thickBot="1">
      <c r="J187" s="2"/>
      <c r="K187" s="2"/>
      <c r="L187" s="2"/>
    </row>
    <row r="188" spans="10:12" ht="21.6" thickBot="1">
      <c r="J188" s="2"/>
      <c r="K188" s="2"/>
      <c r="L188" s="2"/>
    </row>
    <row r="189" spans="10:12" ht="21.6" thickBot="1">
      <c r="J189" s="2"/>
      <c r="K189" s="2"/>
      <c r="L189" s="2"/>
    </row>
    <row r="190" spans="10:12" ht="21.6" thickBot="1">
      <c r="J190" s="2"/>
      <c r="K190" s="2"/>
      <c r="L190" s="2"/>
    </row>
    <row r="191" spans="10:12" ht="21.6" thickBot="1">
      <c r="J191" s="2"/>
      <c r="K191" s="2"/>
      <c r="L191" s="2"/>
    </row>
    <row r="192" spans="10:12" ht="21.6" thickBot="1">
      <c r="J192" s="2"/>
      <c r="K192" s="2"/>
      <c r="L192" s="2"/>
    </row>
    <row r="193" spans="10:12" ht="21.6" thickBot="1">
      <c r="J193" s="2"/>
      <c r="K193" s="2"/>
      <c r="L193" s="2"/>
    </row>
    <row r="194" spans="10:12" ht="21.6" thickBot="1">
      <c r="J194" s="2"/>
      <c r="K194" s="2"/>
      <c r="L194" s="2"/>
    </row>
    <row r="195" spans="10:12" ht="21.6" thickBot="1">
      <c r="J195" s="2"/>
      <c r="K195" s="2"/>
      <c r="L195" s="2"/>
    </row>
    <row r="196" spans="10:12" ht="21.6" thickBot="1">
      <c r="J196" s="2"/>
      <c r="K196" s="2"/>
      <c r="L196" s="2"/>
    </row>
    <row r="197" spans="10:12" ht="21.6" thickBot="1">
      <c r="J197" s="2"/>
      <c r="K197" s="2"/>
      <c r="L197" s="2"/>
    </row>
    <row r="198" spans="10:12" ht="21.6" thickBot="1">
      <c r="J198" s="2"/>
      <c r="K198" s="2"/>
      <c r="L198" s="2"/>
    </row>
    <row r="199" spans="10:12" ht="21.6" thickBot="1">
      <c r="J199" s="2"/>
      <c r="K199" s="2"/>
      <c r="L199" s="2"/>
    </row>
    <row r="200" spans="10:12" ht="21.6" thickBot="1">
      <c r="J200" s="2"/>
      <c r="K200" s="2"/>
      <c r="L200" s="2"/>
    </row>
    <row r="201" spans="10:12" ht="21.6" thickBot="1">
      <c r="J201" s="2"/>
      <c r="K201" s="2"/>
      <c r="L201" s="2"/>
    </row>
    <row r="202" spans="10:12" ht="21.6" thickBot="1">
      <c r="J202" s="2"/>
      <c r="K202" s="2"/>
      <c r="L202" s="2"/>
    </row>
    <row r="203" spans="10:12" ht="21.6" thickBot="1">
      <c r="J203" s="2"/>
      <c r="K203" s="2"/>
      <c r="L203" s="2"/>
    </row>
    <row r="204" spans="10:12" ht="21.6" thickBot="1">
      <c r="J204" s="2"/>
      <c r="K204" s="2"/>
      <c r="L204" s="2"/>
    </row>
    <row r="205" spans="10:12" ht="21.6" thickBot="1">
      <c r="J205" s="2"/>
      <c r="K205" s="2"/>
      <c r="L205" s="2"/>
    </row>
    <row r="206" spans="10:12" ht="21.6" thickBot="1">
      <c r="J206" s="2"/>
      <c r="K206" s="2"/>
      <c r="L206" s="2"/>
    </row>
    <row r="207" spans="10:12" ht="21.6" thickBot="1">
      <c r="J207" s="2"/>
      <c r="K207" s="2"/>
      <c r="L207" s="2"/>
    </row>
    <row r="208" spans="10:12" ht="21.6" thickBot="1">
      <c r="J208" s="2"/>
      <c r="K208" s="2"/>
      <c r="L208" s="2"/>
    </row>
    <row r="209" spans="10:12" ht="21.6" thickBot="1">
      <c r="J209" s="2"/>
      <c r="K209" s="2"/>
      <c r="L209" s="2"/>
    </row>
    <row r="210" spans="10:12" ht="21.6" thickBot="1">
      <c r="J210" s="2"/>
      <c r="K210" s="2"/>
      <c r="L210" s="2"/>
    </row>
    <row r="211" spans="10:12" ht="21.6" thickBot="1">
      <c r="J211" s="2"/>
      <c r="K211" s="2"/>
      <c r="L211" s="2"/>
    </row>
    <row r="212" spans="10:12" ht="21.6" thickBot="1">
      <c r="J212" s="2"/>
      <c r="K212" s="2"/>
      <c r="L212" s="2"/>
    </row>
    <row r="213" spans="10:12" ht="21.6" thickBot="1">
      <c r="J213" s="2"/>
      <c r="K213" s="2"/>
      <c r="L213" s="2"/>
    </row>
    <row r="214" spans="10:12" ht="21.6" thickBot="1">
      <c r="J214" s="2"/>
      <c r="K214" s="2"/>
      <c r="L214" s="2"/>
    </row>
    <row r="215" spans="10:12" ht="21.6" thickBot="1">
      <c r="J215" s="2"/>
      <c r="K215" s="2"/>
      <c r="L215" s="2"/>
    </row>
    <row r="216" spans="10:12" ht="21.6" thickBot="1">
      <c r="J216" s="2"/>
      <c r="K216" s="2"/>
      <c r="L216" s="2"/>
    </row>
    <row r="217" spans="10:12" ht="21.6" thickBot="1">
      <c r="J217" s="2"/>
      <c r="K217" s="2"/>
      <c r="L217" s="2"/>
    </row>
    <row r="218" spans="10:12" ht="21.6" thickBot="1">
      <c r="J218" s="2"/>
      <c r="K218" s="2"/>
      <c r="L218" s="2"/>
    </row>
    <row r="219" spans="10:12" ht="21.6" thickBot="1">
      <c r="J219" s="2"/>
      <c r="K219" s="2"/>
      <c r="L219" s="2"/>
    </row>
    <row r="220" spans="10:12" ht="21.6" thickBot="1">
      <c r="J220" s="2"/>
      <c r="K220" s="2"/>
      <c r="L220" s="2"/>
    </row>
    <row r="221" spans="10:12" ht="21.6" thickBot="1">
      <c r="J221" s="2"/>
      <c r="K221" s="2"/>
      <c r="L221" s="2"/>
    </row>
    <row r="222" spans="10:12" ht="21.6" thickBot="1">
      <c r="J222" s="2"/>
      <c r="K222" s="2"/>
      <c r="L222" s="2"/>
    </row>
    <row r="223" spans="10:12" ht="21.6" thickBot="1">
      <c r="J223" s="2"/>
      <c r="K223" s="2"/>
      <c r="L223" s="2"/>
    </row>
    <row r="224" spans="10:12" ht="21.6" thickBot="1">
      <c r="J224" s="2"/>
      <c r="K224" s="2"/>
      <c r="L224" s="2"/>
    </row>
    <row r="225" spans="10:12" ht="21.6" thickBot="1">
      <c r="J225" s="2"/>
      <c r="K225" s="2"/>
      <c r="L225" s="2"/>
    </row>
    <row r="226" spans="10:12" ht="21.6" thickBot="1">
      <c r="J226" s="2"/>
      <c r="K226" s="2"/>
      <c r="L226" s="2"/>
    </row>
    <row r="227" spans="10:12" ht="21.6" thickBot="1">
      <c r="J227" s="2"/>
      <c r="K227" s="2"/>
      <c r="L227" s="2"/>
    </row>
    <row r="228" spans="10:12" ht="21.6" thickBot="1">
      <c r="J228" s="2"/>
      <c r="K228" s="2"/>
      <c r="L228" s="2"/>
    </row>
    <row r="229" spans="10:12" ht="21.6" thickBot="1">
      <c r="J229" s="2"/>
      <c r="K229" s="2"/>
      <c r="L229" s="2"/>
    </row>
    <row r="230" spans="10:12" ht="21.6" thickBot="1">
      <c r="J230" s="2"/>
      <c r="K230" s="2"/>
      <c r="L230" s="2"/>
    </row>
    <row r="231" spans="10:12" ht="21.6" thickBot="1">
      <c r="J231" s="2"/>
      <c r="K231" s="2"/>
      <c r="L231" s="2"/>
    </row>
    <row r="232" spans="10:12" ht="21.6" thickBot="1">
      <c r="J232" s="2"/>
      <c r="K232" s="2"/>
      <c r="L232" s="2"/>
    </row>
    <row r="233" spans="10:12" ht="21.6" thickBot="1">
      <c r="J233" s="2"/>
      <c r="K233" s="2"/>
      <c r="L233" s="2"/>
    </row>
    <row r="234" spans="10:12" ht="21.6" thickBot="1">
      <c r="J234" s="2"/>
      <c r="K234" s="2"/>
      <c r="L234" s="2"/>
    </row>
    <row r="235" spans="10:12" ht="21.6" thickBot="1">
      <c r="J235" s="2"/>
      <c r="K235" s="2"/>
      <c r="L235" s="2"/>
    </row>
    <row r="236" spans="10:12" ht="21.6" thickBot="1">
      <c r="J236" s="2"/>
      <c r="K236" s="2"/>
      <c r="L236" s="2"/>
    </row>
    <row r="237" spans="10:12" ht="21.6" thickBot="1">
      <c r="J237" s="2"/>
      <c r="K237" s="2"/>
      <c r="L237" s="2"/>
    </row>
    <row r="238" spans="10:12" ht="21.6" thickBot="1">
      <c r="J238" s="2"/>
      <c r="K238" s="2"/>
      <c r="L238" s="2"/>
    </row>
    <row r="239" spans="10:12" ht="21.6" thickBot="1">
      <c r="J239" s="2"/>
      <c r="K239" s="2"/>
      <c r="L239" s="2"/>
    </row>
    <row r="240" spans="10:12" ht="21.6" thickBot="1">
      <c r="J240" s="2"/>
      <c r="K240" s="2"/>
      <c r="L240" s="2"/>
    </row>
    <row r="241" spans="10:12" ht="21.6" thickBot="1">
      <c r="J241" s="2"/>
      <c r="K241" s="2"/>
      <c r="L241" s="2"/>
    </row>
    <row r="242" spans="10:12" ht="21.6" thickBot="1">
      <c r="J242" s="2"/>
      <c r="K242" s="2"/>
      <c r="L242" s="2"/>
    </row>
    <row r="243" spans="10:12" ht="21.6" thickBot="1">
      <c r="J243" s="2"/>
      <c r="K243" s="2"/>
      <c r="L243" s="2"/>
    </row>
    <row r="244" spans="10:12" ht="21.6" thickBot="1">
      <c r="J244" s="2"/>
      <c r="K244" s="2"/>
      <c r="L244" s="2"/>
    </row>
    <row r="245" spans="10:12" ht="21.6" thickBot="1">
      <c r="J245" s="2"/>
      <c r="K245" s="2"/>
      <c r="L245" s="2"/>
    </row>
    <row r="246" spans="10:12" ht="21.6" thickBot="1">
      <c r="J246" s="2"/>
      <c r="K246" s="2"/>
      <c r="L246" s="2"/>
    </row>
    <row r="247" spans="10:12" ht="21.6" thickBot="1">
      <c r="J247" s="2"/>
      <c r="K247" s="2"/>
      <c r="L247" s="2"/>
    </row>
    <row r="248" spans="10:12" ht="21.6" thickBot="1">
      <c r="J248" s="2"/>
      <c r="K248" s="2"/>
      <c r="L248" s="2"/>
    </row>
    <row r="249" spans="10:12" ht="21.6" thickBot="1">
      <c r="J249" s="2"/>
      <c r="K249" s="2"/>
      <c r="L249" s="2"/>
    </row>
    <row r="250" spans="10:12" ht="21.6" thickBot="1">
      <c r="J250" s="2"/>
      <c r="K250" s="2"/>
      <c r="L250" s="2"/>
    </row>
    <row r="251" spans="10:12" ht="21.6" thickBot="1">
      <c r="J251" s="2"/>
      <c r="K251" s="2"/>
      <c r="L251" s="2"/>
    </row>
    <row r="252" spans="10:12" ht="21.6" thickBot="1">
      <c r="J252" s="2"/>
      <c r="K252" s="2"/>
      <c r="L252" s="2"/>
    </row>
    <row r="253" spans="10:12" ht="21.6" thickBot="1">
      <c r="J253" s="2"/>
      <c r="K253" s="2"/>
      <c r="L253" s="2"/>
    </row>
    <row r="254" spans="10:12" ht="21.6" thickBot="1">
      <c r="J254" s="2"/>
      <c r="K254" s="2"/>
      <c r="L254" s="2"/>
    </row>
    <row r="255" spans="10:12" ht="21.6" thickBot="1">
      <c r="J255" s="2"/>
      <c r="K255" s="2"/>
      <c r="L255" s="2"/>
    </row>
    <row r="256" spans="10:12" ht="21.6" thickBot="1">
      <c r="J256" s="2"/>
      <c r="K256" s="2"/>
      <c r="L256" s="2"/>
    </row>
    <row r="257" spans="10:12" ht="21.6" thickBot="1">
      <c r="J257" s="2"/>
      <c r="K257" s="2"/>
      <c r="L257" s="2"/>
    </row>
    <row r="258" spans="10:12" ht="21.6" thickBot="1">
      <c r="J258" s="2"/>
      <c r="K258" s="2"/>
      <c r="L258" s="2"/>
    </row>
    <row r="259" spans="10:12" ht="21.6" thickBot="1">
      <c r="J259" s="2"/>
      <c r="K259" s="2"/>
      <c r="L259" s="2"/>
    </row>
    <row r="260" spans="10:12" ht="21.6" thickBot="1">
      <c r="J260" s="2"/>
      <c r="K260" s="2"/>
      <c r="L260" s="2"/>
    </row>
    <row r="261" spans="10:12" ht="21.6" thickBot="1">
      <c r="J261" s="2"/>
      <c r="K261" s="2"/>
      <c r="L261" s="2"/>
    </row>
    <row r="262" spans="10:12" ht="21.6" thickBot="1">
      <c r="J262" s="2"/>
      <c r="K262" s="2"/>
      <c r="L262" s="2"/>
    </row>
    <row r="263" spans="10:12" ht="21.6" thickBot="1">
      <c r="J263" s="2"/>
      <c r="K263" s="2"/>
      <c r="L263" s="2"/>
    </row>
    <row r="264" spans="10:12" ht="21.6" thickBot="1">
      <c r="J264" s="2"/>
      <c r="K264" s="2"/>
      <c r="L264" s="2"/>
    </row>
    <row r="265" spans="10:12" ht="21.6" thickBot="1">
      <c r="J265" s="2"/>
      <c r="K265" s="2"/>
      <c r="L265" s="2"/>
    </row>
    <row r="266" spans="10:12" ht="21.6" thickBot="1">
      <c r="J266" s="2"/>
      <c r="K266" s="2"/>
      <c r="L266" s="2"/>
    </row>
    <row r="267" spans="10:12" ht="21.6" thickBot="1">
      <c r="J267" s="2"/>
      <c r="K267" s="2"/>
      <c r="L267" s="2"/>
    </row>
    <row r="268" spans="10:12" ht="21.6" thickBot="1">
      <c r="J268" s="2"/>
      <c r="K268" s="2"/>
      <c r="L268" s="2"/>
    </row>
    <row r="269" spans="10:12" ht="21.6" thickBot="1">
      <c r="J269" s="2"/>
      <c r="K269" s="2"/>
      <c r="L269" s="2"/>
    </row>
    <row r="270" spans="10:12" ht="21.6" thickBot="1">
      <c r="J270" s="2"/>
      <c r="K270" s="2"/>
      <c r="L270" s="2"/>
    </row>
    <row r="271" spans="10:12" ht="21.6" thickBot="1">
      <c r="J271" s="2"/>
      <c r="K271" s="2"/>
      <c r="L271" s="2"/>
    </row>
    <row r="272" spans="10:12" ht="21.6" thickBot="1">
      <c r="J272" s="2"/>
      <c r="K272" s="2"/>
      <c r="L272" s="2"/>
    </row>
    <row r="273" spans="10:12" ht="21.6" thickBot="1">
      <c r="J273" s="2"/>
      <c r="K273" s="2"/>
      <c r="L273" s="2"/>
    </row>
    <row r="274" spans="10:12" ht="21.6" thickBot="1">
      <c r="J274" s="2"/>
      <c r="K274" s="2"/>
      <c r="L274" s="2"/>
    </row>
    <row r="275" spans="10:12" ht="21.6" thickBot="1">
      <c r="J275" s="2"/>
      <c r="K275" s="2"/>
      <c r="L275" s="2"/>
    </row>
    <row r="276" spans="10:12" ht="21.6" thickBot="1">
      <c r="J276" s="2"/>
      <c r="K276" s="2"/>
      <c r="L276" s="2"/>
    </row>
    <row r="277" spans="10:12" ht="21.6" thickBot="1">
      <c r="J277" s="2"/>
      <c r="K277" s="2"/>
      <c r="L277" s="2"/>
    </row>
    <row r="278" spans="10:12" ht="21.6" thickBot="1">
      <c r="J278" s="2"/>
      <c r="K278" s="2"/>
      <c r="L278" s="2"/>
    </row>
    <row r="279" spans="10:12" ht="21.6" thickBot="1">
      <c r="J279" s="2"/>
      <c r="K279" s="2"/>
      <c r="L279" s="2"/>
    </row>
    <row r="280" spans="10:12" ht="21.6" thickBot="1">
      <c r="J280" s="2"/>
      <c r="K280" s="2"/>
      <c r="L280" s="2"/>
    </row>
    <row r="281" spans="10:12" ht="21.6" thickBot="1">
      <c r="J281" s="2"/>
      <c r="K281" s="2"/>
      <c r="L281" s="2"/>
    </row>
    <row r="282" spans="10:12" ht="21.6" thickBot="1">
      <c r="J282" s="2"/>
      <c r="K282" s="2"/>
      <c r="L282" s="2"/>
    </row>
    <row r="283" spans="10:12" ht="21.6" thickBot="1">
      <c r="J283" s="2"/>
      <c r="K283" s="2"/>
      <c r="L283" s="2"/>
    </row>
    <row r="284" spans="10:12" ht="21.6" thickBot="1">
      <c r="J284" s="2"/>
      <c r="K284" s="2"/>
      <c r="L284" s="2"/>
    </row>
    <row r="285" spans="10:12" ht="21.6" thickBot="1">
      <c r="J285" s="2"/>
      <c r="K285" s="2"/>
      <c r="L285" s="2"/>
    </row>
    <row r="286" spans="10:12" ht="21.6" thickBot="1">
      <c r="J286" s="2"/>
      <c r="K286" s="2"/>
      <c r="L286" s="2"/>
    </row>
    <row r="287" spans="10:12" ht="21.6" thickBot="1">
      <c r="J287" s="2"/>
      <c r="K287" s="2"/>
      <c r="L287" s="2"/>
    </row>
    <row r="288" spans="10:12" ht="21.6" thickBot="1">
      <c r="J288" s="2"/>
      <c r="K288" s="2"/>
      <c r="L288" s="2"/>
    </row>
    <row r="289" spans="10:12" ht="21.6" thickBot="1">
      <c r="J289" s="2"/>
      <c r="K289" s="2"/>
      <c r="L289" s="2"/>
    </row>
    <row r="290" spans="10:12" ht="21.6" thickBot="1">
      <c r="J290" s="2"/>
      <c r="K290" s="2"/>
      <c r="L290" s="2"/>
    </row>
    <row r="291" spans="10:12" ht="21.6" thickBot="1">
      <c r="J291" s="2"/>
      <c r="K291" s="2"/>
      <c r="L291" s="2"/>
    </row>
    <row r="292" spans="10:12" ht="21.6" thickBot="1">
      <c r="J292" s="2"/>
      <c r="K292" s="2"/>
      <c r="L292" s="2"/>
    </row>
    <row r="293" spans="10:12" ht="21.6" thickBot="1">
      <c r="J293" s="2"/>
      <c r="K293" s="2"/>
      <c r="L293" s="2"/>
    </row>
    <row r="294" spans="10:12" ht="21.6" thickBot="1">
      <c r="J294" s="2"/>
      <c r="K294" s="2"/>
      <c r="L294" s="2"/>
    </row>
    <row r="295" spans="10:12" ht="21.6" thickBot="1">
      <c r="J295" s="2"/>
      <c r="K295" s="2"/>
      <c r="L295" s="2"/>
    </row>
    <row r="296" spans="10:12" ht="21.6" thickBot="1">
      <c r="J296" s="2"/>
      <c r="K296" s="2"/>
      <c r="L296" s="2"/>
    </row>
    <row r="297" spans="10:12" ht="21.6" thickBot="1">
      <c r="J297" s="2"/>
      <c r="K297" s="2"/>
      <c r="L297" s="2"/>
    </row>
    <row r="298" spans="10:12" ht="21.6" thickBot="1">
      <c r="J298" s="2"/>
      <c r="K298" s="2"/>
      <c r="L298" s="2"/>
    </row>
    <row r="299" spans="10:12" ht="21.6" thickBot="1">
      <c r="J299" s="2"/>
      <c r="K299" s="2"/>
      <c r="L299" s="2"/>
    </row>
    <row r="300" spans="10:12" ht="21.6" thickBot="1">
      <c r="J300" s="2"/>
      <c r="K300" s="2"/>
      <c r="L300" s="2"/>
    </row>
    <row r="301" spans="10:12" ht="21.6" thickBot="1">
      <c r="J301" s="2"/>
      <c r="K301" s="2"/>
      <c r="L301" s="2"/>
    </row>
    <row r="302" spans="10:12" ht="21.6" thickBot="1">
      <c r="J302" s="2"/>
      <c r="K302" s="2"/>
      <c r="L302" s="2"/>
    </row>
    <row r="303" spans="10:12" ht="21.6" thickBot="1">
      <c r="J303" s="2"/>
      <c r="K303" s="2"/>
      <c r="L303" s="2"/>
    </row>
    <row r="304" spans="10:12" ht="21.6" thickBot="1">
      <c r="J304" s="2"/>
      <c r="K304" s="2"/>
      <c r="L304" s="2"/>
    </row>
    <row r="305" spans="10:12" ht="21.6" thickBot="1">
      <c r="J305" s="2"/>
      <c r="K305" s="2"/>
      <c r="L305" s="2"/>
    </row>
    <row r="306" spans="10:12" ht="21.6" thickBot="1">
      <c r="J306" s="2"/>
      <c r="K306" s="2"/>
      <c r="L306" s="2"/>
    </row>
    <row r="307" spans="10:12" ht="21.6" thickBot="1">
      <c r="J307" s="2"/>
      <c r="K307" s="2"/>
      <c r="L307" s="2"/>
    </row>
    <row r="308" spans="10:12" ht="21.6" thickBot="1">
      <c r="J308" s="2"/>
      <c r="K308" s="2"/>
      <c r="L308" s="2"/>
    </row>
    <row r="309" spans="10:12" ht="21.6" thickBot="1">
      <c r="J309" s="2"/>
      <c r="K309" s="2"/>
      <c r="L309" s="2"/>
    </row>
    <row r="310" spans="10:12" ht="21.6" thickBot="1">
      <c r="J310" s="2"/>
      <c r="K310" s="2"/>
      <c r="L310" s="2"/>
    </row>
    <row r="311" spans="10:12" ht="21.6" thickBot="1">
      <c r="J311" s="2"/>
      <c r="K311" s="2"/>
      <c r="L311" s="2"/>
    </row>
    <row r="312" spans="10:12" ht="21.6" thickBot="1">
      <c r="J312" s="2"/>
      <c r="K312" s="2"/>
      <c r="L312" s="2"/>
    </row>
    <row r="313" spans="10:12" ht="21.6" thickBot="1">
      <c r="J313" s="2"/>
      <c r="K313" s="2"/>
      <c r="L313" s="2"/>
    </row>
    <row r="314" spans="10:12" ht="21.6" thickBot="1">
      <c r="J314" s="2"/>
      <c r="K314" s="2"/>
      <c r="L314" s="2"/>
    </row>
    <row r="315" spans="10:12" ht="21.6" thickBot="1">
      <c r="J315" s="2"/>
      <c r="K315" s="2"/>
      <c r="L315" s="2"/>
    </row>
    <row r="316" spans="10:12" ht="21.6" thickBot="1">
      <c r="J316" s="2"/>
      <c r="K316" s="2"/>
      <c r="L316" s="2"/>
    </row>
    <row r="317" spans="10:12" ht="21.6" thickBot="1">
      <c r="J317" s="2"/>
      <c r="K317" s="2"/>
      <c r="L317" s="2"/>
    </row>
    <row r="318" spans="10:12" ht="21.6" thickBot="1">
      <c r="J318" s="2"/>
      <c r="K318" s="2"/>
      <c r="L318" s="2"/>
    </row>
    <row r="319" spans="10:12" ht="21.6" thickBot="1">
      <c r="J319" s="2"/>
      <c r="K319" s="2"/>
      <c r="L319" s="2"/>
    </row>
    <row r="320" spans="10:12" ht="21.6" thickBot="1">
      <c r="J320" s="2"/>
      <c r="K320" s="2"/>
      <c r="L320" s="2"/>
    </row>
    <row r="321" spans="10:12" ht="21.6" thickBot="1">
      <c r="J321" s="2"/>
      <c r="K321" s="2"/>
      <c r="L321" s="2"/>
    </row>
    <row r="322" spans="10:12" ht="21.6" thickBot="1">
      <c r="J322" s="2"/>
      <c r="K322" s="2"/>
      <c r="L322" s="2"/>
    </row>
    <row r="323" spans="10:12" ht="21.6" thickBot="1">
      <c r="J323" s="2"/>
      <c r="K323" s="2"/>
      <c r="L323" s="2"/>
    </row>
    <row r="324" spans="10:12" ht="21.6" thickBot="1">
      <c r="J324" s="2"/>
      <c r="K324" s="2"/>
      <c r="L324" s="2"/>
    </row>
    <row r="325" spans="10:12" ht="21.6" thickBot="1">
      <c r="J325" s="2"/>
      <c r="K325" s="2"/>
      <c r="L325" s="2"/>
    </row>
    <row r="326" spans="10:12" ht="21.6" thickBot="1">
      <c r="J326" s="2"/>
      <c r="K326" s="2"/>
      <c r="L326" s="2"/>
    </row>
    <row r="327" spans="10:12" ht="21.6" thickBot="1">
      <c r="J327" s="2"/>
      <c r="K327" s="2"/>
      <c r="L327" s="2"/>
    </row>
    <row r="328" spans="10:12" ht="21.6" thickBot="1">
      <c r="J328" s="2"/>
      <c r="K328" s="2"/>
      <c r="L328" s="2"/>
    </row>
    <row r="329" spans="10:12" ht="21.6" thickBot="1">
      <c r="J329" s="2"/>
      <c r="K329" s="2"/>
      <c r="L329" s="2"/>
    </row>
    <row r="330" spans="10:12" ht="21.6" thickBot="1">
      <c r="J330" s="2"/>
      <c r="K330" s="2"/>
      <c r="L330" s="2"/>
    </row>
    <row r="331" spans="10:12" ht="21.6" thickBot="1">
      <c r="J331" s="2"/>
      <c r="K331" s="2"/>
      <c r="L331" s="2"/>
    </row>
    <row r="332" spans="10:12" ht="21.6" thickBot="1">
      <c r="J332" s="2"/>
      <c r="K332" s="2"/>
      <c r="L332" s="2"/>
    </row>
    <row r="333" spans="10:12" ht="21.6" thickBot="1">
      <c r="J333" s="2"/>
      <c r="K333" s="2"/>
      <c r="L333" s="2"/>
    </row>
    <row r="334" spans="10:12" ht="21.6" thickBot="1">
      <c r="J334" s="2"/>
      <c r="K334" s="2"/>
      <c r="L334" s="2"/>
    </row>
    <row r="335" spans="10:12" ht="21.6" thickBot="1">
      <c r="J335" s="2"/>
      <c r="K335" s="2"/>
      <c r="L335" s="2"/>
    </row>
    <row r="336" spans="10:12" ht="21.6" thickBot="1">
      <c r="J336" s="2"/>
      <c r="K336" s="2"/>
      <c r="L336" s="2"/>
    </row>
    <row r="337" spans="10:12" ht="21.6" thickBot="1">
      <c r="J337" s="2"/>
      <c r="K337" s="2"/>
      <c r="L337" s="2"/>
    </row>
    <row r="338" spans="10:12" ht="21.6" thickBot="1">
      <c r="J338" s="2"/>
      <c r="K338" s="2"/>
      <c r="L338" s="2"/>
    </row>
    <row r="339" spans="10:12" ht="21.6" thickBot="1">
      <c r="J339" s="2"/>
      <c r="K339" s="2"/>
      <c r="L339" s="2"/>
    </row>
    <row r="340" spans="10:12" ht="21.6" thickBot="1">
      <c r="J340" s="2"/>
      <c r="K340" s="2"/>
      <c r="L340" s="2"/>
    </row>
    <row r="341" spans="10:12" ht="21.6" thickBot="1">
      <c r="J341" s="2"/>
      <c r="K341" s="2"/>
      <c r="L341" s="2"/>
    </row>
    <row r="342" spans="10:12" ht="21.6" thickBot="1">
      <c r="J342" s="2"/>
      <c r="K342" s="2"/>
      <c r="L342" s="2"/>
    </row>
    <row r="343" spans="10:12" ht="21.6" thickBot="1">
      <c r="J343" s="2"/>
      <c r="K343" s="2"/>
      <c r="L343" s="2"/>
    </row>
    <row r="344" spans="10:12" ht="21.6" thickBot="1">
      <c r="J344" s="2"/>
      <c r="K344" s="2"/>
      <c r="L344" s="2"/>
    </row>
    <row r="345" spans="10:12" ht="21.6" thickBot="1">
      <c r="J345" s="2"/>
      <c r="K345" s="2"/>
      <c r="L345" s="2"/>
    </row>
    <row r="346" spans="10:12" ht="21.6" thickBot="1">
      <c r="J346" s="2"/>
      <c r="K346" s="2"/>
      <c r="L346" s="2"/>
    </row>
    <row r="347" spans="10:12" ht="21.6" thickBot="1">
      <c r="J347" s="2"/>
      <c r="K347" s="2"/>
      <c r="L347" s="2"/>
    </row>
    <row r="348" spans="10:12" ht="21.6" thickBot="1">
      <c r="J348" s="2"/>
      <c r="K348" s="2"/>
      <c r="L348" s="2"/>
    </row>
    <row r="349" spans="10:12" ht="21.6" thickBot="1">
      <c r="J349" s="2"/>
      <c r="K349" s="2"/>
      <c r="L349" s="2"/>
    </row>
    <row r="350" spans="10:12" ht="21.6" thickBot="1">
      <c r="J350" s="2"/>
      <c r="K350" s="2"/>
      <c r="L350" s="2"/>
    </row>
    <row r="351" spans="10:12" ht="21.6" thickBot="1">
      <c r="J351" s="2"/>
      <c r="K351" s="2"/>
      <c r="L351" s="2"/>
    </row>
    <row r="352" spans="10:12" ht="21.6" thickBot="1">
      <c r="J352" s="2"/>
      <c r="K352" s="2"/>
      <c r="L352" s="2"/>
    </row>
    <row r="353" spans="10:12" ht="21.6" thickBot="1">
      <c r="J353" s="2"/>
      <c r="K353" s="2"/>
      <c r="L353" s="2"/>
    </row>
    <row r="354" spans="10:12" ht="21.6" thickBot="1">
      <c r="J354" s="2"/>
      <c r="K354" s="2"/>
      <c r="L354" s="2"/>
    </row>
    <row r="355" spans="10:12" ht="21.6" thickBot="1">
      <c r="J355" s="2"/>
      <c r="K355" s="2"/>
      <c r="L355" s="2"/>
    </row>
    <row r="356" spans="10:12" ht="21.6" thickBot="1">
      <c r="J356" s="2"/>
      <c r="K356" s="2"/>
      <c r="L356" s="2"/>
    </row>
    <row r="357" spans="10:12" ht="21.6" thickBot="1">
      <c r="J357" s="2"/>
      <c r="K357" s="2"/>
      <c r="L357" s="2"/>
    </row>
    <row r="358" spans="10:12" ht="21.6" thickBot="1">
      <c r="J358" s="2"/>
      <c r="K358" s="2"/>
      <c r="L358" s="2"/>
    </row>
    <row r="359" spans="10:12" ht="21.6" thickBot="1">
      <c r="J359" s="2"/>
      <c r="K359" s="2"/>
      <c r="L359" s="2"/>
    </row>
    <row r="360" spans="10:12" ht="21.6" thickBot="1">
      <c r="J360" s="2"/>
      <c r="K360" s="2"/>
      <c r="L360" s="2"/>
    </row>
    <row r="361" spans="10:12" ht="21.6" thickBot="1">
      <c r="J361" s="2"/>
      <c r="K361" s="2"/>
      <c r="L361" s="2"/>
    </row>
    <row r="362" spans="10:12" ht="21.6" thickBot="1">
      <c r="J362" s="2"/>
      <c r="K362" s="2"/>
      <c r="L362" s="2"/>
    </row>
    <row r="363" spans="10:12" ht="21.6" thickBot="1">
      <c r="J363" s="2"/>
      <c r="K363" s="2"/>
      <c r="L363" s="2"/>
    </row>
    <row r="364" spans="10:12" ht="21.6" thickBot="1">
      <c r="J364" s="2"/>
      <c r="K364" s="2"/>
      <c r="L364" s="2"/>
    </row>
    <row r="365" spans="10:12" ht="21.6" thickBot="1">
      <c r="J365" s="2"/>
      <c r="K365" s="2"/>
      <c r="L365" s="2"/>
    </row>
    <row r="366" spans="10:12" ht="21.6" thickBot="1">
      <c r="J366" s="2"/>
      <c r="K366" s="2"/>
      <c r="L366" s="2"/>
    </row>
    <row r="367" spans="10:12" ht="21.6" thickBot="1">
      <c r="J367" s="2"/>
      <c r="K367" s="2"/>
      <c r="L367" s="2"/>
    </row>
    <row r="368" spans="10:12" ht="21.6" thickBot="1">
      <c r="J368" s="2"/>
      <c r="K368" s="2"/>
      <c r="L368" s="2"/>
    </row>
    <row r="369" spans="10:12" ht="21.6" thickBot="1">
      <c r="J369" s="2"/>
      <c r="K369" s="2"/>
      <c r="L369" s="2"/>
    </row>
    <row r="370" spans="10:12" ht="21.6" thickBot="1">
      <c r="J370" s="2"/>
      <c r="K370" s="2"/>
      <c r="L370" s="2"/>
    </row>
    <row r="371" spans="10:12" ht="21.6" thickBot="1">
      <c r="J371" s="2"/>
      <c r="K371" s="2"/>
      <c r="L371" s="2"/>
    </row>
    <row r="372" spans="10:12" ht="21.6" thickBot="1">
      <c r="J372" s="2"/>
      <c r="K372" s="2"/>
      <c r="L372" s="2"/>
    </row>
    <row r="373" spans="10:12" ht="21.6" thickBot="1">
      <c r="J373" s="2"/>
      <c r="K373" s="2"/>
      <c r="L373" s="2"/>
    </row>
    <row r="374" spans="10:12" ht="21.6" thickBot="1">
      <c r="J374" s="2"/>
      <c r="K374" s="2"/>
      <c r="L374" s="2"/>
    </row>
    <row r="375" spans="10:12" ht="21.6" thickBot="1">
      <c r="J375" s="2"/>
      <c r="K375" s="2"/>
      <c r="L375" s="2"/>
    </row>
    <row r="376" spans="10:12" ht="21.6" thickBot="1">
      <c r="J376" s="2"/>
      <c r="K376" s="2"/>
      <c r="L376" s="2"/>
    </row>
    <row r="377" spans="10:12" ht="21.6" thickBot="1">
      <c r="J377" s="2"/>
      <c r="K377" s="2"/>
      <c r="L377" s="2"/>
    </row>
    <row r="378" spans="10:12" ht="21.6" thickBot="1">
      <c r="J378" s="2"/>
      <c r="K378" s="2"/>
      <c r="L378" s="2"/>
    </row>
    <row r="379" spans="10:12" ht="21.6" thickBot="1">
      <c r="J379" s="2"/>
      <c r="K379" s="2"/>
      <c r="L379" s="2"/>
    </row>
    <row r="380" spans="10:12" ht="21.6" thickBot="1">
      <c r="J380" s="2"/>
      <c r="K380" s="2"/>
      <c r="L380" s="2"/>
    </row>
    <row r="381" spans="10:12" ht="21.6" thickBot="1">
      <c r="J381" s="2"/>
      <c r="K381" s="2"/>
      <c r="L381" s="2"/>
    </row>
    <row r="382" spans="10:12" ht="21.6" thickBot="1">
      <c r="J382" s="2"/>
      <c r="K382" s="2"/>
      <c r="L382" s="2"/>
    </row>
    <row r="383" spans="10:12" ht="21.6" thickBot="1">
      <c r="J383" s="2"/>
      <c r="K383" s="2"/>
      <c r="L383" s="2"/>
    </row>
    <row r="384" spans="10:12" ht="21.6" thickBot="1">
      <c r="J384" s="2"/>
      <c r="K384" s="2"/>
      <c r="L384" s="2"/>
    </row>
    <row r="385" spans="10:12" ht="21.6" thickBot="1">
      <c r="J385" s="2"/>
      <c r="K385" s="2"/>
      <c r="L385" s="2"/>
    </row>
    <row r="386" spans="10:12" ht="21.6" thickBot="1">
      <c r="J386" s="2"/>
      <c r="K386" s="2"/>
      <c r="L386" s="2"/>
    </row>
    <row r="387" spans="10:12" ht="21.6" thickBot="1">
      <c r="J387" s="2"/>
      <c r="K387" s="2"/>
      <c r="L387" s="2"/>
    </row>
    <row r="388" spans="10:12" ht="21.6" thickBot="1">
      <c r="J388" s="2"/>
      <c r="K388" s="2"/>
      <c r="L388" s="2"/>
    </row>
    <row r="389" spans="10:12" ht="21.6" thickBot="1">
      <c r="J389" s="2"/>
      <c r="K389" s="2"/>
      <c r="L389" s="2"/>
    </row>
    <row r="390" spans="10:12" ht="21.6" thickBot="1">
      <c r="J390" s="2"/>
      <c r="K390" s="2"/>
      <c r="L390" s="2"/>
    </row>
    <row r="391" spans="10:12" ht="21.6" thickBot="1">
      <c r="J391" s="2"/>
      <c r="K391" s="2"/>
      <c r="L391" s="2"/>
    </row>
    <row r="392" spans="10:12" ht="21.6" thickBot="1">
      <c r="J392" s="2"/>
      <c r="K392" s="2"/>
      <c r="L392" s="2"/>
    </row>
    <row r="393" spans="10:12" ht="21.6" thickBot="1">
      <c r="J393" s="2"/>
      <c r="K393" s="2"/>
      <c r="L393" s="2"/>
    </row>
    <row r="394" spans="10:12" ht="21.6" thickBot="1">
      <c r="J394" s="2"/>
      <c r="K394" s="2"/>
      <c r="L394" s="2"/>
    </row>
    <row r="395" spans="10:12" ht="21.6" thickBot="1">
      <c r="J395" s="2"/>
      <c r="K395" s="2"/>
      <c r="L395" s="2"/>
    </row>
    <row r="396" spans="10:12" ht="21.6" thickBot="1">
      <c r="J396" s="2"/>
      <c r="K396" s="2"/>
      <c r="L396" s="2"/>
    </row>
    <row r="397" spans="10:12" ht="21.6" thickBot="1">
      <c r="J397" s="2"/>
      <c r="K397" s="2"/>
      <c r="L397" s="2"/>
    </row>
    <row r="398" spans="10:12" ht="21.6" thickBot="1">
      <c r="J398" s="2"/>
      <c r="K398" s="2"/>
      <c r="L398" s="2"/>
    </row>
    <row r="399" spans="10:12" ht="21.6" thickBot="1">
      <c r="J399" s="2"/>
      <c r="K399" s="2"/>
      <c r="L399" s="2"/>
    </row>
    <row r="400" spans="10:12" ht="21.6" thickBot="1">
      <c r="J400" s="2"/>
      <c r="K400" s="2"/>
      <c r="L400" s="2"/>
    </row>
    <row r="401" spans="10:12" ht="21.6" thickBot="1">
      <c r="J401" s="2"/>
      <c r="K401" s="2"/>
      <c r="L401" s="2"/>
    </row>
    <row r="402" spans="10:12" ht="21.6" thickBot="1">
      <c r="J402" s="2"/>
      <c r="K402" s="2"/>
      <c r="L402" s="2"/>
    </row>
    <row r="403" spans="10:12" ht="21.6" thickBot="1">
      <c r="J403" s="2"/>
      <c r="K403" s="2"/>
      <c r="L403" s="2"/>
    </row>
    <row r="404" spans="10:12" ht="21.6" thickBot="1">
      <c r="J404" s="2"/>
      <c r="K404" s="2"/>
      <c r="L404" s="2"/>
    </row>
    <row r="405" spans="10:12" ht="21.6" thickBot="1">
      <c r="J405" s="2"/>
      <c r="K405" s="2"/>
      <c r="L405" s="2"/>
    </row>
    <row r="406" spans="10:12" ht="21.6" thickBot="1">
      <c r="J406" s="2"/>
      <c r="K406" s="2"/>
      <c r="L406" s="2"/>
    </row>
    <row r="407" spans="10:12" ht="21.6" thickBot="1">
      <c r="J407" s="2"/>
      <c r="K407" s="2"/>
      <c r="L407" s="2"/>
    </row>
    <row r="408" spans="10:12" ht="21.6" thickBot="1">
      <c r="J408" s="2"/>
      <c r="K408" s="2"/>
      <c r="L408" s="2"/>
    </row>
    <row r="409" spans="10:12" ht="21.6" thickBot="1">
      <c r="J409" s="2"/>
      <c r="K409" s="2"/>
      <c r="L409" s="2"/>
    </row>
    <row r="410" spans="10:12" ht="21.6" thickBot="1">
      <c r="J410" s="2"/>
      <c r="K410" s="2"/>
      <c r="L410" s="2"/>
    </row>
    <row r="411" spans="10:12" ht="21.6" thickBot="1">
      <c r="J411" s="2"/>
      <c r="K411" s="2"/>
      <c r="L411" s="2"/>
    </row>
    <row r="412" spans="10:12" ht="21.6" thickBot="1">
      <c r="J412" s="2"/>
      <c r="K412" s="2"/>
      <c r="L412" s="2"/>
    </row>
    <row r="413" spans="10:12" ht="21.6" thickBot="1">
      <c r="J413" s="2"/>
      <c r="K413" s="2"/>
      <c r="L413" s="2"/>
    </row>
    <row r="414" spans="10:12" ht="21.6" thickBot="1">
      <c r="J414" s="2"/>
      <c r="K414" s="2"/>
      <c r="L414" s="2"/>
    </row>
    <row r="415" spans="10:12" ht="21.6" thickBot="1">
      <c r="J415" s="2"/>
      <c r="K415" s="2"/>
      <c r="L415" s="2"/>
    </row>
    <row r="416" spans="10:12" ht="21.6" thickBot="1">
      <c r="J416" s="2"/>
      <c r="K416" s="2"/>
      <c r="L416" s="2"/>
    </row>
    <row r="417" spans="10:12" ht="21.6" thickBot="1">
      <c r="J417" s="2"/>
      <c r="K417" s="2"/>
      <c r="L417" s="2"/>
    </row>
    <row r="418" spans="10:12" ht="21.6" thickBot="1">
      <c r="J418" s="2"/>
      <c r="K418" s="2"/>
      <c r="L418" s="2"/>
    </row>
    <row r="419" spans="10:12" ht="21.6" thickBot="1">
      <c r="J419" s="2"/>
      <c r="K419" s="2"/>
      <c r="L419" s="2"/>
    </row>
    <row r="420" spans="10:12" ht="21.6" thickBot="1">
      <c r="J420" s="2"/>
      <c r="K420" s="2"/>
      <c r="L420" s="2"/>
    </row>
    <row r="421" spans="10:12" ht="21.6" thickBot="1">
      <c r="J421" s="2"/>
      <c r="K421" s="2"/>
      <c r="L421" s="2"/>
    </row>
    <row r="422" spans="10:12" ht="21.6" thickBot="1">
      <c r="J422" s="2"/>
      <c r="K422" s="2"/>
      <c r="L422" s="2"/>
    </row>
    <row r="423" spans="10:12" ht="21.6" thickBot="1">
      <c r="J423" s="2"/>
      <c r="K423" s="2"/>
      <c r="L423" s="2"/>
    </row>
    <row r="424" spans="10:12" ht="21.6" thickBot="1">
      <c r="J424" s="2"/>
      <c r="K424" s="2"/>
      <c r="L424" s="2"/>
    </row>
    <row r="425" spans="10:12" ht="21.6" thickBot="1">
      <c r="J425" s="2"/>
      <c r="K425" s="2"/>
      <c r="L425" s="2"/>
    </row>
    <row r="426" spans="10:12" ht="21.6" thickBot="1">
      <c r="J426" s="2"/>
      <c r="K426" s="2"/>
      <c r="L426" s="2"/>
    </row>
    <row r="427" spans="10:12" ht="21.6" thickBot="1">
      <c r="J427" s="2"/>
      <c r="K427" s="2"/>
      <c r="L427" s="2"/>
    </row>
    <row r="428" spans="10:12" ht="21.6" thickBot="1">
      <c r="J428" s="2"/>
      <c r="K428" s="2"/>
      <c r="L428" s="2"/>
    </row>
    <row r="429" spans="10:12" ht="21.6" thickBot="1">
      <c r="J429" s="2"/>
      <c r="K429" s="2"/>
      <c r="L429" s="2"/>
    </row>
    <row r="430" spans="10:12" ht="21.6" thickBot="1">
      <c r="J430" s="2"/>
      <c r="K430" s="2"/>
      <c r="L430" s="2"/>
    </row>
    <row r="431" spans="10:12" ht="21.6" thickBot="1">
      <c r="J431" s="2"/>
      <c r="K431" s="2"/>
      <c r="L431" s="2"/>
    </row>
    <row r="432" spans="10:12" ht="21.6" thickBot="1">
      <c r="J432" s="2"/>
      <c r="K432" s="2"/>
      <c r="L432" s="2"/>
    </row>
    <row r="433" spans="10:12" ht="21.6" thickBot="1">
      <c r="J433" s="2"/>
      <c r="K433" s="2"/>
      <c r="L433" s="2"/>
    </row>
    <row r="434" spans="10:12" ht="21.6" thickBot="1">
      <c r="J434" s="2"/>
      <c r="K434" s="2"/>
      <c r="L434" s="2"/>
    </row>
    <row r="435" spans="10:12" ht="21.6" thickBot="1">
      <c r="J435" s="2"/>
      <c r="K435" s="2"/>
      <c r="L435" s="2"/>
    </row>
    <row r="436" spans="10:12" ht="21.6" thickBot="1">
      <c r="J436" s="2"/>
      <c r="K436" s="2"/>
      <c r="L436" s="2"/>
    </row>
    <row r="437" spans="10:12" ht="21.6" thickBot="1">
      <c r="J437" s="2"/>
      <c r="K437" s="2"/>
      <c r="L437" s="2"/>
    </row>
    <row r="438" spans="10:12" ht="21.6" thickBot="1">
      <c r="J438" s="2"/>
      <c r="K438" s="2"/>
      <c r="L438" s="2"/>
    </row>
    <row r="439" spans="10:12" ht="21.6" thickBot="1">
      <c r="J439" s="2"/>
      <c r="K439" s="2"/>
      <c r="L439" s="2"/>
    </row>
    <row r="440" spans="10:12" ht="21.6" thickBot="1">
      <c r="J440" s="2"/>
      <c r="K440" s="2"/>
      <c r="L440" s="2"/>
    </row>
    <row r="441" spans="10:12" ht="21.6" thickBot="1">
      <c r="J441" s="2"/>
      <c r="K441" s="2"/>
      <c r="L441" s="2"/>
    </row>
    <row r="442" spans="10:12" ht="21.6" thickBot="1">
      <c r="J442" s="2"/>
      <c r="K442" s="2"/>
      <c r="L442" s="2"/>
    </row>
    <row r="443" spans="10:12" ht="21.6" thickBot="1">
      <c r="J443" s="2"/>
      <c r="K443" s="2"/>
      <c r="L443" s="2"/>
    </row>
    <row r="444" spans="10:12" ht="21.6" thickBot="1">
      <c r="J444" s="2"/>
      <c r="K444" s="2"/>
      <c r="L444" s="2"/>
    </row>
    <row r="445" spans="10:12" ht="21.6" thickBot="1">
      <c r="J445" s="2"/>
      <c r="K445" s="2"/>
      <c r="L445" s="2"/>
    </row>
    <row r="446" spans="10:12" ht="21.6" thickBot="1">
      <c r="J446" s="2"/>
      <c r="K446" s="2"/>
      <c r="L446" s="2"/>
    </row>
    <row r="447" spans="10:12" ht="21.6" thickBot="1">
      <c r="J447" s="2"/>
      <c r="K447" s="2"/>
      <c r="L447" s="2"/>
    </row>
    <row r="448" spans="10:12" ht="21.6" thickBot="1">
      <c r="J448" s="2"/>
      <c r="K448" s="2"/>
      <c r="L448" s="2"/>
    </row>
    <row r="449" spans="10:12" ht="21.6" thickBot="1">
      <c r="J449" s="2"/>
      <c r="K449" s="2"/>
      <c r="L449" s="2"/>
    </row>
    <row r="450" spans="10:12" ht="21.6" thickBot="1">
      <c r="J450" s="2"/>
      <c r="K450" s="2"/>
      <c r="L450" s="2"/>
    </row>
    <row r="451" spans="10:12" ht="21.6" thickBot="1">
      <c r="J451" s="2"/>
      <c r="K451" s="2"/>
      <c r="L451" s="2"/>
    </row>
    <row r="452" spans="10:12" ht="21.6" thickBot="1">
      <c r="J452" s="2"/>
      <c r="K452" s="2"/>
      <c r="L452" s="2"/>
    </row>
    <row r="453" spans="10:12" ht="21.6" thickBot="1">
      <c r="J453" s="2"/>
      <c r="K453" s="2"/>
      <c r="L453" s="2"/>
    </row>
    <row r="454" spans="10:12" ht="21.6" thickBot="1">
      <c r="J454" s="2"/>
      <c r="K454" s="2"/>
      <c r="L454" s="2"/>
    </row>
    <row r="455" spans="10:12" ht="21.6" thickBot="1">
      <c r="J455" s="2"/>
      <c r="K455" s="2"/>
      <c r="L455" s="2"/>
    </row>
    <row r="456" spans="10:12" ht="21.6" thickBot="1">
      <c r="J456" s="2"/>
      <c r="K456" s="2"/>
      <c r="L456" s="2"/>
    </row>
    <row r="457" spans="10:12" ht="21.6" thickBot="1">
      <c r="J457" s="2"/>
      <c r="K457" s="2"/>
      <c r="L457" s="2"/>
    </row>
    <row r="458" spans="10:12" ht="21.6" thickBot="1">
      <c r="J458" s="2"/>
      <c r="K458" s="2"/>
      <c r="L458" s="2"/>
    </row>
    <row r="459" spans="10:12" ht="21.6" thickBot="1">
      <c r="J459" s="2"/>
      <c r="K459" s="2"/>
      <c r="L459" s="2"/>
    </row>
    <row r="460" spans="10:12" ht="21.6" thickBot="1">
      <c r="J460" s="2"/>
      <c r="K460" s="2"/>
      <c r="L460" s="2"/>
    </row>
    <row r="461" spans="10:12" ht="21.6" thickBot="1">
      <c r="J461" s="2"/>
      <c r="K461" s="2"/>
      <c r="L461" s="2"/>
    </row>
    <row r="462" spans="10:12" ht="21.6" thickBot="1">
      <c r="J462" s="2"/>
      <c r="K462" s="2"/>
      <c r="L462" s="2"/>
    </row>
    <row r="463" spans="10:12" ht="21.6" thickBot="1">
      <c r="J463" s="2"/>
      <c r="K463" s="2"/>
      <c r="L463" s="2"/>
    </row>
    <row r="464" spans="10:12" ht="21.6" thickBot="1">
      <c r="J464" s="2"/>
      <c r="K464" s="2"/>
      <c r="L464" s="2"/>
    </row>
    <row r="465" spans="10:12" ht="21.6" thickBot="1">
      <c r="J465" s="2"/>
      <c r="K465" s="2"/>
      <c r="L465" s="2"/>
    </row>
    <row r="466" spans="10:12" ht="21.6" thickBot="1">
      <c r="J466" s="2"/>
      <c r="K466" s="2"/>
      <c r="L466" s="2"/>
    </row>
    <row r="467" spans="10:12" ht="21.6" thickBot="1">
      <c r="J467" s="2"/>
      <c r="K467" s="2"/>
      <c r="L467" s="2"/>
    </row>
    <row r="468" spans="10:12" ht="21.6" thickBot="1">
      <c r="J468" s="2"/>
      <c r="K468" s="2"/>
      <c r="L468" s="2"/>
    </row>
    <row r="469" spans="10:12" ht="21.6" thickBot="1">
      <c r="J469" s="2"/>
      <c r="K469" s="2"/>
      <c r="L469" s="2"/>
    </row>
    <row r="470" spans="10:12" ht="21.6" thickBot="1">
      <c r="J470" s="2"/>
      <c r="K470" s="2"/>
      <c r="L470" s="2"/>
    </row>
    <row r="471" spans="10:12" ht="21.6" thickBot="1">
      <c r="J471" s="2"/>
      <c r="K471" s="2"/>
      <c r="L471" s="2"/>
    </row>
    <row r="472" spans="10:12" ht="21.6" thickBot="1">
      <c r="J472" s="2"/>
      <c r="K472" s="2"/>
      <c r="L472" s="2"/>
    </row>
    <row r="473" spans="10:12" ht="21.6" thickBot="1">
      <c r="J473" s="2"/>
      <c r="K473" s="2"/>
      <c r="L473" s="2"/>
    </row>
    <row r="474" spans="10:12" ht="21.6" thickBot="1">
      <c r="J474" s="2"/>
      <c r="K474" s="2"/>
      <c r="L474" s="2"/>
    </row>
    <row r="475" spans="10:12" ht="21.6" thickBot="1">
      <c r="J475" s="2"/>
      <c r="K475" s="2"/>
      <c r="L475" s="2"/>
    </row>
    <row r="476" spans="10:12" ht="21.6" thickBot="1">
      <c r="J476" s="2"/>
      <c r="K476" s="2"/>
      <c r="L476" s="2"/>
    </row>
    <row r="477" spans="10:12" ht="21.6" thickBot="1">
      <c r="J477" s="2"/>
      <c r="K477" s="2"/>
      <c r="L477" s="2"/>
    </row>
    <row r="478" spans="10:12" ht="21.6" thickBot="1">
      <c r="J478" s="2"/>
      <c r="K478" s="2"/>
      <c r="L478" s="2"/>
    </row>
    <row r="479" spans="10:12" ht="21.6" thickBot="1">
      <c r="J479" s="2"/>
      <c r="K479" s="2"/>
      <c r="L479" s="2"/>
    </row>
    <row r="480" spans="10:12" ht="21.6" thickBot="1">
      <c r="J480" s="2"/>
      <c r="K480" s="2"/>
      <c r="L480" s="2"/>
    </row>
    <row r="481" spans="10:12" ht="21.6" thickBot="1">
      <c r="J481" s="2"/>
      <c r="K481" s="2"/>
      <c r="L481" s="2"/>
    </row>
    <row r="482" spans="10:12" ht="21.6" thickBot="1">
      <c r="J482" s="2"/>
      <c r="K482" s="2"/>
      <c r="L482" s="2"/>
    </row>
    <row r="483" spans="10:12" ht="21.6" thickBot="1">
      <c r="J483" s="2"/>
      <c r="K483" s="2"/>
      <c r="L483" s="2"/>
    </row>
    <row r="484" spans="10:12" ht="21.6" thickBot="1">
      <c r="J484" s="2"/>
      <c r="K484" s="2"/>
      <c r="L484" s="2"/>
    </row>
    <row r="485" spans="10:12" ht="21.6" thickBot="1">
      <c r="J485" s="2"/>
      <c r="K485" s="2"/>
      <c r="L485" s="2"/>
    </row>
    <row r="486" spans="10:12" ht="21.6" thickBot="1">
      <c r="J486" s="2"/>
      <c r="K486" s="2"/>
      <c r="L486" s="2"/>
    </row>
    <row r="487" spans="10:12" ht="21.6" thickBot="1">
      <c r="J487" s="2"/>
      <c r="K487" s="2"/>
      <c r="L487" s="2"/>
    </row>
    <row r="488" spans="10:12" ht="21.6" thickBot="1">
      <c r="J488" s="2"/>
      <c r="K488" s="2"/>
      <c r="L488" s="2"/>
    </row>
    <row r="489" spans="10:12" ht="21.6" thickBot="1">
      <c r="J489" s="2"/>
      <c r="K489" s="2"/>
      <c r="L489" s="2"/>
    </row>
    <row r="490" spans="10:12" ht="21.6" thickBot="1">
      <c r="J490" s="2"/>
      <c r="K490" s="2"/>
      <c r="L490" s="2"/>
    </row>
    <row r="491" spans="10:12" ht="21.6" thickBot="1">
      <c r="J491" s="2"/>
      <c r="K491" s="2"/>
      <c r="L491" s="2"/>
    </row>
    <row r="492" spans="10:12" ht="21.6" thickBot="1">
      <c r="J492" s="2"/>
      <c r="K492" s="2"/>
      <c r="L492" s="2"/>
    </row>
    <row r="493" spans="10:12" ht="21.6" thickBot="1">
      <c r="J493" s="2"/>
      <c r="K493" s="2"/>
      <c r="L493" s="2"/>
    </row>
    <row r="494" spans="10:12" ht="21.6" thickBot="1">
      <c r="J494" s="2"/>
      <c r="K494" s="2"/>
      <c r="L494" s="2"/>
    </row>
    <row r="495" spans="10:12" ht="21.6" thickBot="1">
      <c r="J495" s="2"/>
      <c r="K495" s="2"/>
      <c r="L495" s="2"/>
    </row>
    <row r="496" spans="10:12" ht="21.6" thickBot="1">
      <c r="J496" s="2"/>
      <c r="K496" s="2"/>
      <c r="L496" s="2"/>
    </row>
    <row r="497" spans="10:12" ht="21.6" thickBot="1">
      <c r="J497" s="2"/>
      <c r="K497" s="2"/>
      <c r="L497" s="2"/>
    </row>
    <row r="498" spans="10:12" ht="21.6" thickBot="1">
      <c r="J498" s="2"/>
      <c r="K498" s="2"/>
      <c r="L498" s="2"/>
    </row>
    <row r="499" spans="10:12" ht="21.6" thickBot="1">
      <c r="J499" s="2"/>
      <c r="K499" s="2"/>
      <c r="L499" s="2"/>
    </row>
    <row r="500" spans="10:12" ht="21.6" thickBot="1">
      <c r="J500" s="2"/>
      <c r="K500" s="2"/>
      <c r="L500" s="2"/>
    </row>
    <row r="501" spans="10:12" ht="21.6" thickBot="1">
      <c r="J501" s="2"/>
      <c r="K501" s="2"/>
      <c r="L501" s="2"/>
    </row>
    <row r="502" spans="10:12" ht="21.6" thickBot="1">
      <c r="J502" s="2"/>
      <c r="K502" s="2"/>
      <c r="L502" s="2"/>
    </row>
    <row r="503" spans="10:12" ht="21.6" thickBot="1">
      <c r="J503" s="2"/>
      <c r="K503" s="2"/>
      <c r="L503" s="2"/>
    </row>
    <row r="504" spans="10:12" ht="21.6" thickBot="1">
      <c r="J504" s="2"/>
      <c r="K504" s="2"/>
      <c r="L504" s="2"/>
    </row>
    <row r="505" spans="10:12" ht="21.6" thickBot="1">
      <c r="J505" s="2"/>
      <c r="K505" s="2"/>
      <c r="L505" s="2"/>
    </row>
    <row r="506" spans="10:12" ht="21.6" thickBot="1">
      <c r="J506" s="2"/>
      <c r="K506" s="2"/>
      <c r="L506" s="2"/>
    </row>
    <row r="507" spans="10:12" ht="21.6" thickBot="1">
      <c r="J507" s="2"/>
      <c r="K507" s="2"/>
      <c r="L507" s="2"/>
    </row>
    <row r="508" spans="10:12" ht="21.6" thickBot="1">
      <c r="J508" s="2"/>
      <c r="K508" s="2"/>
      <c r="L508" s="2"/>
    </row>
    <row r="509" spans="10:12" ht="21.6" thickBot="1">
      <c r="J509" s="2"/>
      <c r="K509" s="2"/>
      <c r="L509" s="2"/>
    </row>
    <row r="510" spans="10:12" ht="21.6" thickBot="1">
      <c r="J510" s="2"/>
      <c r="K510" s="2"/>
      <c r="L510" s="2"/>
    </row>
    <row r="511" spans="10:12" ht="21.6" thickBot="1">
      <c r="J511" s="2"/>
      <c r="K511" s="2"/>
      <c r="L511" s="2"/>
    </row>
    <row r="512" spans="10:12" ht="21.6" thickBot="1">
      <c r="J512" s="2"/>
      <c r="K512" s="2"/>
      <c r="L512" s="2"/>
    </row>
    <row r="513" spans="10:12" ht="21.6" thickBot="1">
      <c r="J513" s="2"/>
      <c r="K513" s="2"/>
      <c r="L513" s="2"/>
    </row>
    <row r="514" spans="10:12" ht="21.6" thickBot="1">
      <c r="J514" s="2"/>
      <c r="K514" s="2"/>
      <c r="L514" s="2"/>
    </row>
    <row r="515" spans="10:12" ht="21.6" thickBot="1">
      <c r="J515" s="2"/>
      <c r="K515" s="2"/>
      <c r="L515" s="2"/>
    </row>
    <row r="516" spans="10:12" ht="21.6" thickBot="1">
      <c r="J516" s="2"/>
      <c r="K516" s="2"/>
      <c r="L516" s="2"/>
    </row>
    <row r="517" spans="10:12" ht="21.6" thickBot="1">
      <c r="J517" s="2"/>
      <c r="K517" s="2"/>
      <c r="L517" s="2"/>
    </row>
    <row r="518" spans="10:12" ht="21.6" thickBot="1">
      <c r="J518" s="2"/>
      <c r="K518" s="2"/>
      <c r="L518" s="2"/>
    </row>
    <row r="519" spans="10:12" ht="21.6" thickBot="1">
      <c r="J519" s="2"/>
      <c r="K519" s="2"/>
      <c r="L519" s="2"/>
    </row>
    <row r="520" spans="10:12" ht="21.6" thickBot="1">
      <c r="J520" s="2"/>
      <c r="K520" s="2"/>
      <c r="L520" s="2"/>
    </row>
    <row r="521" spans="10:12" ht="21.6" thickBot="1">
      <c r="J521" s="2"/>
      <c r="K521" s="2"/>
      <c r="L521" s="2"/>
    </row>
    <row r="522" spans="10:12" ht="21.6" thickBot="1">
      <c r="J522" s="2"/>
      <c r="K522" s="2"/>
      <c r="L522" s="2"/>
    </row>
    <row r="523" spans="10:12" ht="21.6" thickBot="1">
      <c r="J523" s="2"/>
      <c r="K523" s="2"/>
      <c r="L523" s="2"/>
    </row>
    <row r="524" spans="10:12" ht="21.6" thickBot="1">
      <c r="J524" s="2"/>
      <c r="K524" s="2"/>
      <c r="L524" s="2"/>
    </row>
    <row r="525" spans="10:12" ht="21.6" thickBot="1">
      <c r="J525" s="2"/>
      <c r="K525" s="2"/>
      <c r="L525" s="2"/>
    </row>
    <row r="526" spans="10:12" ht="21.6" thickBot="1">
      <c r="J526" s="2"/>
      <c r="K526" s="2"/>
      <c r="L526" s="2"/>
    </row>
    <row r="527" spans="10:12" ht="21.6" thickBot="1">
      <c r="J527" s="2"/>
      <c r="K527" s="2"/>
      <c r="L527" s="2"/>
    </row>
    <row r="528" spans="10:12" ht="21.6" thickBot="1">
      <c r="J528" s="2"/>
      <c r="K528" s="2"/>
      <c r="L528" s="2"/>
    </row>
    <row r="529" spans="10:12" ht="21.6" thickBot="1">
      <c r="J529" s="2"/>
      <c r="K529" s="2"/>
      <c r="L529" s="2"/>
    </row>
    <row r="530" spans="10:12" ht="21.6" thickBot="1">
      <c r="J530" s="2"/>
      <c r="K530" s="2"/>
      <c r="L530" s="2"/>
    </row>
    <row r="531" spans="10:12" ht="21.6" thickBot="1">
      <c r="J531" s="2"/>
      <c r="K531" s="2"/>
      <c r="L531" s="2"/>
    </row>
    <row r="532" spans="10:12" ht="21.6" thickBot="1">
      <c r="J532" s="2"/>
      <c r="K532" s="2"/>
      <c r="L532" s="2"/>
    </row>
    <row r="533" spans="10:12" ht="21.6" thickBot="1">
      <c r="J533" s="2"/>
      <c r="K533" s="2"/>
      <c r="L533" s="2"/>
    </row>
    <row r="534" spans="10:12" ht="21.6" thickBot="1">
      <c r="J534" s="2"/>
      <c r="K534" s="2"/>
      <c r="L534" s="2"/>
    </row>
    <row r="535" spans="10:12" ht="21.6" thickBot="1">
      <c r="J535" s="2"/>
      <c r="K535" s="2"/>
      <c r="L535" s="2"/>
    </row>
    <row r="536" spans="10:12" ht="21.6" thickBot="1">
      <c r="J536" s="2"/>
      <c r="K536" s="2"/>
      <c r="L536" s="2"/>
    </row>
    <row r="537" spans="10:12" ht="21.6" thickBot="1">
      <c r="J537" s="2"/>
      <c r="K537" s="2"/>
      <c r="L537" s="2"/>
    </row>
    <row r="538" spans="10:12" ht="21.6" thickBot="1">
      <c r="J538" s="2"/>
      <c r="K538" s="2"/>
      <c r="L538" s="2"/>
    </row>
    <row r="539" spans="10:12" ht="21.6" thickBot="1">
      <c r="J539" s="2"/>
      <c r="K539" s="2"/>
      <c r="L539" s="2"/>
    </row>
    <row r="540" spans="10:12" ht="21.6" thickBot="1">
      <c r="J540" s="2"/>
      <c r="K540" s="2"/>
      <c r="L540" s="2"/>
    </row>
    <row r="541" spans="10:12" ht="21.6" thickBot="1">
      <c r="J541" s="2"/>
      <c r="K541" s="2"/>
      <c r="L541" s="2"/>
    </row>
    <row r="542" spans="10:12" ht="21.6" thickBot="1">
      <c r="J542" s="2"/>
      <c r="K542" s="2"/>
      <c r="L542" s="2"/>
    </row>
    <row r="543" spans="10:12" ht="21.6" thickBot="1">
      <c r="J543" s="2"/>
      <c r="K543" s="2"/>
      <c r="L543" s="2"/>
    </row>
    <row r="544" spans="10:12" ht="21.6" thickBot="1">
      <c r="J544" s="2"/>
      <c r="K544" s="2"/>
      <c r="L544" s="2"/>
    </row>
    <row r="545" spans="10:12" ht="21.6" thickBot="1">
      <c r="J545" s="2"/>
      <c r="K545" s="2"/>
      <c r="L545" s="2"/>
    </row>
    <row r="546" spans="10:12" ht="21.6" thickBot="1">
      <c r="J546" s="2"/>
      <c r="K546" s="2"/>
      <c r="L546" s="2"/>
    </row>
    <row r="547" spans="10:12" ht="21.6" thickBot="1">
      <c r="J547" s="2"/>
      <c r="K547" s="2"/>
      <c r="L547" s="2"/>
    </row>
    <row r="548" spans="10:12" ht="21.6" thickBot="1">
      <c r="J548" s="2"/>
      <c r="K548" s="2"/>
      <c r="L548" s="2"/>
    </row>
    <row r="549" spans="10:12" ht="21.6" thickBot="1">
      <c r="J549" s="2"/>
      <c r="K549" s="2"/>
      <c r="L549" s="2"/>
    </row>
    <row r="550" spans="10:12" ht="21.6" thickBot="1">
      <c r="J550" s="2"/>
      <c r="K550" s="2"/>
      <c r="L550" s="2"/>
    </row>
    <row r="551" spans="10:12" ht="21.6" thickBot="1">
      <c r="J551" s="2"/>
      <c r="K551" s="2"/>
      <c r="L551" s="2"/>
    </row>
    <row r="552" spans="10:12" ht="21.6" thickBot="1">
      <c r="J552" s="2"/>
      <c r="K552" s="2"/>
      <c r="L552" s="2"/>
    </row>
    <row r="553" spans="10:12" ht="21.6" thickBot="1">
      <c r="J553" s="2"/>
      <c r="K553" s="2"/>
      <c r="L553" s="2"/>
    </row>
    <row r="554" spans="10:12" ht="21.6" thickBot="1">
      <c r="J554" s="2"/>
      <c r="K554" s="2"/>
      <c r="L554" s="2"/>
    </row>
    <row r="555" spans="10:12" ht="21.6" thickBot="1">
      <c r="J555" s="2"/>
      <c r="K555" s="2"/>
      <c r="L555" s="2"/>
    </row>
    <row r="556" spans="10:12" ht="21.6" thickBot="1">
      <c r="J556" s="2"/>
      <c r="K556" s="2"/>
      <c r="L556" s="2"/>
    </row>
    <row r="557" spans="10:12" ht="21.6" thickBot="1">
      <c r="J557" s="2"/>
      <c r="K557" s="2"/>
      <c r="L557" s="2"/>
    </row>
    <row r="558" spans="10:12" ht="21.6" thickBot="1">
      <c r="J558" s="2"/>
      <c r="K558" s="2"/>
      <c r="L558" s="2"/>
    </row>
    <row r="559" spans="10:12" ht="21.6" thickBot="1">
      <c r="J559" s="2"/>
      <c r="K559" s="2"/>
      <c r="L559" s="2"/>
    </row>
    <row r="560" spans="10:12" ht="21.6" thickBot="1">
      <c r="J560" s="2"/>
      <c r="K560" s="2"/>
      <c r="L560" s="2"/>
    </row>
    <row r="561" spans="10:12" ht="21.6" thickBot="1">
      <c r="J561" s="2"/>
      <c r="K561" s="2"/>
      <c r="L561" s="2"/>
    </row>
    <row r="562" spans="10:12" ht="21.6" thickBot="1">
      <c r="J562" s="2"/>
      <c r="K562" s="2"/>
      <c r="L562" s="2"/>
    </row>
    <row r="563" spans="10:12" ht="21.6" thickBot="1">
      <c r="J563" s="2"/>
      <c r="K563" s="2"/>
      <c r="L563" s="2"/>
    </row>
    <row r="564" spans="10:12" ht="21.6" thickBot="1">
      <c r="J564" s="2"/>
      <c r="K564" s="2"/>
      <c r="L564" s="2"/>
    </row>
    <row r="565" spans="10:12" ht="21.6" thickBot="1">
      <c r="J565" s="2"/>
      <c r="K565" s="2"/>
      <c r="L565" s="2"/>
    </row>
    <row r="566" spans="10:12" ht="21.6" thickBot="1">
      <c r="J566" s="2"/>
      <c r="K566" s="2"/>
      <c r="L566" s="2"/>
    </row>
    <row r="567" spans="10:12" ht="21.6" thickBot="1">
      <c r="J567" s="2"/>
      <c r="K567" s="2"/>
      <c r="L567" s="2"/>
    </row>
    <row r="568" spans="10:12" ht="21.6" thickBot="1">
      <c r="J568" s="2"/>
      <c r="K568" s="2"/>
      <c r="L568" s="2"/>
    </row>
    <row r="569" spans="10:12" ht="21.6" thickBot="1">
      <c r="J569" s="2"/>
      <c r="K569" s="2"/>
      <c r="L569" s="2"/>
    </row>
    <row r="570" spans="10:12" ht="21.6" thickBot="1">
      <c r="J570" s="2"/>
      <c r="K570" s="2"/>
      <c r="L570" s="2"/>
    </row>
    <row r="571" spans="10:12" ht="21.6" thickBot="1">
      <c r="J571" s="2"/>
      <c r="K571" s="2"/>
      <c r="L571" s="2"/>
    </row>
    <row r="572" spans="10:12" ht="21.6" thickBot="1">
      <c r="J572" s="2"/>
      <c r="K572" s="2"/>
      <c r="L572" s="2"/>
    </row>
    <row r="573" spans="10:12" ht="21.6" thickBot="1">
      <c r="J573" s="2"/>
      <c r="K573" s="2"/>
      <c r="L573" s="2"/>
    </row>
    <row r="574" spans="10:12" ht="21.6" thickBot="1">
      <c r="J574" s="2"/>
      <c r="K574" s="2"/>
      <c r="L574" s="2"/>
    </row>
    <row r="575" spans="10:12" ht="21.6" thickBot="1">
      <c r="J575" s="2"/>
      <c r="K575" s="2"/>
      <c r="L575" s="2"/>
    </row>
    <row r="576" spans="10:12" ht="21.6" thickBot="1">
      <c r="J576" s="2"/>
      <c r="K576" s="2"/>
      <c r="L576" s="2"/>
    </row>
    <row r="577" spans="10:12" ht="21.6" thickBot="1">
      <c r="J577" s="2"/>
      <c r="K577" s="2"/>
      <c r="L577" s="2"/>
    </row>
    <row r="578" spans="10:12" ht="21.6" thickBot="1">
      <c r="J578" s="2"/>
      <c r="K578" s="2"/>
      <c r="L578" s="2"/>
    </row>
    <row r="579" spans="10:12" ht="21.6" thickBot="1">
      <c r="J579" s="2"/>
      <c r="K579" s="2"/>
      <c r="L579" s="2"/>
    </row>
    <row r="580" spans="10:12" ht="21.6" thickBot="1">
      <c r="J580" s="2"/>
      <c r="K580" s="2"/>
      <c r="L580" s="2"/>
    </row>
    <row r="581" spans="10:12" ht="21.6" thickBot="1">
      <c r="J581" s="2"/>
      <c r="K581" s="2"/>
      <c r="L581" s="2"/>
    </row>
    <row r="582" spans="10:12" ht="21.6" thickBot="1">
      <c r="J582" s="2"/>
      <c r="K582" s="2"/>
      <c r="L582" s="2"/>
    </row>
    <row r="583" spans="10:12" ht="21.6" thickBot="1">
      <c r="J583" s="2"/>
      <c r="K583" s="2"/>
      <c r="L583" s="2"/>
    </row>
    <row r="584" spans="10:12" ht="21.6" thickBot="1">
      <c r="J584" s="2"/>
      <c r="K584" s="2"/>
      <c r="L584" s="2"/>
    </row>
    <row r="585" spans="10:12" ht="21.6" thickBot="1">
      <c r="J585" s="2"/>
      <c r="K585" s="2"/>
      <c r="L585" s="2"/>
    </row>
    <row r="586" spans="10:12" ht="21.6" thickBot="1">
      <c r="J586" s="2"/>
      <c r="K586" s="2"/>
      <c r="L586" s="2"/>
    </row>
    <row r="587" spans="10:12" ht="21.6" thickBot="1">
      <c r="J587" s="2"/>
      <c r="K587" s="2"/>
      <c r="L587" s="2"/>
    </row>
    <row r="588" spans="10:12" ht="21.6" thickBot="1">
      <c r="J588" s="2"/>
      <c r="K588" s="2"/>
      <c r="L588" s="2"/>
    </row>
    <row r="589" spans="10:12" ht="21.6" thickBot="1">
      <c r="J589" s="2"/>
      <c r="K589" s="2"/>
      <c r="L589" s="2"/>
    </row>
    <row r="590" spans="10:12" ht="21.6" thickBot="1">
      <c r="J590" s="2"/>
      <c r="K590" s="2"/>
      <c r="L590" s="2"/>
    </row>
    <row r="591" spans="10:12" ht="21.6" thickBot="1">
      <c r="J591" s="2"/>
      <c r="K591" s="2"/>
      <c r="L591" s="2"/>
    </row>
    <row r="592" spans="10:12" ht="21.6" thickBot="1">
      <c r="J592" s="2"/>
      <c r="K592" s="2"/>
      <c r="L592" s="2"/>
    </row>
    <row r="593" spans="10:12" ht="21.6" thickBot="1">
      <c r="J593" s="2"/>
      <c r="K593" s="2"/>
      <c r="L593" s="2"/>
    </row>
    <row r="594" spans="10:12" ht="21.6" thickBot="1">
      <c r="J594" s="2"/>
      <c r="K594" s="2"/>
      <c r="L594" s="2"/>
    </row>
    <row r="595" spans="10:12" ht="21.6" thickBot="1">
      <c r="J595" s="2"/>
      <c r="K595" s="2"/>
      <c r="L595" s="2"/>
    </row>
    <row r="596" spans="10:12" ht="21.6" thickBot="1">
      <c r="J596" s="2"/>
      <c r="K596" s="2"/>
      <c r="L596" s="2"/>
    </row>
    <row r="597" spans="10:12" ht="21.6" thickBot="1">
      <c r="J597" s="2"/>
      <c r="K597" s="2"/>
      <c r="L597" s="2"/>
    </row>
    <row r="598" spans="10:12" ht="21.6" thickBot="1">
      <c r="J598" s="2"/>
      <c r="K598" s="2"/>
      <c r="L598" s="2"/>
    </row>
    <row r="599" spans="10:12" ht="21.6" thickBot="1">
      <c r="J599" s="2"/>
      <c r="K599" s="2"/>
      <c r="L599" s="2"/>
    </row>
    <row r="600" spans="10:12" ht="21.6" thickBot="1">
      <c r="J600" s="2"/>
      <c r="K600" s="2"/>
      <c r="L600" s="2"/>
    </row>
    <row r="601" spans="10:12" ht="21.6" thickBot="1">
      <c r="J601" s="2"/>
      <c r="K601" s="2"/>
      <c r="L601" s="2"/>
    </row>
    <row r="602" spans="10:12" ht="21.6" thickBot="1">
      <c r="J602" s="2"/>
      <c r="K602" s="2"/>
      <c r="L602" s="2"/>
    </row>
    <row r="603" spans="10:12" ht="21.6" thickBot="1">
      <c r="J603" s="2"/>
      <c r="K603" s="2"/>
      <c r="L603" s="2"/>
    </row>
    <row r="604" spans="10:12" ht="21.6" thickBot="1">
      <c r="J604" s="2"/>
      <c r="K604" s="2"/>
      <c r="L604" s="2"/>
    </row>
    <row r="605" spans="10:12" ht="21.6" thickBot="1">
      <c r="J605" s="2"/>
      <c r="K605" s="2"/>
      <c r="L605" s="2"/>
    </row>
    <row r="606" spans="10:12" ht="21.6" thickBot="1">
      <c r="J606" s="2"/>
      <c r="K606" s="2"/>
      <c r="L606" s="2"/>
    </row>
    <row r="607" spans="10:12" ht="21.6" thickBot="1">
      <c r="J607" s="2"/>
      <c r="K607" s="2"/>
      <c r="L607" s="2"/>
    </row>
    <row r="608" spans="10:12" ht="21.6" thickBot="1">
      <c r="J608" s="2"/>
      <c r="K608" s="2"/>
      <c r="L608" s="2"/>
    </row>
    <row r="609" spans="10:12" ht="21.6" thickBot="1">
      <c r="J609" s="2"/>
      <c r="K609" s="2"/>
      <c r="L609" s="2"/>
    </row>
    <row r="610" spans="10:12" ht="21.6" thickBot="1">
      <c r="J610" s="2"/>
      <c r="K610" s="2"/>
      <c r="L610" s="2"/>
    </row>
    <row r="611" spans="10:12" ht="21.6" thickBot="1">
      <c r="J611" s="2"/>
      <c r="K611" s="2"/>
      <c r="L611" s="2"/>
    </row>
    <row r="612" spans="10:12" ht="21.6" thickBot="1">
      <c r="J612" s="2"/>
      <c r="K612" s="2"/>
      <c r="L612" s="2"/>
    </row>
    <row r="613" spans="10:12" ht="21.6" thickBot="1">
      <c r="J613" s="2"/>
      <c r="K613" s="2"/>
      <c r="L613" s="2"/>
    </row>
    <row r="614" spans="10:12" ht="21.6" thickBot="1">
      <c r="J614" s="2"/>
      <c r="K614" s="2"/>
      <c r="L614" s="2"/>
    </row>
    <row r="615" spans="10:12" ht="21.6" thickBot="1">
      <c r="J615" s="2"/>
      <c r="K615" s="2"/>
      <c r="L615" s="2"/>
    </row>
    <row r="616" spans="10:12" ht="21.6" thickBot="1">
      <c r="J616" s="2"/>
      <c r="K616" s="2"/>
      <c r="L616" s="2"/>
    </row>
    <row r="617" spans="10:12" ht="21.6" thickBot="1">
      <c r="J617" s="2"/>
      <c r="K617" s="2"/>
      <c r="L617" s="2"/>
    </row>
    <row r="618" spans="10:12" ht="21.6" thickBot="1">
      <c r="J618" s="2"/>
      <c r="K618" s="2"/>
      <c r="L618" s="2"/>
    </row>
    <row r="619" spans="10:12" ht="21.6" thickBot="1">
      <c r="J619" s="2"/>
      <c r="K619" s="2"/>
      <c r="L619" s="2"/>
    </row>
    <row r="620" spans="10:12" ht="21.6" thickBot="1">
      <c r="J620" s="2"/>
      <c r="K620" s="2"/>
      <c r="L620" s="2"/>
    </row>
    <row r="621" spans="10:12" ht="21.6" thickBot="1">
      <c r="J621" s="2"/>
      <c r="K621" s="2"/>
      <c r="L621" s="2"/>
    </row>
    <row r="622" spans="10:12" ht="21.6" thickBot="1">
      <c r="J622" s="2"/>
      <c r="K622" s="2"/>
      <c r="L622" s="2"/>
    </row>
    <row r="623" spans="10:12" ht="21.6" thickBot="1">
      <c r="J623" s="2"/>
      <c r="K623" s="2"/>
      <c r="L623" s="2"/>
    </row>
    <row r="624" spans="10:12" ht="21.6" thickBot="1">
      <c r="J624" s="2"/>
      <c r="K624" s="2"/>
      <c r="L624" s="2"/>
    </row>
    <row r="625" spans="10:12" ht="21.6" thickBot="1">
      <c r="J625" s="2"/>
      <c r="K625" s="2"/>
      <c r="L625" s="2"/>
    </row>
    <row r="626" spans="10:12" ht="21.6" thickBot="1">
      <c r="J626" s="2"/>
      <c r="K626" s="2"/>
      <c r="L626" s="2"/>
    </row>
    <row r="627" spans="10:12" ht="21.6" thickBot="1">
      <c r="J627" s="2"/>
      <c r="K627" s="2"/>
      <c r="L627" s="2"/>
    </row>
    <row r="628" spans="10:12" ht="21.6" thickBot="1">
      <c r="J628" s="2"/>
      <c r="K628" s="2"/>
      <c r="L628" s="2"/>
    </row>
    <row r="629" spans="10:12" ht="21.6" thickBot="1">
      <c r="J629" s="2"/>
      <c r="K629" s="2"/>
      <c r="L629" s="2"/>
    </row>
    <row r="630" spans="10:12" ht="21.6" thickBot="1">
      <c r="J630" s="2"/>
      <c r="K630" s="2"/>
      <c r="L630" s="2"/>
    </row>
    <row r="631" spans="10:12" ht="21.6" thickBot="1">
      <c r="J631" s="2"/>
      <c r="K631" s="2"/>
      <c r="L631" s="2"/>
    </row>
    <row r="632" spans="10:12" ht="21.6" thickBot="1">
      <c r="J632" s="2"/>
      <c r="K632" s="2"/>
      <c r="L632" s="2"/>
    </row>
    <row r="633" spans="10:12" ht="21.6" thickBot="1">
      <c r="J633" s="2"/>
      <c r="K633" s="2"/>
      <c r="L633" s="2"/>
    </row>
    <row r="634" spans="10:12" ht="21.6" thickBot="1">
      <c r="J634" s="2"/>
      <c r="K634" s="2"/>
      <c r="L634" s="2"/>
    </row>
    <row r="635" spans="10:12" ht="21.6" thickBot="1">
      <c r="J635" s="2"/>
      <c r="K635" s="2"/>
      <c r="L635" s="2"/>
    </row>
    <row r="636" spans="10:12" ht="21.6" thickBot="1">
      <c r="J636" s="2"/>
      <c r="K636" s="2"/>
      <c r="L636" s="2"/>
    </row>
    <row r="637" spans="10:12" ht="21.6" thickBot="1">
      <c r="J637" s="2"/>
      <c r="K637" s="2"/>
      <c r="L637" s="2"/>
    </row>
    <row r="638" spans="10:12" ht="21.6" thickBot="1">
      <c r="J638" s="2"/>
      <c r="K638" s="2"/>
      <c r="L638" s="2"/>
    </row>
    <row r="639" spans="10:12" ht="21.6" thickBot="1">
      <c r="J639" s="2"/>
      <c r="K639" s="2"/>
      <c r="L639" s="2"/>
    </row>
    <row r="640" spans="10:12" ht="21.6" thickBot="1">
      <c r="J640" s="2"/>
      <c r="K640" s="2"/>
      <c r="L640" s="2"/>
    </row>
    <row r="641" spans="10:12" ht="21.6" thickBot="1">
      <c r="J641" s="2"/>
      <c r="K641" s="2"/>
      <c r="L641" s="2"/>
    </row>
    <row r="642" spans="10:12" ht="21.6" thickBot="1">
      <c r="J642" s="2"/>
      <c r="K642" s="2"/>
      <c r="L642" s="2"/>
    </row>
    <row r="643" spans="10:12" ht="21.6" thickBot="1">
      <c r="J643" s="2"/>
      <c r="K643" s="2"/>
      <c r="L643" s="2"/>
    </row>
    <row r="644" spans="10:12" ht="21.6" thickBot="1">
      <c r="J644" s="2"/>
      <c r="K644" s="2"/>
      <c r="L644" s="2"/>
    </row>
    <row r="645" spans="10:12" ht="21.6" thickBot="1">
      <c r="J645" s="2"/>
      <c r="K645" s="2"/>
      <c r="L645" s="2"/>
    </row>
    <row r="646" spans="10:12" ht="21.6" thickBot="1">
      <c r="J646" s="2"/>
      <c r="K646" s="2"/>
      <c r="L646" s="2"/>
    </row>
    <row r="647" spans="10:12" ht="21.6" thickBot="1">
      <c r="J647" s="2"/>
      <c r="K647" s="2"/>
      <c r="L647" s="2"/>
    </row>
    <row r="648" spans="10:12" ht="21.6" thickBot="1">
      <c r="J648" s="2"/>
      <c r="K648" s="2"/>
      <c r="L648" s="2"/>
    </row>
    <row r="649" spans="10:12" ht="21.6" thickBot="1">
      <c r="J649" s="2"/>
      <c r="K649" s="2"/>
      <c r="L649" s="2"/>
    </row>
    <row r="650" spans="10:12" ht="21.6" thickBot="1">
      <c r="J650" s="2"/>
      <c r="K650" s="2"/>
      <c r="L650" s="2"/>
    </row>
    <row r="651" spans="10:12" ht="21.6" thickBot="1">
      <c r="J651" s="2"/>
      <c r="K651" s="2"/>
      <c r="L651" s="2"/>
    </row>
    <row r="652" spans="10:12" ht="21.6" thickBot="1">
      <c r="J652" s="2"/>
      <c r="K652" s="2"/>
      <c r="L652" s="2"/>
    </row>
    <row r="653" spans="10:12" ht="21.6" thickBot="1">
      <c r="J653" s="2"/>
      <c r="K653" s="2"/>
      <c r="L653" s="2"/>
    </row>
    <row r="654" spans="10:12" ht="21.6" thickBot="1">
      <c r="J654" s="2"/>
      <c r="K654" s="2"/>
      <c r="L654" s="2"/>
    </row>
    <row r="655" spans="10:12" ht="21.6" thickBot="1">
      <c r="J655" s="2"/>
      <c r="K655" s="2"/>
      <c r="L655" s="2"/>
    </row>
    <row r="656" spans="10:12" ht="21.6" thickBot="1">
      <c r="J656" s="2"/>
      <c r="K656" s="2"/>
      <c r="L656" s="2"/>
    </row>
    <row r="657" spans="10:12" ht="21.6" thickBot="1">
      <c r="J657" s="2"/>
      <c r="K657" s="2"/>
      <c r="L657" s="2"/>
    </row>
    <row r="658" spans="10:12" ht="21.6" thickBot="1">
      <c r="J658" s="2"/>
      <c r="K658" s="2"/>
      <c r="L658" s="2"/>
    </row>
    <row r="659" spans="10:12" ht="21.6" thickBot="1">
      <c r="J659" s="2"/>
      <c r="K659" s="2"/>
      <c r="L659" s="2"/>
    </row>
    <row r="660" spans="10:12" ht="21.6" thickBot="1">
      <c r="J660" s="2"/>
      <c r="K660" s="2"/>
      <c r="L660" s="2"/>
    </row>
    <row r="661" spans="10:12" ht="21.6" thickBot="1">
      <c r="J661" s="2"/>
      <c r="K661" s="2"/>
      <c r="L661" s="2"/>
    </row>
    <row r="662" spans="10:12" ht="21.6" thickBot="1">
      <c r="J662" s="2"/>
      <c r="K662" s="2"/>
      <c r="L662" s="2"/>
    </row>
    <row r="663" spans="10:12" ht="21.6" thickBot="1">
      <c r="J663" s="2"/>
      <c r="K663" s="2"/>
      <c r="L663" s="2"/>
    </row>
    <row r="664" spans="10:12" ht="21.6" thickBot="1">
      <c r="J664" s="2"/>
      <c r="K664" s="2"/>
      <c r="L664" s="2"/>
    </row>
    <row r="665" spans="10:12" ht="21.6" thickBot="1">
      <c r="J665" s="2"/>
      <c r="K665" s="2"/>
      <c r="L665" s="2"/>
    </row>
    <row r="666" spans="10:12" ht="21.6" thickBot="1">
      <c r="J666" s="2"/>
      <c r="K666" s="2"/>
      <c r="L666" s="2"/>
    </row>
    <row r="667" spans="10:12" ht="21.6" thickBot="1">
      <c r="J667" s="2"/>
      <c r="K667" s="2"/>
      <c r="L667" s="2"/>
    </row>
    <row r="668" spans="10:12" ht="21.6" thickBot="1">
      <c r="J668" s="2"/>
      <c r="K668" s="2"/>
      <c r="L668" s="2"/>
    </row>
    <row r="669" spans="10:12" ht="21.6" thickBot="1">
      <c r="J669" s="2"/>
      <c r="K669" s="2"/>
      <c r="L669" s="2"/>
    </row>
    <row r="670" spans="10:12" ht="21.6" thickBot="1">
      <c r="J670" s="2"/>
      <c r="K670" s="2"/>
      <c r="L670" s="2"/>
    </row>
    <row r="671" spans="10:12" ht="21.6" thickBot="1">
      <c r="J671" s="2"/>
      <c r="K671" s="2"/>
      <c r="L671" s="2"/>
    </row>
    <row r="672" spans="10:12" ht="21.6" thickBot="1">
      <c r="J672" s="2"/>
      <c r="K672" s="2"/>
      <c r="L672" s="2"/>
    </row>
    <row r="673" spans="10:12" ht="21.6" thickBot="1">
      <c r="J673" s="2"/>
      <c r="K673" s="2"/>
      <c r="L673" s="2"/>
    </row>
    <row r="674" spans="10:12" ht="21.6" thickBot="1">
      <c r="J674" s="2"/>
      <c r="K674" s="2"/>
      <c r="L674" s="2"/>
    </row>
    <row r="675" spans="10:12" ht="21.6" thickBot="1">
      <c r="J675" s="2"/>
      <c r="K675" s="2"/>
      <c r="L675" s="2"/>
    </row>
    <row r="676" spans="10:12" ht="21.6" thickBot="1">
      <c r="J676" s="2"/>
      <c r="K676" s="2"/>
      <c r="L676" s="2"/>
    </row>
    <row r="677" spans="10:12" ht="21.6" thickBot="1">
      <c r="J677" s="2"/>
      <c r="K677" s="2"/>
      <c r="L677" s="2"/>
    </row>
    <row r="678" spans="10:12" ht="21.6" thickBot="1">
      <c r="J678" s="2"/>
      <c r="K678" s="2"/>
      <c r="L678" s="2"/>
    </row>
    <row r="679" spans="10:12" ht="21.6" thickBot="1">
      <c r="J679" s="2"/>
      <c r="K679" s="2"/>
      <c r="L679" s="2"/>
    </row>
    <row r="680" spans="10:12" ht="21.6" thickBot="1">
      <c r="J680" s="2"/>
      <c r="K680" s="2"/>
      <c r="L680" s="2"/>
    </row>
    <row r="681" spans="10:12" ht="21.6" thickBot="1">
      <c r="J681" s="2"/>
      <c r="K681" s="2"/>
      <c r="L681" s="2"/>
    </row>
    <row r="682" spans="10:12" ht="21.6" thickBot="1">
      <c r="J682" s="2"/>
      <c r="K682" s="2"/>
      <c r="L682" s="2"/>
    </row>
    <row r="683" spans="10:12" ht="21.6" thickBot="1">
      <c r="J683" s="2"/>
      <c r="K683" s="2"/>
      <c r="L683" s="2"/>
    </row>
    <row r="684" spans="10:12" ht="21.6" thickBot="1">
      <c r="J684" s="2"/>
      <c r="K684" s="2"/>
      <c r="L684" s="2"/>
    </row>
    <row r="685" spans="10:12" ht="21.6" thickBot="1">
      <c r="J685" s="2"/>
      <c r="K685" s="2"/>
      <c r="L685" s="2"/>
    </row>
    <row r="686" spans="10:12" ht="21.6" thickBot="1">
      <c r="J686" s="2"/>
      <c r="K686" s="2"/>
      <c r="L686" s="2"/>
    </row>
    <row r="687" spans="10:12" ht="21.6" thickBot="1">
      <c r="J687" s="2"/>
      <c r="K687" s="2"/>
      <c r="L687" s="2"/>
    </row>
    <row r="688" spans="10:12" ht="21.6" thickBot="1">
      <c r="J688" s="2"/>
      <c r="K688" s="2"/>
      <c r="L688" s="2"/>
    </row>
    <row r="689" spans="10:12" ht="21.6" thickBot="1">
      <c r="J689" s="2"/>
      <c r="K689" s="2"/>
      <c r="L689" s="2"/>
    </row>
    <row r="690" spans="10:12" ht="21.6" thickBot="1">
      <c r="J690" s="2"/>
      <c r="K690" s="2"/>
      <c r="L690" s="2"/>
    </row>
    <row r="691" spans="10:12" ht="21.6" thickBot="1">
      <c r="J691" s="2"/>
      <c r="K691" s="2"/>
      <c r="L691" s="2"/>
    </row>
    <row r="692" spans="10:12" ht="21.6" thickBot="1">
      <c r="J692" s="2"/>
      <c r="K692" s="2"/>
      <c r="L692" s="2"/>
    </row>
    <row r="693" spans="10:12" ht="21.6" thickBot="1">
      <c r="J693" s="2"/>
      <c r="K693" s="2"/>
      <c r="L693" s="2"/>
    </row>
    <row r="694" spans="10:12" ht="21.6" thickBot="1">
      <c r="J694" s="2"/>
      <c r="K694" s="2"/>
      <c r="L694" s="2"/>
    </row>
    <row r="695" spans="10:12" ht="21.6" thickBot="1">
      <c r="J695" s="2"/>
      <c r="K695" s="2"/>
      <c r="L695" s="2"/>
    </row>
    <row r="696" spans="10:12" ht="21.6" thickBot="1">
      <c r="J696" s="2"/>
      <c r="K696" s="2"/>
      <c r="L696" s="2"/>
    </row>
    <row r="697" spans="10:12" ht="21.6" thickBot="1">
      <c r="J697" s="2"/>
      <c r="K697" s="2"/>
      <c r="L697" s="2"/>
    </row>
    <row r="698" spans="10:12" ht="21.6" thickBot="1">
      <c r="J698" s="2"/>
      <c r="K698" s="2"/>
      <c r="L698" s="2"/>
    </row>
    <row r="699" spans="10:12" ht="21.6" thickBot="1">
      <c r="J699" s="2"/>
      <c r="K699" s="2"/>
      <c r="L699" s="2"/>
    </row>
    <row r="700" spans="10:12" ht="21.6" thickBot="1">
      <c r="J700" s="2"/>
      <c r="K700" s="2"/>
      <c r="L700" s="2"/>
    </row>
    <row r="701" spans="10:12" ht="21.6" thickBot="1">
      <c r="J701" s="2"/>
      <c r="K701" s="2"/>
      <c r="L701" s="2"/>
    </row>
    <row r="702" spans="10:12" ht="21.6" thickBot="1">
      <c r="J702" s="2"/>
      <c r="K702" s="2"/>
      <c r="L702" s="2"/>
    </row>
    <row r="703" spans="10:12" ht="21.6" thickBot="1">
      <c r="J703" s="2"/>
      <c r="K703" s="2"/>
      <c r="L703" s="2"/>
    </row>
    <row r="704" spans="10:12" ht="21.6" thickBot="1">
      <c r="J704" s="2"/>
      <c r="K704" s="2"/>
      <c r="L704" s="2"/>
    </row>
    <row r="705" spans="10:12" ht="21.6" thickBot="1">
      <c r="J705" s="2"/>
      <c r="K705" s="2"/>
      <c r="L705" s="2"/>
    </row>
    <row r="706" spans="10:12" ht="21.6" thickBot="1">
      <c r="J706" s="2"/>
      <c r="K706" s="2"/>
      <c r="L706" s="2"/>
    </row>
    <row r="707" spans="10:12" ht="21.6" thickBot="1">
      <c r="J707" s="2"/>
      <c r="K707" s="2"/>
      <c r="L707" s="2"/>
    </row>
    <row r="708" spans="10:12" ht="21.6" thickBot="1">
      <c r="J708" s="2"/>
      <c r="K708" s="2"/>
      <c r="L708" s="2"/>
    </row>
    <row r="709" spans="10:12" ht="21.6" thickBot="1">
      <c r="J709" s="2"/>
      <c r="K709" s="2"/>
      <c r="L709" s="2"/>
    </row>
    <row r="710" spans="10:12" ht="21.6" thickBot="1">
      <c r="J710" s="2"/>
      <c r="K710" s="2"/>
      <c r="L710" s="2"/>
    </row>
    <row r="711" spans="10:12" ht="21.6" thickBot="1">
      <c r="J711" s="2"/>
      <c r="K711" s="2"/>
      <c r="L711" s="2"/>
    </row>
    <row r="712" spans="10:12" ht="21.6" thickBot="1">
      <c r="J712" s="2"/>
      <c r="K712" s="2"/>
      <c r="L712" s="2"/>
    </row>
    <row r="713" spans="10:12" ht="21.6" thickBot="1">
      <c r="J713" s="2"/>
      <c r="K713" s="2"/>
      <c r="L713" s="2"/>
    </row>
    <row r="714" spans="10:12" ht="21.6" thickBot="1">
      <c r="J714" s="2"/>
      <c r="K714" s="2"/>
      <c r="L714" s="2"/>
    </row>
    <row r="715" spans="10:12" ht="21.6" thickBot="1">
      <c r="J715" s="2"/>
      <c r="K715" s="2"/>
      <c r="L715" s="2"/>
    </row>
    <row r="716" spans="10:12" ht="21.6" thickBot="1">
      <c r="J716" s="2"/>
      <c r="K716" s="2"/>
      <c r="L716" s="2"/>
    </row>
    <row r="717" spans="10:12" ht="21.6" thickBot="1">
      <c r="J717" s="2"/>
      <c r="K717" s="2"/>
      <c r="L717" s="2"/>
    </row>
    <row r="718" spans="10:12" ht="21.6" thickBot="1">
      <c r="J718" s="2"/>
      <c r="K718" s="2"/>
      <c r="L718" s="2"/>
    </row>
    <row r="719" spans="10:12" ht="21.6" thickBot="1">
      <c r="J719" s="2"/>
      <c r="K719" s="2"/>
      <c r="L719" s="2"/>
    </row>
    <row r="720" spans="10:12" ht="21.6" thickBot="1">
      <c r="J720" s="2"/>
      <c r="K720" s="2"/>
      <c r="L720" s="2"/>
    </row>
    <row r="721" spans="10:12" ht="21.6" thickBot="1">
      <c r="J721" s="2"/>
      <c r="K721" s="2"/>
      <c r="L721" s="2"/>
    </row>
    <row r="722" spans="10:12" ht="21.6" thickBot="1">
      <c r="J722" s="2"/>
      <c r="K722" s="2"/>
      <c r="L722" s="2"/>
    </row>
    <row r="723" spans="10:12" ht="21.6" thickBot="1">
      <c r="J723" s="2"/>
      <c r="K723" s="2"/>
      <c r="L723" s="2"/>
    </row>
    <row r="724" spans="10:12" ht="21.6" thickBot="1">
      <c r="J724" s="2"/>
      <c r="K724" s="2"/>
      <c r="L724" s="2"/>
    </row>
    <row r="725" spans="10:12" ht="21.6" thickBot="1">
      <c r="J725" s="2"/>
      <c r="K725" s="2"/>
      <c r="L725" s="2"/>
    </row>
    <row r="726" spans="10:12" ht="21.6" thickBot="1">
      <c r="J726" s="2"/>
      <c r="K726" s="2"/>
      <c r="L726" s="2"/>
    </row>
    <row r="727" spans="10:12" ht="21.6" thickBot="1">
      <c r="J727" s="2"/>
      <c r="K727" s="2"/>
      <c r="L727" s="2"/>
    </row>
    <row r="728" spans="10:12" ht="21.6" thickBot="1">
      <c r="J728" s="2"/>
      <c r="K728" s="2"/>
      <c r="L728" s="2"/>
    </row>
    <row r="729" spans="10:12" ht="21.6" thickBot="1">
      <c r="J729" s="2"/>
      <c r="K729" s="2"/>
      <c r="L729" s="2"/>
    </row>
    <row r="730" spans="10:12" ht="21.6" thickBot="1">
      <c r="J730" s="2"/>
      <c r="K730" s="2"/>
      <c r="L730" s="2"/>
    </row>
    <row r="731" spans="10:12" ht="21.6" thickBot="1">
      <c r="J731" s="2"/>
      <c r="K731" s="2"/>
      <c r="L731" s="2"/>
    </row>
    <row r="732" spans="10:12" ht="21.6" thickBot="1">
      <c r="J732" s="2"/>
      <c r="K732" s="2"/>
      <c r="L732" s="2"/>
    </row>
    <row r="733" spans="10:12" ht="21.6" thickBot="1">
      <c r="J733" s="2"/>
      <c r="K733" s="2"/>
      <c r="L733" s="2"/>
    </row>
    <row r="734" spans="10:12" ht="21.6" thickBot="1">
      <c r="J734" s="2"/>
      <c r="K734" s="2"/>
      <c r="L734" s="2"/>
    </row>
    <row r="735" spans="10:12" ht="21.6" thickBot="1">
      <c r="J735" s="2"/>
      <c r="K735" s="2"/>
      <c r="L735" s="2"/>
    </row>
    <row r="736" spans="10:12" ht="21.6" thickBot="1">
      <c r="J736" s="2"/>
      <c r="K736" s="2"/>
      <c r="L736" s="2"/>
    </row>
    <row r="737" spans="10:12" ht="21.6" thickBot="1">
      <c r="J737" s="2"/>
      <c r="K737" s="2"/>
      <c r="L737" s="2"/>
    </row>
    <row r="738" spans="10:12" ht="21.6" thickBot="1">
      <c r="J738" s="2"/>
      <c r="K738" s="2"/>
      <c r="L738" s="2"/>
    </row>
    <row r="739" spans="10:12" ht="21.6" thickBot="1">
      <c r="J739" s="2"/>
      <c r="K739" s="2"/>
      <c r="L739" s="2"/>
    </row>
    <row r="740" spans="10:12" ht="21.6" thickBot="1">
      <c r="J740" s="2"/>
      <c r="K740" s="2"/>
      <c r="L740" s="2"/>
    </row>
    <row r="741" spans="10:12" ht="21.6" thickBot="1">
      <c r="J741" s="2"/>
      <c r="K741" s="2"/>
      <c r="L741" s="2"/>
    </row>
    <row r="742" spans="10:12" ht="21.6" thickBot="1">
      <c r="J742" s="2"/>
      <c r="K742" s="2"/>
      <c r="L742" s="2"/>
    </row>
    <row r="743" spans="10:12" ht="21.6" thickBot="1">
      <c r="J743" s="2"/>
      <c r="K743" s="2"/>
      <c r="L743" s="2"/>
    </row>
    <row r="744" spans="10:12" ht="21.6" thickBot="1">
      <c r="J744" s="2"/>
      <c r="K744" s="2"/>
      <c r="L744" s="2"/>
    </row>
    <row r="745" spans="10:12" ht="21.6" thickBot="1">
      <c r="J745" s="2"/>
      <c r="K745" s="2"/>
      <c r="L745" s="2"/>
    </row>
    <row r="746" spans="10:12" ht="21.6" thickBot="1">
      <c r="J746" s="2"/>
      <c r="K746" s="2"/>
      <c r="L746" s="2"/>
    </row>
    <row r="747" spans="10:12" ht="21.6" thickBot="1">
      <c r="J747" s="2"/>
      <c r="K747" s="2"/>
      <c r="L747" s="2"/>
    </row>
    <row r="748" spans="10:12" ht="21.6" thickBot="1">
      <c r="J748" s="2"/>
      <c r="K748" s="2"/>
      <c r="L748" s="2"/>
    </row>
    <row r="749" spans="10:12" ht="21.6" thickBot="1">
      <c r="J749" s="2"/>
      <c r="K749" s="2"/>
      <c r="L749" s="2"/>
    </row>
    <row r="750" spans="10:12" ht="21.6" thickBot="1">
      <c r="J750" s="2"/>
      <c r="K750" s="2"/>
      <c r="L750" s="2"/>
    </row>
    <row r="751" spans="10:12" ht="21.6" thickBot="1">
      <c r="J751" s="2"/>
      <c r="K751" s="2"/>
      <c r="L751" s="2"/>
    </row>
    <row r="752" spans="10:12" ht="21.6" thickBot="1">
      <c r="J752" s="2"/>
      <c r="K752" s="2"/>
      <c r="L752" s="2"/>
    </row>
    <row r="753" spans="10:12" ht="21.6" thickBot="1">
      <c r="J753" s="2"/>
      <c r="K753" s="2"/>
      <c r="L753" s="2"/>
    </row>
    <row r="754" spans="10:12" ht="21.6" thickBot="1">
      <c r="J754" s="2"/>
      <c r="K754" s="2"/>
      <c r="L754" s="2"/>
    </row>
    <row r="755" spans="10:12" ht="21.6" thickBot="1">
      <c r="J755" s="2"/>
      <c r="K755" s="2"/>
      <c r="L755" s="2"/>
    </row>
    <row r="756" spans="10:12" ht="21.6" thickBot="1">
      <c r="J756" s="2"/>
      <c r="K756" s="2"/>
      <c r="L756" s="2"/>
    </row>
    <row r="757" spans="10:12" ht="21.6" thickBot="1">
      <c r="J757" s="2"/>
      <c r="K757" s="2"/>
      <c r="L757" s="2"/>
    </row>
    <row r="758" spans="10:12" ht="21.6" thickBot="1">
      <c r="J758" s="2"/>
      <c r="K758" s="2"/>
      <c r="L758" s="2"/>
    </row>
    <row r="759" spans="10:12" ht="21.6" thickBot="1">
      <c r="J759" s="2"/>
      <c r="K759" s="2"/>
      <c r="L759" s="2"/>
    </row>
    <row r="760" spans="10:12" ht="21.6" thickBot="1">
      <c r="J760" s="2"/>
      <c r="K760" s="2"/>
      <c r="L760" s="2"/>
    </row>
    <row r="761" spans="10:12" ht="21.6" thickBot="1">
      <c r="J761" s="2"/>
      <c r="K761" s="2"/>
      <c r="L761" s="2"/>
    </row>
    <row r="762" spans="10:12" ht="21.6" thickBot="1">
      <c r="J762" s="2"/>
      <c r="K762" s="2"/>
      <c r="L762" s="2"/>
    </row>
    <row r="763" spans="10:12" ht="21.6" thickBot="1">
      <c r="J763" s="2"/>
      <c r="K763" s="2"/>
      <c r="L763" s="2"/>
    </row>
    <row r="764" spans="10:12" ht="21.6" thickBot="1">
      <c r="J764" s="2"/>
      <c r="K764" s="2"/>
      <c r="L764" s="2"/>
    </row>
    <row r="765" spans="10:12" ht="21.6" thickBot="1">
      <c r="J765" s="2"/>
      <c r="K765" s="2"/>
      <c r="L765" s="2"/>
    </row>
    <row r="766" spans="10:12" ht="21.6" thickBot="1">
      <c r="J766" s="2"/>
      <c r="K766" s="2"/>
      <c r="L766" s="2"/>
    </row>
    <row r="767" spans="10:12" ht="21.6" thickBot="1">
      <c r="J767" s="2"/>
      <c r="K767" s="2"/>
      <c r="L767" s="2"/>
    </row>
    <row r="768" spans="10:12" ht="21.6" thickBot="1">
      <c r="J768" s="2"/>
      <c r="K768" s="2"/>
      <c r="L768" s="2"/>
    </row>
    <row r="769" spans="10:12" ht="21.6" thickBot="1">
      <c r="J769" s="2"/>
      <c r="K769" s="2"/>
      <c r="L769" s="2"/>
    </row>
    <row r="770" spans="10:12" ht="21.6" thickBot="1">
      <c r="J770" s="2"/>
      <c r="K770" s="2"/>
      <c r="L770" s="2"/>
    </row>
    <row r="771" spans="10:12" ht="21.6" thickBot="1">
      <c r="J771" s="2"/>
      <c r="K771" s="2"/>
      <c r="L771" s="2"/>
    </row>
    <row r="772" spans="10:12" ht="21.6" thickBot="1">
      <c r="J772" s="2"/>
      <c r="K772" s="2"/>
      <c r="L772" s="2"/>
    </row>
    <row r="773" spans="10:12" ht="21.6" thickBot="1">
      <c r="J773" s="2"/>
      <c r="K773" s="2"/>
      <c r="L773" s="2"/>
    </row>
    <row r="774" spans="10:12" ht="21.6" thickBot="1">
      <c r="J774" s="2"/>
      <c r="K774" s="2"/>
      <c r="L774" s="2"/>
    </row>
    <row r="775" spans="10:12" ht="21.6" thickBot="1">
      <c r="J775" s="2"/>
      <c r="K775" s="2"/>
      <c r="L775" s="2"/>
    </row>
    <row r="776" spans="10:12" ht="21.6" thickBot="1">
      <c r="J776" s="2"/>
      <c r="K776" s="2"/>
      <c r="L776" s="2"/>
    </row>
    <row r="777" spans="10:12" ht="21.6" thickBot="1">
      <c r="J777" s="2"/>
      <c r="K777" s="2"/>
      <c r="L777" s="2"/>
    </row>
    <row r="778" spans="10:12" ht="21.6" thickBot="1">
      <c r="J778" s="2"/>
      <c r="K778" s="2"/>
      <c r="L778" s="2"/>
    </row>
    <row r="779" spans="10:12" ht="21.6" thickBot="1">
      <c r="J779" s="2"/>
      <c r="K779" s="2"/>
      <c r="L779" s="2"/>
    </row>
    <row r="780" spans="10:12" ht="21.6" thickBot="1">
      <c r="J780" s="2"/>
      <c r="K780" s="2"/>
      <c r="L780" s="2"/>
    </row>
    <row r="781" spans="10:12" ht="21.6" thickBot="1">
      <c r="J781" s="2"/>
      <c r="K781" s="2"/>
      <c r="L781" s="2"/>
    </row>
    <row r="782" spans="10:12" ht="21.6" thickBot="1">
      <c r="J782" s="2"/>
      <c r="K782" s="2"/>
      <c r="L782" s="2"/>
    </row>
    <row r="783" spans="10:12" ht="21.6" thickBot="1">
      <c r="J783" s="2"/>
      <c r="K783" s="2"/>
      <c r="L783" s="2"/>
    </row>
    <row r="784" spans="10:12" ht="21.6" thickBot="1">
      <c r="J784" s="2"/>
      <c r="K784" s="2"/>
      <c r="L784" s="2"/>
    </row>
    <row r="785" spans="10:12" ht="21.6" thickBot="1">
      <c r="J785" s="2"/>
      <c r="K785" s="2"/>
      <c r="L785" s="2"/>
    </row>
    <row r="786" spans="10:12" ht="21.6" thickBot="1">
      <c r="J786" s="2"/>
      <c r="K786" s="2"/>
      <c r="L786" s="2"/>
    </row>
    <row r="787" spans="10:12" ht="21.6" thickBot="1">
      <c r="J787" s="2"/>
      <c r="K787" s="2"/>
      <c r="L787" s="2"/>
    </row>
    <row r="788" spans="10:12" ht="21.6" thickBot="1">
      <c r="J788" s="2"/>
      <c r="K788" s="2"/>
      <c r="L788" s="2"/>
    </row>
    <row r="789" spans="10:12" ht="21.6" thickBot="1">
      <c r="J789" s="2"/>
      <c r="K789" s="2"/>
      <c r="L789" s="2"/>
    </row>
    <row r="790" spans="10:12" ht="21.6" thickBot="1">
      <c r="J790" s="2"/>
      <c r="K790" s="2"/>
      <c r="L790" s="2"/>
    </row>
    <row r="791" spans="10:12" ht="21.6" thickBot="1">
      <c r="J791" s="2"/>
      <c r="K791" s="2"/>
      <c r="L791" s="2"/>
    </row>
    <row r="792" spans="10:12" ht="21.6" thickBot="1">
      <c r="J792" s="2"/>
      <c r="K792" s="2"/>
      <c r="L792" s="2"/>
    </row>
    <row r="793" spans="10:12" ht="21.6" thickBot="1">
      <c r="J793" s="2"/>
      <c r="K793" s="2"/>
      <c r="L793" s="2"/>
    </row>
    <row r="794" spans="10:12" ht="21.6" thickBot="1">
      <c r="J794" s="2"/>
      <c r="K794" s="2"/>
      <c r="L794" s="2"/>
    </row>
    <row r="795" spans="10:12" ht="21.6" thickBot="1">
      <c r="J795" s="2"/>
      <c r="K795" s="2"/>
      <c r="L795" s="2"/>
    </row>
    <row r="796" spans="10:12" ht="21.6" thickBot="1">
      <c r="J796" s="2"/>
      <c r="K796" s="2"/>
      <c r="L796" s="2"/>
    </row>
    <row r="797" spans="10:12" ht="21.6" thickBot="1">
      <c r="J797" s="2"/>
      <c r="K797" s="2"/>
      <c r="L797" s="2"/>
    </row>
    <row r="798" spans="10:12" ht="21.6" thickBot="1">
      <c r="J798" s="2"/>
      <c r="K798" s="2"/>
      <c r="L798" s="2"/>
    </row>
    <row r="799" spans="10:12" ht="21.6" thickBot="1">
      <c r="J799" s="2"/>
      <c r="K799" s="2"/>
      <c r="L799" s="2"/>
    </row>
    <row r="800" spans="10:12" ht="21.6" thickBot="1">
      <c r="J800" s="2"/>
      <c r="K800" s="2"/>
      <c r="L800" s="2"/>
    </row>
    <row r="801" spans="10:12" ht="21.6" thickBot="1">
      <c r="J801" s="2"/>
      <c r="K801" s="2"/>
      <c r="L801" s="2"/>
    </row>
    <row r="802" spans="10:12" ht="21.6" thickBot="1">
      <c r="J802" s="2"/>
      <c r="K802" s="2"/>
      <c r="L802" s="2"/>
    </row>
    <row r="803" spans="10:12" ht="21.6" thickBot="1">
      <c r="J803" s="2"/>
      <c r="K803" s="2"/>
      <c r="L803" s="2"/>
    </row>
    <row r="804" spans="10:12" ht="21.6" thickBot="1">
      <c r="J804" s="2"/>
      <c r="K804" s="2"/>
      <c r="L804" s="2"/>
    </row>
    <row r="805" spans="10:12" ht="21.6" thickBot="1">
      <c r="J805" s="2"/>
      <c r="K805" s="2"/>
      <c r="L805" s="2"/>
    </row>
    <row r="806" spans="10:12" ht="21.6" thickBot="1">
      <c r="J806" s="2"/>
      <c r="K806" s="2"/>
      <c r="L806" s="2"/>
    </row>
    <row r="807" spans="10:12" ht="21.6" thickBot="1">
      <c r="J807" s="2"/>
      <c r="K807" s="2"/>
      <c r="L807" s="2"/>
    </row>
    <row r="808" spans="10:12" ht="21.6" thickBot="1">
      <c r="J808" s="2"/>
      <c r="K808" s="2"/>
      <c r="L808" s="2"/>
    </row>
    <row r="809" spans="10:12" ht="21.6" thickBot="1">
      <c r="J809" s="2"/>
      <c r="K809" s="2"/>
      <c r="L809" s="2"/>
    </row>
    <row r="810" spans="10:12" ht="21.6" thickBot="1">
      <c r="J810" s="2"/>
      <c r="K810" s="2"/>
      <c r="L810" s="2"/>
    </row>
    <row r="811" spans="10:12" ht="21.6" thickBot="1">
      <c r="J811" s="2"/>
      <c r="K811" s="2"/>
      <c r="L811" s="2"/>
    </row>
    <row r="812" spans="10:12" ht="21.6" thickBot="1">
      <c r="J812" s="2"/>
      <c r="K812" s="2"/>
      <c r="L812" s="2"/>
    </row>
    <row r="813" spans="10:12" ht="21.6" thickBot="1">
      <c r="J813" s="2"/>
      <c r="K813" s="2"/>
      <c r="L813" s="2"/>
    </row>
    <row r="814" spans="10:12" ht="21.6" thickBot="1">
      <c r="J814" s="2"/>
      <c r="K814" s="2"/>
      <c r="L814" s="2"/>
    </row>
    <row r="815" spans="10:12" ht="21.6" thickBot="1">
      <c r="J815" s="2"/>
      <c r="K815" s="2"/>
      <c r="L815" s="2"/>
    </row>
    <row r="816" spans="10:12" ht="21.6" thickBot="1">
      <c r="J816" s="2"/>
      <c r="K816" s="2"/>
      <c r="L816" s="2"/>
    </row>
    <row r="817" spans="10:12" ht="21.6" thickBot="1">
      <c r="J817" s="2"/>
      <c r="K817" s="2"/>
      <c r="L817" s="2"/>
    </row>
    <row r="818" spans="10:12" ht="21.6" thickBot="1">
      <c r="J818" s="2"/>
      <c r="K818" s="2"/>
      <c r="L818" s="2"/>
    </row>
    <row r="819" spans="10:12" ht="21.6" thickBot="1">
      <c r="J819" s="2"/>
      <c r="K819" s="2"/>
      <c r="L819" s="2"/>
    </row>
    <row r="820" spans="10:12" ht="21.6" thickBot="1">
      <c r="J820" s="2"/>
      <c r="K820" s="2"/>
      <c r="L820" s="2"/>
    </row>
    <row r="821" spans="10:12" ht="21.6" thickBot="1">
      <c r="J821" s="2"/>
      <c r="K821" s="2"/>
      <c r="L821" s="2"/>
    </row>
    <row r="822" spans="10:12" ht="21.6" thickBot="1">
      <c r="J822" s="2"/>
      <c r="K822" s="2"/>
      <c r="L822" s="2"/>
    </row>
    <row r="823" spans="10:12" ht="21.6" thickBot="1">
      <c r="J823" s="2"/>
      <c r="K823" s="2"/>
      <c r="L823" s="2"/>
    </row>
    <row r="824" spans="10:12" ht="21.6" thickBot="1">
      <c r="J824" s="2"/>
      <c r="K824" s="2"/>
      <c r="L824" s="2"/>
    </row>
    <row r="825" spans="10:12" ht="21.6" thickBot="1">
      <c r="J825" s="2"/>
      <c r="K825" s="2"/>
      <c r="L825" s="2"/>
    </row>
    <row r="826" spans="10:12" ht="21.6" thickBot="1">
      <c r="J826" s="2"/>
      <c r="K826" s="2"/>
      <c r="L826" s="2"/>
    </row>
    <row r="827" spans="10:12" ht="21.6" thickBot="1">
      <c r="J827" s="2"/>
      <c r="K827" s="2"/>
      <c r="L827" s="2"/>
    </row>
    <row r="828" spans="10:12" ht="21.6" thickBot="1">
      <c r="J828" s="2"/>
      <c r="K828" s="2"/>
      <c r="L828" s="2"/>
    </row>
    <row r="829" spans="10:12" ht="21.6" thickBot="1">
      <c r="J829" s="2"/>
      <c r="K829" s="2"/>
      <c r="L829" s="2"/>
    </row>
    <row r="830" spans="10:12" ht="21.6" thickBot="1">
      <c r="J830" s="2"/>
      <c r="K830" s="2"/>
      <c r="L830" s="2"/>
    </row>
    <row r="831" spans="10:12" ht="21.6" thickBot="1">
      <c r="J831" s="2"/>
      <c r="K831" s="2"/>
      <c r="L831" s="2"/>
    </row>
    <row r="832" spans="10:12" ht="21.6" thickBot="1">
      <c r="J832" s="2"/>
      <c r="K832" s="2"/>
      <c r="L832" s="2"/>
    </row>
    <row r="833" spans="10:12" ht="21.6" thickBot="1">
      <c r="J833" s="2"/>
      <c r="K833" s="2"/>
      <c r="L833" s="2"/>
    </row>
    <row r="834" spans="10:12" ht="21.6" thickBot="1">
      <c r="J834" s="2"/>
      <c r="K834" s="2"/>
      <c r="L834" s="2"/>
    </row>
    <row r="835" spans="10:12" ht="21.6" thickBot="1">
      <c r="J835" s="2"/>
      <c r="K835" s="2"/>
      <c r="L835" s="2"/>
    </row>
    <row r="836" spans="10:12" ht="21.6" thickBot="1">
      <c r="J836" s="2"/>
      <c r="K836" s="2"/>
      <c r="L836" s="2"/>
    </row>
    <row r="837" spans="10:12" ht="21.6" thickBot="1">
      <c r="J837" s="2"/>
      <c r="K837" s="2"/>
      <c r="L837" s="2"/>
    </row>
    <row r="838" spans="10:12" ht="21.6" thickBot="1">
      <c r="J838" s="2"/>
      <c r="K838" s="2"/>
      <c r="L838" s="2"/>
    </row>
    <row r="839" spans="10:12" ht="21.6" thickBot="1">
      <c r="J839" s="2"/>
      <c r="K839" s="2"/>
      <c r="L839" s="2"/>
    </row>
    <row r="840" spans="10:12" ht="21.6" thickBot="1">
      <c r="J840" s="2"/>
      <c r="K840" s="2"/>
      <c r="L840" s="2"/>
    </row>
    <row r="841" spans="10:12" ht="21.6" thickBot="1">
      <c r="J841" s="2"/>
      <c r="K841" s="2"/>
      <c r="L841" s="2"/>
    </row>
    <row r="842" spans="10:12" ht="21.6" thickBot="1">
      <c r="J842" s="2"/>
      <c r="K842" s="2"/>
      <c r="L842" s="2"/>
    </row>
    <row r="843" spans="10:12" ht="21.6" thickBot="1">
      <c r="J843" s="2"/>
      <c r="K843" s="2"/>
      <c r="L843" s="2"/>
    </row>
    <row r="844" spans="10:12" ht="21.6" thickBot="1">
      <c r="J844" s="2"/>
      <c r="K844" s="2"/>
      <c r="L844" s="2"/>
    </row>
    <row r="845" spans="10:12" ht="21.6" thickBot="1">
      <c r="J845" s="2"/>
      <c r="K845" s="2"/>
      <c r="L845" s="2"/>
    </row>
    <row r="846" spans="10:12" ht="21.6" thickBot="1">
      <c r="J846" s="2"/>
      <c r="K846" s="2"/>
      <c r="L846" s="2"/>
    </row>
    <row r="847" spans="10:12" ht="21.6" thickBot="1">
      <c r="J847" s="2"/>
      <c r="K847" s="2"/>
      <c r="L847" s="2"/>
    </row>
    <row r="848" spans="10:12" ht="21.6" thickBot="1">
      <c r="J848" s="2"/>
      <c r="K848" s="2"/>
      <c r="L848" s="2"/>
    </row>
    <row r="849" spans="10:12" ht="21.6" thickBot="1">
      <c r="J849" s="2"/>
      <c r="K849" s="2"/>
      <c r="L849" s="2"/>
    </row>
    <row r="850" spans="10:12" ht="21.6" thickBot="1">
      <c r="J850" s="2"/>
      <c r="K850" s="2"/>
      <c r="L850" s="2"/>
    </row>
    <row r="851" spans="10:12" ht="21.6" thickBot="1">
      <c r="J851" s="2"/>
      <c r="K851" s="2"/>
      <c r="L851" s="2"/>
    </row>
    <row r="852" spans="10:12" ht="21.6" thickBot="1">
      <c r="J852" s="2"/>
      <c r="K852" s="2"/>
      <c r="L852" s="2"/>
    </row>
    <row r="853" spans="10:12" ht="21.6" thickBot="1">
      <c r="J853" s="2"/>
      <c r="K853" s="2"/>
      <c r="L853" s="2"/>
    </row>
    <row r="854" spans="10:12" ht="21.6" thickBot="1">
      <c r="J854" s="2"/>
      <c r="K854" s="2"/>
      <c r="L854" s="2"/>
    </row>
    <row r="855" spans="10:12" ht="21.6" thickBot="1">
      <c r="J855" s="2"/>
      <c r="K855" s="2"/>
      <c r="L855" s="2"/>
    </row>
    <row r="856" spans="10:12" ht="21.6" thickBot="1">
      <c r="J856" s="2"/>
      <c r="K856" s="2"/>
      <c r="L856" s="2"/>
    </row>
    <row r="857" spans="10:12" ht="21.6" thickBot="1">
      <c r="J857" s="2"/>
      <c r="K857" s="2"/>
      <c r="L857" s="2"/>
    </row>
    <row r="858" spans="10:12" ht="21.6" thickBot="1">
      <c r="J858" s="2"/>
      <c r="K858" s="2"/>
      <c r="L858" s="2"/>
    </row>
    <row r="859" spans="10:12" ht="21.6" thickBot="1">
      <c r="J859" s="2"/>
      <c r="K859" s="2"/>
      <c r="L859" s="2"/>
    </row>
    <row r="860" spans="10:12" ht="21.6" thickBot="1">
      <c r="J860" s="2"/>
      <c r="K860" s="2"/>
      <c r="L860" s="2"/>
    </row>
    <row r="861" spans="10:12" ht="21.6" thickBot="1">
      <c r="J861" s="2"/>
      <c r="K861" s="2"/>
      <c r="L861" s="2"/>
    </row>
    <row r="862" spans="10:12" ht="21.6" thickBot="1">
      <c r="J862" s="2"/>
      <c r="K862" s="2"/>
      <c r="L862" s="2"/>
    </row>
    <row r="863" spans="10:12" ht="21.6" thickBot="1">
      <c r="J863" s="2"/>
      <c r="K863" s="2"/>
      <c r="L863" s="2"/>
    </row>
    <row r="864" spans="10:12" ht="21.6" thickBot="1">
      <c r="J864" s="2"/>
      <c r="K864" s="2"/>
      <c r="L864" s="2"/>
    </row>
    <row r="865" spans="10:12" ht="21.6" thickBot="1">
      <c r="J865" s="2"/>
      <c r="K865" s="2"/>
      <c r="L865" s="2"/>
    </row>
    <row r="866" spans="10:12" ht="21.6" thickBot="1">
      <c r="J866" s="2"/>
      <c r="K866" s="2"/>
      <c r="L866" s="2"/>
    </row>
    <row r="867" spans="10:12" ht="21.6" thickBot="1">
      <c r="J867" s="2"/>
      <c r="K867" s="2"/>
      <c r="L867" s="2"/>
    </row>
    <row r="868" spans="10:12" ht="21.6" thickBot="1">
      <c r="J868" s="2"/>
      <c r="K868" s="2"/>
      <c r="L868" s="2"/>
    </row>
    <row r="869" spans="10:12" ht="21.6" thickBot="1">
      <c r="J869" s="2"/>
      <c r="K869" s="2"/>
      <c r="L869" s="2"/>
    </row>
    <row r="870" spans="10:12" ht="21.6" thickBot="1">
      <c r="J870" s="2"/>
      <c r="K870" s="2"/>
      <c r="L870" s="2"/>
    </row>
    <row r="871" spans="10:12" ht="21.6" thickBot="1">
      <c r="J871" s="2"/>
      <c r="K871" s="2"/>
      <c r="L871" s="2"/>
    </row>
    <row r="872" spans="10:12" ht="21.6" thickBot="1">
      <c r="J872" s="2"/>
      <c r="K872" s="2"/>
      <c r="L872" s="2"/>
    </row>
    <row r="873" spans="10:12" ht="21.6" thickBot="1">
      <c r="J873" s="2"/>
      <c r="K873" s="2"/>
      <c r="L873" s="2"/>
    </row>
    <row r="874" spans="10:12" ht="21.6" thickBot="1">
      <c r="J874" s="2"/>
      <c r="K874" s="2"/>
      <c r="L874" s="2"/>
    </row>
    <row r="875" spans="10:12" ht="21.6" thickBot="1">
      <c r="J875" s="2"/>
      <c r="K875" s="2"/>
      <c r="L875" s="2"/>
    </row>
    <row r="876" spans="10:12" ht="21.6" thickBot="1">
      <c r="J876" s="2"/>
      <c r="K876" s="2"/>
      <c r="L876" s="2"/>
    </row>
    <row r="877" spans="10:12" ht="21.6" thickBot="1">
      <c r="J877" s="2"/>
      <c r="K877" s="2"/>
      <c r="L877" s="2"/>
    </row>
    <row r="878" spans="10:12" ht="21.6" thickBot="1">
      <c r="J878" s="2"/>
      <c r="K878" s="2"/>
      <c r="L878" s="2"/>
    </row>
    <row r="879" spans="10:12" ht="21.6" thickBot="1">
      <c r="J879" s="2"/>
      <c r="K879" s="2"/>
      <c r="L879" s="2"/>
    </row>
    <row r="880" spans="10:12" ht="21.6" thickBot="1">
      <c r="J880" s="2"/>
      <c r="K880" s="2"/>
      <c r="L880" s="2"/>
    </row>
    <row r="881" spans="10:12" ht="21.6" thickBot="1">
      <c r="J881" s="2"/>
      <c r="K881" s="2"/>
      <c r="L881" s="2"/>
    </row>
    <row r="882" spans="10:12" ht="21.6" thickBot="1">
      <c r="J882" s="2"/>
      <c r="K882" s="2"/>
      <c r="L882" s="2"/>
    </row>
    <row r="883" spans="10:12" ht="21.6" thickBot="1">
      <c r="J883" s="2"/>
      <c r="K883" s="2"/>
      <c r="L883" s="2"/>
    </row>
    <row r="884" spans="10:12" ht="21.6" thickBot="1">
      <c r="J884" s="2"/>
      <c r="K884" s="2"/>
      <c r="L884" s="2"/>
    </row>
    <row r="885" spans="10:12" ht="21.6" thickBot="1">
      <c r="J885" s="2"/>
      <c r="K885" s="2"/>
      <c r="L885" s="2"/>
    </row>
    <row r="886" spans="10:12" ht="21.6" thickBot="1">
      <c r="J886" s="2"/>
      <c r="K886" s="2"/>
      <c r="L886" s="2"/>
    </row>
    <row r="887" spans="10:12" ht="21.6" thickBot="1">
      <c r="J887" s="2"/>
      <c r="K887" s="2"/>
      <c r="L887" s="2"/>
    </row>
    <row r="888" spans="10:12" ht="21.6" thickBot="1">
      <c r="J888" s="2"/>
      <c r="K888" s="2"/>
      <c r="L888" s="2"/>
    </row>
    <row r="889" spans="10:12" ht="21.6" thickBot="1">
      <c r="J889" s="2"/>
      <c r="K889" s="2"/>
      <c r="L889" s="2"/>
    </row>
    <row r="890" spans="10:12" ht="21.6" thickBot="1">
      <c r="J890" s="2"/>
      <c r="K890" s="2"/>
      <c r="L890" s="2"/>
    </row>
    <row r="891" spans="10:12" ht="21.6" thickBot="1">
      <c r="J891" s="2"/>
      <c r="K891" s="2"/>
      <c r="L891" s="2"/>
    </row>
    <row r="892" spans="10:12" ht="21.6" thickBot="1">
      <c r="J892" s="2"/>
      <c r="K892" s="2"/>
      <c r="L892" s="2"/>
    </row>
    <row r="893" spans="10:12" ht="21.6" thickBot="1">
      <c r="J893" s="2"/>
      <c r="K893" s="2"/>
      <c r="L893" s="2"/>
    </row>
    <row r="894" spans="10:12" ht="21.6" thickBot="1">
      <c r="J894" s="2"/>
      <c r="K894" s="2"/>
      <c r="L894" s="2"/>
    </row>
    <row r="895" spans="10:12" ht="21.6" thickBot="1">
      <c r="J895" s="2"/>
      <c r="K895" s="2"/>
      <c r="L895" s="2"/>
    </row>
    <row r="896" spans="10:12" ht="21.6" thickBot="1">
      <c r="J896" s="2"/>
      <c r="K896" s="2"/>
      <c r="L896" s="2"/>
    </row>
    <row r="897" spans="10:12" ht="21.6" thickBot="1">
      <c r="J897" s="2"/>
      <c r="K897" s="2"/>
      <c r="L897" s="2"/>
    </row>
    <row r="898" spans="10:12" ht="21.6" thickBot="1">
      <c r="J898" s="2"/>
      <c r="K898" s="2"/>
      <c r="L898" s="2"/>
    </row>
    <row r="899" spans="10:12" ht="21.6" thickBot="1">
      <c r="J899" s="2"/>
      <c r="K899" s="2"/>
      <c r="L899" s="2"/>
    </row>
    <row r="900" spans="10:12" ht="21.6" thickBot="1">
      <c r="J900" s="2"/>
      <c r="K900" s="2"/>
      <c r="L900" s="2"/>
    </row>
    <row r="901" spans="10:12" ht="21.6" thickBot="1">
      <c r="J901" s="2"/>
      <c r="K901" s="2"/>
      <c r="L901" s="2"/>
    </row>
    <row r="902" spans="10:12" ht="21.6" thickBot="1">
      <c r="J902" s="2"/>
      <c r="K902" s="2"/>
      <c r="L902" s="2"/>
    </row>
    <row r="903" spans="10:12" ht="21.6" thickBot="1">
      <c r="J903" s="2"/>
      <c r="K903" s="2"/>
      <c r="L903" s="2"/>
    </row>
    <row r="904" spans="10:12" ht="21.6" thickBot="1">
      <c r="J904" s="2"/>
      <c r="K904" s="2"/>
      <c r="L904" s="2"/>
    </row>
    <row r="905" spans="10:12" ht="21.6" thickBot="1">
      <c r="J905" s="2"/>
      <c r="K905" s="2"/>
      <c r="L905" s="2"/>
    </row>
    <row r="906" spans="10:12" ht="21.6" thickBot="1">
      <c r="J906" s="2"/>
      <c r="K906" s="2"/>
      <c r="L906" s="2"/>
    </row>
    <row r="907" spans="10:12" ht="21.6" thickBot="1">
      <c r="J907" s="2"/>
      <c r="K907" s="2"/>
      <c r="L907" s="2"/>
    </row>
    <row r="908" spans="10:12" ht="21.6" thickBot="1">
      <c r="J908" s="2"/>
      <c r="K908" s="2"/>
      <c r="L908" s="2"/>
    </row>
    <row r="909" spans="10:12" ht="21.6" thickBot="1">
      <c r="J909" s="2"/>
      <c r="K909" s="2"/>
      <c r="L909" s="2"/>
    </row>
    <row r="910" spans="10:12" ht="21.6" thickBot="1">
      <c r="J910" s="2"/>
      <c r="K910" s="2"/>
      <c r="L910" s="2"/>
    </row>
    <row r="911" spans="10:12" ht="21.6" thickBot="1">
      <c r="J911" s="2"/>
      <c r="K911" s="2"/>
      <c r="L911" s="2"/>
    </row>
    <row r="912" spans="10:12" ht="21.6" thickBot="1">
      <c r="J912" s="2"/>
      <c r="K912" s="2"/>
      <c r="L912" s="2"/>
    </row>
    <row r="913" spans="10:12" ht="21.6" thickBot="1">
      <c r="J913" s="2"/>
      <c r="K913" s="2"/>
      <c r="L913" s="2"/>
    </row>
    <row r="914" spans="10:12" ht="21.6" thickBot="1">
      <c r="J914" s="2"/>
      <c r="K914" s="2"/>
      <c r="L914" s="2"/>
    </row>
    <row r="915" spans="10:12" ht="21.6" thickBot="1">
      <c r="J915" s="2"/>
      <c r="K915" s="2"/>
      <c r="L915" s="2"/>
    </row>
    <row r="916" spans="10:12" ht="21.6" thickBot="1">
      <c r="J916" s="2"/>
      <c r="K916" s="2"/>
      <c r="L916" s="2"/>
    </row>
    <row r="917" spans="10:12" ht="21.6" thickBot="1">
      <c r="J917" s="2"/>
      <c r="K917" s="2"/>
      <c r="L917" s="2"/>
    </row>
    <row r="918" spans="10:12" ht="21.6" thickBot="1">
      <c r="J918" s="2"/>
      <c r="K918" s="2"/>
      <c r="L918" s="2"/>
    </row>
    <row r="919" spans="10:12" ht="21.6" thickBot="1">
      <c r="J919" s="2"/>
      <c r="K919" s="2"/>
      <c r="L919" s="2"/>
    </row>
    <row r="920" spans="10:12" ht="21.6" thickBot="1">
      <c r="J920" s="2"/>
      <c r="K920" s="2"/>
      <c r="L920" s="2"/>
    </row>
    <row r="921" spans="10:12" ht="21.6" thickBot="1">
      <c r="J921" s="2"/>
      <c r="K921" s="2"/>
      <c r="L921" s="2"/>
    </row>
    <row r="922" spans="10:12" ht="21.6" thickBot="1">
      <c r="J922" s="2"/>
      <c r="K922" s="2"/>
      <c r="L922" s="2"/>
    </row>
    <row r="923" spans="10:12" ht="21.6" thickBot="1">
      <c r="J923" s="2"/>
      <c r="K923" s="2"/>
      <c r="L923" s="2"/>
    </row>
    <row r="924" spans="10:12" ht="21.6" thickBot="1">
      <c r="J924" s="2"/>
      <c r="K924" s="2"/>
      <c r="L924" s="2"/>
    </row>
    <row r="925" spans="10:12" ht="21.6" thickBot="1">
      <c r="J925" s="2"/>
      <c r="K925" s="2"/>
      <c r="L925" s="2"/>
    </row>
    <row r="926" spans="10:12" ht="21.6" thickBot="1">
      <c r="J926" s="2"/>
      <c r="K926" s="2"/>
      <c r="L926" s="2"/>
    </row>
    <row r="927" spans="10:12" ht="21.6" thickBot="1">
      <c r="J927" s="2"/>
      <c r="K927" s="2"/>
      <c r="L927" s="2"/>
    </row>
    <row r="928" spans="10:12" ht="21.6" thickBot="1">
      <c r="J928" s="2"/>
      <c r="K928" s="2"/>
      <c r="L928" s="2"/>
    </row>
    <row r="929" spans="10:12" ht="21.6" thickBot="1">
      <c r="J929" s="2"/>
      <c r="K929" s="2"/>
      <c r="L929" s="2"/>
    </row>
    <row r="930" spans="10:12" ht="21.6" thickBot="1">
      <c r="J930" s="2"/>
      <c r="K930" s="2"/>
      <c r="L930" s="2"/>
    </row>
    <row r="931" spans="10:12" ht="21.6" thickBot="1">
      <c r="J931" s="2"/>
      <c r="K931" s="2"/>
      <c r="L931" s="2"/>
    </row>
    <row r="932" spans="10:12" ht="21.6" thickBot="1">
      <c r="J932" s="2"/>
      <c r="K932" s="2"/>
      <c r="L932" s="2"/>
    </row>
    <row r="933" spans="10:12" ht="21.6" thickBot="1">
      <c r="J933" s="2"/>
      <c r="K933" s="2"/>
      <c r="L933" s="2"/>
    </row>
    <row r="934" spans="10:12" ht="21.6" thickBot="1">
      <c r="J934" s="2"/>
      <c r="K934" s="2"/>
      <c r="L934" s="2"/>
    </row>
    <row r="935" spans="10:12" ht="21.6" thickBot="1">
      <c r="J935" s="2"/>
      <c r="K935" s="2"/>
      <c r="L935" s="2"/>
    </row>
    <row r="936" spans="10:12" ht="21.6" thickBot="1">
      <c r="J936" s="2"/>
      <c r="K936" s="2"/>
      <c r="L936" s="2"/>
    </row>
    <row r="937" spans="10:12" ht="21.6" thickBot="1">
      <c r="J937" s="2"/>
      <c r="K937" s="2"/>
      <c r="L937" s="2"/>
    </row>
    <row r="938" spans="10:12" ht="21.6" thickBot="1">
      <c r="J938" s="2"/>
      <c r="K938" s="2"/>
      <c r="L938" s="2"/>
    </row>
    <row r="939" spans="10:12" ht="21.6" thickBot="1">
      <c r="J939" s="2"/>
      <c r="K939" s="2"/>
      <c r="L939" s="2"/>
    </row>
    <row r="940" spans="10:12" ht="21.6" thickBot="1">
      <c r="J940" s="2"/>
      <c r="K940" s="2"/>
      <c r="L940" s="2"/>
    </row>
    <row r="941" spans="10:12" ht="21.6" thickBot="1">
      <c r="J941" s="2"/>
      <c r="K941" s="2"/>
      <c r="L941" s="2"/>
    </row>
    <row r="942" spans="10:12" ht="21.6" thickBot="1">
      <c r="J942" s="2"/>
      <c r="K942" s="2"/>
      <c r="L942" s="2"/>
    </row>
    <row r="943" spans="10:12" ht="21.6" thickBot="1">
      <c r="J943" s="2"/>
      <c r="K943" s="2"/>
      <c r="L943" s="2"/>
    </row>
    <row r="944" spans="10:12" ht="21.6" thickBot="1">
      <c r="J944" s="2"/>
      <c r="K944" s="2"/>
      <c r="L944" s="2"/>
    </row>
    <row r="945" spans="10:12" ht="21.6" thickBot="1">
      <c r="J945" s="2"/>
      <c r="K945" s="2"/>
      <c r="L945" s="2"/>
    </row>
    <row r="946" spans="10:12" ht="21.6" thickBot="1">
      <c r="J946" s="2"/>
      <c r="K946" s="2"/>
      <c r="L946" s="2"/>
    </row>
    <row r="947" spans="10:12" ht="21.6" thickBot="1">
      <c r="J947" s="2"/>
      <c r="K947" s="2"/>
      <c r="L947" s="2"/>
    </row>
    <row r="948" spans="10:12" ht="21.6" thickBot="1">
      <c r="J948" s="2"/>
      <c r="K948" s="2"/>
      <c r="L948" s="2"/>
    </row>
    <row r="949" spans="10:12" ht="21.6" thickBot="1">
      <c r="J949" s="2"/>
      <c r="K949" s="2"/>
      <c r="L949" s="2"/>
    </row>
    <row r="950" spans="10:12" ht="21.6" thickBot="1">
      <c r="J950" s="2"/>
      <c r="K950" s="2"/>
      <c r="L950" s="2"/>
    </row>
    <row r="951" spans="10:12" ht="21.6" thickBot="1">
      <c r="J951" s="2"/>
      <c r="K951" s="2"/>
      <c r="L951" s="2"/>
    </row>
    <row r="952" spans="10:12" ht="21.6" thickBot="1">
      <c r="J952" s="2"/>
      <c r="K952" s="2"/>
      <c r="L952" s="2"/>
    </row>
    <row r="953" spans="10:12" ht="21.6" thickBot="1">
      <c r="J953" s="2"/>
      <c r="K953" s="2"/>
      <c r="L953" s="2"/>
    </row>
    <row r="954" spans="10:12" ht="21.6" thickBot="1">
      <c r="J954" s="2"/>
      <c r="K954" s="2"/>
      <c r="L954" s="2"/>
    </row>
    <row r="955" spans="10:12" ht="21.6" thickBot="1">
      <c r="J955" s="2"/>
      <c r="K955" s="2"/>
      <c r="L955" s="2"/>
    </row>
    <row r="956" spans="10:12" ht="21.6" thickBot="1">
      <c r="J956" s="2"/>
      <c r="K956" s="2"/>
      <c r="L956" s="2"/>
    </row>
    <row r="957" spans="10:12" ht="21.6" thickBot="1">
      <c r="J957" s="2"/>
      <c r="K957" s="2"/>
      <c r="L957" s="2"/>
    </row>
    <row r="958" spans="10:12" ht="21.6" thickBot="1">
      <c r="J958" s="2"/>
      <c r="K958" s="2"/>
      <c r="L958" s="2"/>
    </row>
    <row r="959" spans="10:12" ht="21.6" thickBot="1">
      <c r="J959" s="2"/>
      <c r="K959" s="2"/>
      <c r="L959" s="2"/>
    </row>
    <row r="960" spans="10:12" ht="21.6" thickBot="1">
      <c r="J960" s="2"/>
      <c r="K960" s="2"/>
      <c r="L960" s="2"/>
    </row>
    <row r="961" spans="10:12" ht="21.6" thickBot="1">
      <c r="J961" s="2"/>
      <c r="K961" s="2"/>
      <c r="L961" s="2"/>
    </row>
    <row r="962" spans="10:12" ht="21.6" thickBot="1">
      <c r="J962" s="2"/>
      <c r="K962" s="2"/>
      <c r="L962" s="2"/>
    </row>
    <row r="963" spans="10:12" ht="21.6" thickBot="1">
      <c r="J963" s="2"/>
      <c r="K963" s="2"/>
      <c r="L963" s="2"/>
    </row>
    <row r="964" spans="10:12" ht="21.6" thickBot="1">
      <c r="J964" s="2"/>
      <c r="K964" s="2"/>
      <c r="L964" s="2"/>
    </row>
    <row r="965" spans="10:12" ht="21.6" thickBot="1">
      <c r="J965" s="2"/>
      <c r="K965" s="2"/>
      <c r="L965" s="2"/>
    </row>
    <row r="966" spans="10:12" ht="21.6" thickBot="1">
      <c r="J966" s="2"/>
      <c r="K966" s="2"/>
      <c r="L966" s="2"/>
    </row>
    <row r="967" spans="10:12" ht="21.6" thickBot="1">
      <c r="J967" s="2"/>
      <c r="K967" s="2"/>
      <c r="L967" s="2"/>
    </row>
    <row r="968" spans="10:12" ht="21.6" thickBot="1">
      <c r="J968" s="2"/>
      <c r="K968" s="2"/>
      <c r="L968" s="2"/>
    </row>
    <row r="969" spans="10:12" ht="21.6" thickBot="1">
      <c r="J969" s="2"/>
      <c r="K969" s="2"/>
      <c r="L969" s="2"/>
    </row>
    <row r="970" spans="10:12" ht="21.6" thickBot="1">
      <c r="J970" s="2"/>
      <c r="K970" s="2"/>
      <c r="L970" s="2"/>
    </row>
    <row r="971" spans="10:12" ht="21.6" thickBot="1">
      <c r="J971" s="2"/>
      <c r="K971" s="2"/>
      <c r="L971" s="2"/>
    </row>
    <row r="972" spans="10:12" ht="21.6" thickBot="1">
      <c r="J972" s="2"/>
      <c r="K972" s="2"/>
      <c r="L972" s="2"/>
    </row>
    <row r="973" spans="10:12" ht="21.6" thickBot="1">
      <c r="J973" s="2"/>
      <c r="K973" s="2"/>
      <c r="L973" s="2"/>
    </row>
    <row r="974" spans="10:12" ht="21.6" thickBot="1">
      <c r="J974" s="2"/>
      <c r="K974" s="2"/>
      <c r="L974" s="2"/>
    </row>
    <row r="975" spans="10:12" ht="21.6" thickBot="1">
      <c r="J975" s="2"/>
      <c r="K975" s="2"/>
      <c r="L975" s="2"/>
    </row>
    <row r="976" spans="10:12" ht="21.6" thickBot="1">
      <c r="J976" s="2"/>
      <c r="K976" s="2"/>
      <c r="L976" s="2"/>
    </row>
    <row r="977" spans="10:12" ht="21.6" thickBot="1">
      <c r="J977" s="2"/>
      <c r="K977" s="2"/>
      <c r="L977" s="2"/>
    </row>
    <row r="978" spans="10:12" ht="21.6" thickBot="1">
      <c r="J978" s="2"/>
      <c r="K978" s="2"/>
      <c r="L978" s="2"/>
    </row>
    <row r="979" spans="10:12" ht="21.6" thickBot="1">
      <c r="J979" s="2"/>
      <c r="K979" s="2"/>
      <c r="L979" s="2"/>
    </row>
    <row r="980" spans="10:12" ht="21.6" thickBot="1">
      <c r="J980" s="2"/>
      <c r="K980" s="2"/>
      <c r="L980" s="2"/>
    </row>
    <row r="981" spans="10:12" ht="21.6" thickBot="1">
      <c r="J981" s="2"/>
      <c r="K981" s="2"/>
      <c r="L981" s="2"/>
    </row>
    <row r="982" spans="10:12" ht="21.6" thickBot="1">
      <c r="J982" s="2"/>
      <c r="K982" s="2"/>
      <c r="L982" s="2"/>
    </row>
    <row r="983" spans="10:12" ht="21.6" thickBot="1">
      <c r="J983" s="2"/>
      <c r="K983" s="2"/>
      <c r="L983" s="2"/>
    </row>
    <row r="984" spans="10:12" ht="21.6" thickBot="1">
      <c r="J984" s="2"/>
      <c r="K984" s="2"/>
      <c r="L984" s="2"/>
    </row>
    <row r="985" spans="10:12" ht="21.6" thickBot="1">
      <c r="J985" s="2"/>
      <c r="K985" s="2"/>
      <c r="L985" s="2"/>
    </row>
    <row r="986" spans="10:12" ht="21.6" thickBot="1">
      <c r="J986" s="2"/>
      <c r="K986" s="2"/>
      <c r="L986" s="2"/>
    </row>
    <row r="987" spans="10:12" ht="21.6" thickBot="1">
      <c r="J987" s="2"/>
      <c r="K987" s="2"/>
      <c r="L987" s="2"/>
    </row>
    <row r="988" spans="10:12" ht="21.6" thickBot="1">
      <c r="J988" s="2"/>
      <c r="K988" s="2"/>
      <c r="L988" s="2"/>
    </row>
    <row r="989" spans="10:12" ht="21.6" thickBot="1">
      <c r="J989" s="2"/>
      <c r="K989" s="2"/>
      <c r="L989" s="2"/>
    </row>
    <row r="990" spans="10:12" ht="21.6" thickBot="1">
      <c r="J990" s="2"/>
      <c r="K990" s="2"/>
      <c r="L990" s="2"/>
    </row>
    <row r="991" spans="10:12" ht="21.6" thickBot="1">
      <c r="J991" s="2"/>
      <c r="K991" s="2"/>
      <c r="L991" s="2"/>
    </row>
    <row r="992" spans="10:12" ht="21.6" thickBot="1">
      <c r="J992" s="2"/>
      <c r="K992" s="2"/>
      <c r="L992" s="2"/>
    </row>
    <row r="993" spans="10:12" ht="21.6" thickBot="1">
      <c r="J993" s="2"/>
      <c r="K993" s="2"/>
      <c r="L993" s="2"/>
    </row>
    <row r="994" spans="10:12" ht="21.6" thickBot="1">
      <c r="J994" s="2"/>
      <c r="K994" s="2"/>
      <c r="L994" s="2"/>
    </row>
    <row r="995" spans="10:12" ht="21.6" thickBot="1">
      <c r="J995" s="2"/>
      <c r="K995" s="2"/>
      <c r="L995" s="2"/>
    </row>
    <row r="996" spans="10:12" ht="21.6" thickBot="1">
      <c r="J996" s="2"/>
      <c r="K996" s="2"/>
      <c r="L996" s="2"/>
    </row>
    <row r="997" spans="10:12" ht="21.6" thickBot="1">
      <c r="J997" s="2"/>
      <c r="K997" s="2"/>
      <c r="L997" s="2"/>
    </row>
    <row r="998" spans="10:12" ht="21.6" thickBot="1">
      <c r="J998" s="2"/>
      <c r="K998" s="2"/>
      <c r="L998" s="2"/>
    </row>
    <row r="999" spans="10:12" ht="21.6" thickBot="1">
      <c r="J999" s="2"/>
      <c r="K999" s="2"/>
      <c r="L999" s="2"/>
    </row>
    <row r="1000" spans="10:12" ht="21.6" thickBot="1">
      <c r="J1000" s="2"/>
      <c r="K1000" s="2"/>
      <c r="L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6C64-69F4-4545-BE72-A6524BCDF0E8}">
  <dimension ref="A1:C5"/>
  <sheetViews>
    <sheetView workbookViewId="0">
      <selection activeCell="G9" sqref="G9"/>
    </sheetView>
  </sheetViews>
  <sheetFormatPr defaultRowHeight="13.9"/>
  <cols>
    <col min="3" max="3" width="12.25" customWidth="1"/>
  </cols>
  <sheetData>
    <row r="1" spans="1:3">
      <c r="A1" t="s">
        <v>0</v>
      </c>
      <c r="B1" t="s">
        <v>527</v>
      </c>
      <c r="C1" t="s">
        <v>528</v>
      </c>
    </row>
    <row r="2" spans="1:3">
      <c r="A2">
        <v>2026</v>
      </c>
      <c r="B2" t="s">
        <v>529</v>
      </c>
      <c r="C2">
        <f>SUM(Recruitment!AC:AC)</f>
        <v>890</v>
      </c>
    </row>
    <row r="3" spans="1:3">
      <c r="A3">
        <v>2026</v>
      </c>
      <c r="B3" t="s">
        <v>29</v>
      </c>
      <c r="C3">
        <f>SUM(Recruitment!AD:AD)</f>
        <v>31</v>
      </c>
    </row>
    <row r="4" spans="1:3">
      <c r="A4">
        <v>2026</v>
      </c>
      <c r="B4" t="s">
        <v>30</v>
      </c>
      <c r="C4">
        <f>SUM(Recruitment!AE:AE)</f>
        <v>11</v>
      </c>
    </row>
    <row r="5" spans="1:3">
      <c r="A5">
        <v>2026</v>
      </c>
      <c r="B5" t="s">
        <v>530</v>
      </c>
      <c r="C5">
        <f>SUM(Recruitment!AH:AH)</f>
        <v>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Kanchuda Loesphakdiborworn (Loesphakdiborworn Kanchuda)</cp:lastModifiedBy>
  <cp:revision/>
  <dcterms:created xsi:type="dcterms:W3CDTF">2026-02-03T04:52:40Z</dcterms:created>
  <dcterms:modified xsi:type="dcterms:W3CDTF">2026-07-17T04:08:48Z</dcterms:modified>
  <cp:category/>
  <cp:contentStatus/>
</cp:coreProperties>
</file>