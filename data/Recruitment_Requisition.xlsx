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688" documentId="8_{4185217D-4006-4629-AD3A-0737CE05813A}" xr6:coauthVersionLast="47" xr6:coauthVersionMax="47" xr10:uidLastSave="{87E59AC3-9731-4A98-AB00-90DF33F6F125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Recruitment!$D$133:$D$133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2" l="1"/>
  <c r="P125" i="2"/>
  <c r="Q125" i="2"/>
  <c r="B123" i="2"/>
  <c r="B124" i="2"/>
  <c r="N124" i="2"/>
  <c r="P124" i="2"/>
  <c r="Q124" i="2"/>
  <c r="N123" i="2"/>
  <c r="P123" i="2"/>
  <c r="Q123" i="2"/>
  <c r="B121" i="2"/>
  <c r="N121" i="2"/>
  <c r="P121" i="2"/>
  <c r="Q121" i="2"/>
  <c r="B120" i="2"/>
  <c r="B122" i="2"/>
  <c r="N122" i="2"/>
  <c r="P122" i="2"/>
  <c r="Q122" i="2"/>
  <c r="N120" i="2"/>
  <c r="P120" i="2"/>
  <c r="Q120" i="2"/>
  <c r="N118" i="2"/>
  <c r="B117" i="2"/>
  <c r="B118" i="2"/>
  <c r="B112" i="2"/>
  <c r="P118" i="2"/>
  <c r="Q118" i="2" s="1"/>
  <c r="N117" i="2"/>
  <c r="P117" i="2"/>
  <c r="Q117" i="2" s="1"/>
  <c r="P112" i="2"/>
  <c r="Q112" i="2" s="1"/>
  <c r="N112" i="2"/>
  <c r="B108" i="2"/>
  <c r="N108" i="2"/>
  <c r="P108" i="2"/>
  <c r="Q108" i="2" s="1"/>
  <c r="B119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9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9" i="2"/>
  <c r="Q119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7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8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19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<sst xmlns="http://schemas.openxmlformats.org/spreadsheetml/2006/main" count="1964" uniqueCount="622">
  <si>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</si>
  <si>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</si>
  <si>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</si>
  <si>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</si>
  <si>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</si>
  <si>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</si>
  <si>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</si>
  <si>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</si>
  <si>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</si>
  <si>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</si>
  <si>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</si>
  <si>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</si>
  <si>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</si>
  <si>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</si>
  <si>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</si>
  <si>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</si>
  <si>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</si>
  <si>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</si>
  <si>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</si>
  <si>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</si>
  <si>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</si>
  <si>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</si>
  <si>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</si>
  <si>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</si>
  <si>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</si>
  <si>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</si>
  <si>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</si>
  <si>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</si>
  <si>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</si>
  <si>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</si>
  <si>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</si>
  <si>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</si>
  <si>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</si>
  <si>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</si>
  <si>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</si>
  <si>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</si>
  <si>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</si>
  <si>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</si>
  <si>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</si>
  <si>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</si>
  <si>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</si>
  <si>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</si>
  <si>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</si>
  <si>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</si>
  <si>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</si>
  <si>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</si>
  <si>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</si>
  <si>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</si>
  <si>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</si>
  <si>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</si>
  <si>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</si>
  <si>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</si>
  <si>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</si>
  <si>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</si>
  <si>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</si>
  <si>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</si>
  <si>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</si>
  <si>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</si>
  <si>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</si>
  <si>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</si>
  <si>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</si>
  <si>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</si>
  <si>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</si>
  <si>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</si>
  <si>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</si>
  <si>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</si>
  <si>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</si>
  <si>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</si>
  <si>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</si>
  <si>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</si>
  <si>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</si>
  <si>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</si>
  <si>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</si>
  <si>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</si>
  <si>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</si>
  <si>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</si>
  <si>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</si>
  <si>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</si>
  <si>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</si>
  <si>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</si>
  <si>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</si>
  <si>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</si>
  <si>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</si>
  <si>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</si>
  <si>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</si>
  <si>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</si>
  <si>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</si>
  <si>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</si>
  <si>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</si>
  <si>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</si>
  <si>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</si>
  <si>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</si>
  <si>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</si>
  <si>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</si>
  <si>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</si>
  <si>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</si>
  <si>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</si>
  <si>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</si>
  <si>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</si>
  <si>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</si>
  <si>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</si>
  <si>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</si>
  <si>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</si>
  <si>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</si>
  <si>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</si>
  <si>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</si>
  <si>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</si>
  <si>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</si>
  <si>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</si>
  <si>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</si>
  <si>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</si>
  <si>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</si>
  <si>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</si>
  <si>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</si>
  <si>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</si>
  <si>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</si>
  <si>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</si>
  <si>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</si>
  <si>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</si>
  <si>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</si>
  <si>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</si>
  <si>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</si>
  <si>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</si>
  <si>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</si>
  <si>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</si>
  <si>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</si>
  <si>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</si>
  <si>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</si>
  <si>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</si>
  <si>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</si>
  <si>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</si>
  <si>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</si>
  <si>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</si>
  <si>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</si>
  <si>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</si>
  <si>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</si>
  <si>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</si>
  <si>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</si>
  <si>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</si>
  <si>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</si>
  <si>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</si>
  <si>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</si>
  <si>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</si>
  <si>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</si>
  <si>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</si>
  <si>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</si>
  <si>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</si>
  <si>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</si>
  <si>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</si>
  <si>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</si>
  <si>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</si>
  <si>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</si>
  <si>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</si>
  <si>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</si>
  <si>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</si>
  <si>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</si>
  <si>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</si>
  <si>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</si>
  <si>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</si>
  <si>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</si>
  <si>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</si>
  <si>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</si>
  <si>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</si>
  <si>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</si>
  <si>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</si>
  <si>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</si>
  <si>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</si>
  <si>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</si>
  <si>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</si>
  <si>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</si>
  <si>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</si>
  <si>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</si>
  <si>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</si>
  <si>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</si>
  <si>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</si>
  <si>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</si>
  <si>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</si>
  <si>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</si>
  <si>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</si>
  <si>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</si>
  <si>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</si>
  <si>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</si>
  <si>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</si>
  <si>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</si>
  <si>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</si>
  <si>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</si>
  <si>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</si>
  <si>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</si>
  <si>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</si>
  <si>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</si>
  <si>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</si>
  <si>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</si>
  <si>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</si>
  <si>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</si>
  <si>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</si>
  <si>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</si>
  <si>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</si>
  <si>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</si>
  <si>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</si>
  <si>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</si>
  <si>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</si>
  <si>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</si>
  <si>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</si>
  <si>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ณิชาภัทร นิลระหัด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</si>
  <si>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</si>
  <si>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</si>
  <si>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</si>
  <si>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</si>
  <si>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</si>
  <si>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</si>
  <si>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</si>
  <si>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</si>
  <si>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</si>
  <si>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</si>
  <si>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</si>
  <si>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</si>
  <si>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</si>
  <si>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</si>
  <si>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</si>
  <si>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</si>
  <si>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</si>
  <si>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</si>
  <si>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</si>
  <si>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</si>
  <si>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</si>
  <si>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ณฐกร จันทรัตน์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</si>
  <si>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</si>
  <si>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</si>
  <si>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</si>
  <si>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</si>
  <si>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</si>
  <si>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</si>
  <si>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</si>
  <si>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</si>
  <si>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</si>
  <si>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</si>
  <si>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</si>
  <si>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</si>
  <si>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</si>
  <si>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</si>
  <si>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</si>
  <si>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</si>
  <si>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</si>
  <si>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</si>
  <si>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</si>
  <si>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</si>
  <si>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</si>
  <si>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</si>
  <si>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</si>
  <si>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</si>
  <si>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</si>
  <si>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</si>
  <si>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</si>
  <si>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</si>
  <si>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</si>
  <si>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</si>
  <si>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</si>
  <si>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</si>
  <si>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</si>
  <si>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</si>
  <si>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</si>
  <si>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</si>
  <si>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</si>
  <si>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</si>
  <si>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</si>
  <si>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</si>
  <si>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</si>
  <si>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</si>
  <si>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</si>
  <si>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</si>
  <si>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</si>
  <si>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</si>
  <si>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</si>
  <si>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</si>
  <si>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</si>
  <si>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</si>
  <si>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</si>
  <si>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</si>
  <si>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</si>
  <si>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</si>
  <si>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</si>
  <si>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</si>
  <si>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</si>
  <si>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</si>
  <si>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</si>
  <si>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</si>
  <si>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</si>
  <si>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</si>
  <si>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ัฐ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</si>
  <si>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</si>
  <si>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</si>
  <si>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</si>
  <si>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</si>
  <si>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</si>
  <si>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</si>
  <si>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</si>
  <si>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</si>
  <si>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</si>
  <si>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</si>
  <si>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</si>
  <si>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</si>
  <si>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</si>
  <si>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</si>
  <si>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</si>
  <si>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</si>
  <si>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</si>
  <si>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</si>
  <si>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</si>
  <si>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</si>
  <si>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</si>
  <si>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</si>
  <si>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</si>
  <si>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</si>
  <si>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</si>
  <si>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Under Review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</si>
  <si>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</si>
  <si>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</si>
  <si>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</si>
  <si>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</si>
  <si>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</si>
  <si>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</si>
  <si>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</si>
  <si>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</si>
  <si>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</si>
  <si>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Assistant- Soil &amp; Water Business</t>
  </si>
  <si>
    <t>Electrical Engineer</t>
  </si>
  <si>
    <t>Managing Director Office -1</t>
  </si>
  <si>
    <t>Soil &amp; Water Business</t>
  </si>
  <si>
    <t>Wait to Join</t>
  </si>
  <si>
    <t>Nov,1 2026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</si>
  <si>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</si>
  <si>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</si>
  <si>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</si>
  <si>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</si>
  <si>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</si>
  <si>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</si>
  <si>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</si>
  <si>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</si>
  <si>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</si>
  <si>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</si>
  <si>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</si>
  <si>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</si>
  <si>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</si>
  <si>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</si>
  <si>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</si>
  <si>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</si>
  <si>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</si>
  <si>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</si>
  <si>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</si>
  <si>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</si>
  <si>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</si>
  <si>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</si>
  <si>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</si>
  <si>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</si>
  <si>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</si>
  <si>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</si>
  <si>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</si>
  <si>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</si>
  <si>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</si>
  <si>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</si>
  <si>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</si>
  <si>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</si>
  <si>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</si>
  <si>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</si>
  <si>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</si>
  <si>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</si>
  <si>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</si>
  <si>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</si>
  <si>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</si>
  <si>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วิภาวี ชัยนนถี</t>
  </si>
  <si>
    <t>Communication Strategy</t>
  </si>
  <si>
    <t>Domestic Communication - Tractor</t>
  </si>
  <si>
    <t>ณอัญดา เกสรวิบูลย์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</si>
  <si>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</si>
  <si>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</si>
  <si>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</si>
  <si>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</si>
  <si>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</si>
  <si>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</si>
  <si>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</si>
  <si>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</si>
  <si>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</si>
  <si>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นรภัทร ม่วงมูลตรี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</si>
  <si>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</si>
  <si>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</si>
  <si>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</si>
  <si>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</si>
  <si>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มี Lot นึง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</si>
  <si>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</si>
  <si>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</si>
  <si>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</si>
  <si>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</si>
  <si>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</si>
  <si>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</si>
  <si>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</si>
  <si>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</si>
  <si>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</si>
  <si>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</si>
  <si>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</si>
  <si>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</si>
  <si>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</si>
  <si>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Accountant-Budget Mgt</t>
  </si>
  <si>
    <t>Accountant(Budget Management)</t>
  </si>
  <si>
    <t>Cost Accounting and Budgeting Department</t>
  </si>
  <si>
    <t>Budget Management</t>
  </si>
  <si>
    <t>Screening</t>
  </si>
  <si>
    <t>ณิชชารีย์ พลประสิทธิ์</t>
  </si>
  <si>
    <t>ไฟนอลวันที่ 13/8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</si>
  <si>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</si>
  <si>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</si>
  <si>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</si>
  <si>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</si>
  <si>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</si>
  <si>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</si>
  <si>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</si>
  <si>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Final Interview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</si>
  <si>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</si>
  <si>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</si>
  <si>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</si>
  <si>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</si>
  <si>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HR Officer (HRD)</t>
  </si>
  <si>
    <t>ปิติวัฒน์ ชาเหลา</t>
  </si>
  <si>
    <t>https://kubotagroup.sharepoint.com/:x:/r/sites/SKC-0AAFVK4bNBX3wUk9PVA/_layouts/15/Doc.aspx?sourcedoc=%7B8C40DCBD-1BE4-452E-B0EB-31CF0431A242%7D&amp;file=HRD_Job%20Description%20Form%20-%20(FM-015-051%20(Rev.03).xlsx&amp;action=default&amp;mobileredirect=true</t>
  </si>
  <si>
    <t>Sales Engineer</t>
  </si>
  <si>
    <t>รอโยกย้ายคนจาก SKL</t>
  </si>
  <si>
    <t>Sub&gt;R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</si>
  <si>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</si>
  <si>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</si>
  <si>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</si>
  <si>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</si>
  <si>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</si>
  <si>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</si>
  <si>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</si>
  <si>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</si>
  <si>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</si>
  <si>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</si>
  <si>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</si>
  <si>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</si>
  <si>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</si>
  <si>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</si>
  <si>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</si>
  <si>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</si>
  <si>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</si>
  <si>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</si>
  <si>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</si>
  <si>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</si>
  <si>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</si>
  <si>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</si>
  <si>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</si>
  <si>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</si>
  <si>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</si>
  <si>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</si>
  <si>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</si>
  <si>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</si>
  <si>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</si>
  <si>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</si>
  <si>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</si>
  <si>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</si>
  <si>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</si>
  <si>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</si>
  <si>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</si>
  <si>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</si>
  <si>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</si>
  <si>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</si>
  <si>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</si>
  <si>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</si>
  <si>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</si>
  <si>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</si>
  <si>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</si>
  <si>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</si>
  <si>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</si>
  <si>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</si>
  <si>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</si>
  <si>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</si>
  <si>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</si>
  <si>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</si>
  <si>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</si>
  <si>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</si>
  <si>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</si>
  <si>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</si>
  <si>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</si>
  <si>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</si>
  <si>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</si>
  <si>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</si>
  <si>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</si>
  <si>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</si>
  <si>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</si>
  <si>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</si>
  <si>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</si>
  <si>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</si>
  <si>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</si>
  <si>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</si>
  <si>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</si>
  <si>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</si>
  <si>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</si>
  <si>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</si>
  <si>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</si>
  <si>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Business Support Department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</si>
  <si>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</si>
  <si>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</si>
  <si>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</si>
  <si>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</si>
  <si>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</si>
  <si>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</si>
  <si>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</si>
  <si>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</si>
  <si>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</si>
  <si>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</si>
  <si>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</si>
  <si>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</si>
  <si>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</si>
  <si>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</si>
  <si>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</si>
  <si>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</si>
  <si>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</si>
  <si>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</si>
  <si>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</si>
  <si>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</si>
  <si>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</si>
  <si>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</si>
  <si>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</si>
  <si>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</si>
  <si>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</si>
  <si>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</si>
  <si>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</si>
  <si>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</si>
  <si>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</si>
  <si>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</si>
  <si>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</si>
  <si>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</si>
  <si>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</si>
  <si>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</si>
  <si>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</si>
  <si>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</si>
  <si>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</si>
  <si>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</si>
  <si>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</si>
  <si>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</si>
  <si>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</si>
  <si>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</si>
  <si>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</si>
  <si>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</si>
  <si>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</si>
  <si>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</si>
  <si>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</si>
  <si>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</si>
  <si>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</si>
  <si>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</si>
  <si>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</si>
  <si>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</si>
  <si>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</si>
  <si>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</si>
  <si>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</si>
  <si>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</si>
  <si>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</si>
  <si>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</si>
  <si>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</si>
  <si>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</si>
  <si>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Products Innovation Business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</si>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</sst>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0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0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6" fillId="2" borderId="20" xfId="2" applyFill="1" applyBorder="1" applyAlignment="1">
      <alignment horizontal="left" vertical="top"/>
    </xf>
    <xf numFmtId="0" fontId="7" fillId="2" borderId="3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left" vertical="center"/>
    </xf>
    <xf numFmtId="0" fontId="12" fillId="2" borderId="6" xfId="0" applyFont="1" applyFill="1" applyBorder="1" applyAlignment="1">
      <alignment horizontal="left" vertical="center" wrapText="1"/>
    </xf>
    <xf numFmtId="0" fontId="12" fillId="2" borderId="6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 wrapText="1"/>
    </xf>
    <xf numFmtId="190" fontId="7" fillId="2" borderId="2" xfId="0" applyNumberFormat="1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 wrapText="1"/>
    </xf>
    <xf numFmtId="187" fontId="7" fillId="2" borderId="2" xfId="1" applyNumberFormat="1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6" fillId="2" borderId="4" xfId="2" applyFill="1" applyBorder="1" applyAlignment="1">
      <alignment horizontal="left" vertical="center"/>
    </xf>
    <xf numFmtId="0" fontId="7" fillId="8" borderId="6" xfId="0" applyFont="1" applyFill="1" applyBorder="1" applyAlignment="1">
      <alignment horizontal="left" vertical="top"/>
    </xf>
    <xf numFmtId="0" fontId="7" fillId="8" borderId="6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top" wrapText="1"/>
    </xf>
    <xf numFmtId="0" fontId="7" fillId="2" borderId="2" xfId="0" applyFont="1" applyFill="1" applyBorder="1" applyAlignment="1">
      <alignment horizontal="left" vertical="top"/>
    </xf>
    <xf numFmtId="188" fontId="7" fillId="2" borderId="2" xfId="0" applyNumberFormat="1" applyFont="1" applyFill="1" applyBorder="1" applyAlignment="1">
      <alignment horizontal="left" vertical="top" wrapText="1"/>
    </xf>
    <xf numFmtId="14" fontId="7" fillId="2" borderId="2" xfId="0" applyNumberFormat="1" applyFont="1" applyFill="1" applyBorder="1" applyAlignment="1">
      <alignment horizontal="left" vertical="top" wrapText="1"/>
    </xf>
    <xf numFmtId="190" fontId="7" fillId="2" borderId="2" xfId="0" applyNumberFormat="1" applyFont="1" applyFill="1" applyBorder="1" applyAlignment="1">
      <alignment horizontal="left" vertical="top"/>
    </xf>
    <xf numFmtId="14" fontId="7" fillId="2" borderId="2" xfId="0" applyNumberFormat="1" applyFont="1" applyFill="1" applyBorder="1" applyAlignment="1">
      <alignment horizontal="left" vertical="top"/>
    </xf>
    <xf numFmtId="187" fontId="7" fillId="2" borderId="2" xfId="1" applyNumberFormat="1" applyFont="1" applyFill="1" applyBorder="1" applyAlignment="1">
      <alignment horizontal="left" vertical="top"/>
    </xf>
    <xf numFmtId="0" fontId="7" fillId="2" borderId="4" xfId="0" applyFont="1" applyFill="1" applyBorder="1" applyAlignment="1">
      <alignment horizontal="left" vertical="top"/>
    </xf>
    <xf numFmtId="0" fontId="20" fillId="9" borderId="23" xfId="0" applyFont="1" applyFill="1" applyBorder="1" applyAlignment="1">
      <alignment horizontal="center" readingOrder="1"/>
    </xf>
    <xf numFmtId="0" fontId="20" fillId="9" borderId="24" xfId="0" applyFont="1" applyFill="1" applyBorder="1" applyAlignment="1">
      <alignment horizontal="center" readingOrder="1"/>
    </xf>
    <xf numFmtId="0" fontId="20" fillId="9" borderId="15" xfId="0" applyFont="1" applyFill="1" applyBorder="1" applyAlignment="1">
      <alignment horizontal="center" readingOrder="1"/>
    </xf>
    <xf numFmtId="0" fontId="20" fillId="9" borderId="21" xfId="0" applyFont="1" applyFill="1" applyBorder="1" applyAlignment="1">
      <alignment readingOrder="1"/>
    </xf>
    <xf numFmtId="0" fontId="20" fillId="9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9" borderId="17" xfId="0" applyFont="1" applyFill="1" applyBorder="1" applyAlignment="1">
      <alignment readingOrder="1"/>
    </xf>
    <xf numFmtId="0" fontId="20" fillId="9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5" totalsRowShown="0" headerRowDxfId="53" dataDxfId="52" tableBorderDxfId="51">
  <autoFilter ref="A1:AI125" xr:uid="{2A626EEB-FDFE-42FC-817A-963B6C771FE3}">
    <filterColumn colId="23">
      <filters>
        <filter val="Under Review"/>
      </filters>
    </filterColumn>
  </autoFilter>
  <sortState xmlns:xlrd2="http://schemas.microsoft.com/office/spreadsheetml/2017/richdata2" ref="A2:AI122">
    <sortCondition descending="1" ref="L1:L122"/>
  </sortState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hyperlink" Target="https://kubotagroup.sharepoint.com/:x:/r/sites/SKC-0AAFVK4bNBX3wUk9PVA/_layouts/15/Doc.aspx?sourcedoc=%7B8C40DCBD-1BE4-452E-B0EB-31CF0431A242%7D&amp;file=HRD_Job%20Description%20Form%20-%20(FM-015-051%20(Rev.03).xlsx&amp;action=default&amp;mobileredirect=true" TargetMode="Externa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5" Type="http://schemas.openxmlformats.org/officeDocument/2006/relationships/hyperlink" Target="https://superrecruit.jobtopgun.com/SERC?view=jobpostPreview&amp;idPosition=863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Relationship Id="rId1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5"/>
  <sheetViews>
    <sheetView tabSelected="1" topLeftCell="R87" workbookViewId="0">
      <selection activeCell="X101" sqref="X101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3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89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07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58">
        <v>16672</v>
      </c>
      <c r="V31" s="158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402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 t="s">
        <v>203</v>
      </c>
      <c r="W48" s="10">
        <v>46143</v>
      </c>
      <c r="X48" s="12" t="s">
        <v>118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 t="s">
        <v>225</v>
      </c>
      <c r="W58" s="10"/>
      <c r="X58" s="12" t="s">
        <v>151</v>
      </c>
      <c r="Y58" s="12"/>
      <c r="Z58" s="30" t="s">
        <v>226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227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228</v>
      </c>
      <c r="F60" s="13" t="s">
        <v>87</v>
      </c>
      <c r="G60" s="13" t="s">
        <v>99</v>
      </c>
      <c r="H60" s="13" t="s">
        <v>229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230</v>
      </c>
      <c r="F61" s="13" t="s">
        <v>128</v>
      </c>
      <c r="G61" s="13" t="s">
        <v>231</v>
      </c>
      <c r="H61" s="13" t="s">
        <v>232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233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customHeight="1">
      <c r="A63" s="46">
        <v>2025</v>
      </c>
      <c r="B63" s="19" t="str">
        <f t="shared" si="2"/>
        <v>Apr</v>
      </c>
      <c r="C63" s="19" t="s">
        <v>45</v>
      </c>
      <c r="D63" s="19" t="s">
        <v>234</v>
      </c>
      <c r="E63" s="13" t="s">
        <v>234</v>
      </c>
      <c r="F63" s="13" t="s">
        <v>174</v>
      </c>
      <c r="G63" s="13" t="s">
        <v>235</v>
      </c>
      <c r="H63" s="13" t="s">
        <v>236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customHeight="1">
      <c r="A64" s="46">
        <v>2025</v>
      </c>
      <c r="B64" s="19" t="str">
        <f t="shared" si="2"/>
        <v>Apr</v>
      </c>
      <c r="C64" s="19" t="s">
        <v>35</v>
      </c>
      <c r="D64" s="19" t="s">
        <v>237</v>
      </c>
      <c r="E64" s="13" t="s">
        <v>238</v>
      </c>
      <c r="F64" s="13" t="s">
        <v>87</v>
      </c>
      <c r="G64" s="13" t="s">
        <v>239</v>
      </c>
      <c r="H64" s="13" t="s">
        <v>240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customHeight="1">
      <c r="A65" s="46">
        <v>2025</v>
      </c>
      <c r="B65" s="19" t="str">
        <f t="shared" si="2"/>
        <v>Apr</v>
      </c>
      <c r="C65" s="19" t="s">
        <v>35</v>
      </c>
      <c r="D65" s="19" t="s">
        <v>241</v>
      </c>
      <c r="E65" s="13" t="s">
        <v>242</v>
      </c>
      <c r="F65" s="13" t="s">
        <v>61</v>
      </c>
      <c r="G65" s="13" t="s">
        <v>243</v>
      </c>
      <c r="H65" s="13" t="s">
        <v>229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244</v>
      </c>
      <c r="E66" s="13" t="s">
        <v>244</v>
      </c>
      <c r="F66" s="13" t="s">
        <v>48</v>
      </c>
      <c r="G66" s="13" t="s">
        <v>97</v>
      </c>
      <c r="H66" s="13" t="s">
        <v>245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customHeight="1">
      <c r="A67" s="46">
        <v>2025</v>
      </c>
      <c r="B67" s="19" t="str">
        <f t="shared" si="4"/>
        <v>Apr</v>
      </c>
      <c r="C67" s="19" t="s">
        <v>35</v>
      </c>
      <c r="D67" s="19" t="s">
        <v>246</v>
      </c>
      <c r="E67" s="13" t="s">
        <v>247</v>
      </c>
      <c r="F67" s="13" t="s">
        <v>87</v>
      </c>
      <c r="G67" s="13" t="s">
        <v>99</v>
      </c>
      <c r="H67" s="13" t="s">
        <v>229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customHeight="1">
      <c r="A68" s="46">
        <v>2025</v>
      </c>
      <c r="B68" s="19" t="str">
        <f t="shared" si="4"/>
        <v>Apr</v>
      </c>
      <c r="C68" s="19" t="s">
        <v>35</v>
      </c>
      <c r="D68" s="19" t="s">
        <v>248</v>
      </c>
      <c r="E68" s="13" t="s">
        <v>249</v>
      </c>
      <c r="F68" s="13" t="s">
        <v>61</v>
      </c>
      <c r="G68" s="13" t="s">
        <v>94</v>
      </c>
      <c r="H68" s="13" t="s">
        <v>250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251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344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252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customHeight="1">
      <c r="A71" s="46">
        <v>2025</v>
      </c>
      <c r="B71" s="19" t="str">
        <f t="shared" si="4"/>
        <v>May</v>
      </c>
      <c r="C71" s="19" t="s">
        <v>35</v>
      </c>
      <c r="D71" s="19" t="s">
        <v>253</v>
      </c>
      <c r="E71" s="13" t="s">
        <v>254</v>
      </c>
      <c r="F71" s="13" t="s">
        <v>90</v>
      </c>
      <c r="G71" s="13" t="s">
        <v>160</v>
      </c>
      <c r="H71" s="13" t="s">
        <v>253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255</v>
      </c>
      <c r="F72" s="13" t="s">
        <v>61</v>
      </c>
      <c r="G72" s="13" t="s">
        <v>104</v>
      </c>
      <c r="H72" s="13" t="s">
        <v>256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customHeight="1">
      <c r="A73" s="46">
        <v>2025</v>
      </c>
      <c r="B73" s="19" t="str">
        <f t="shared" si="4"/>
        <v>May</v>
      </c>
      <c r="C73" s="19" t="s">
        <v>35</v>
      </c>
      <c r="D73" s="19" t="s">
        <v>257</v>
      </c>
      <c r="E73" s="13" t="s">
        <v>258</v>
      </c>
      <c r="F73" s="13" t="s">
        <v>38</v>
      </c>
      <c r="G73" s="13" t="s">
        <v>259</v>
      </c>
      <c r="H73" s="13" t="s">
        <v>258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customHeight="1">
      <c r="A74" s="46">
        <v>2025</v>
      </c>
      <c r="B74" s="19" t="str">
        <f t="shared" si="4"/>
        <v>May</v>
      </c>
      <c r="C74" s="19" t="s">
        <v>35</v>
      </c>
      <c r="D74" s="19" t="s">
        <v>260</v>
      </c>
      <c r="E74" s="13" t="s">
        <v>260</v>
      </c>
      <c r="F74" s="13" t="s">
        <v>87</v>
      </c>
      <c r="G74" s="13" t="s">
        <v>106</v>
      </c>
      <c r="H74" s="13" t="s">
        <v>261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262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customHeight="1">
      <c r="A76" s="46">
        <v>2025</v>
      </c>
      <c r="B76" s="19" t="str">
        <f t="shared" si="4"/>
        <v>Jun</v>
      </c>
      <c r="C76" s="19" t="s">
        <v>35</v>
      </c>
      <c r="D76" s="19" t="s">
        <v>263</v>
      </c>
      <c r="E76" s="16" t="s">
        <v>263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56"/>
      <c r="V76" s="156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264</v>
      </c>
      <c r="F77" s="17" t="s">
        <v>186</v>
      </c>
      <c r="G77" s="17" t="s">
        <v>265</v>
      </c>
      <c r="H77" s="17" t="s">
        <v>266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1">
        <v>16715</v>
      </c>
      <c r="V77" s="159" t="s">
        <v>267</v>
      </c>
      <c r="W77" s="155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customHeight="1">
      <c r="A78" s="46">
        <v>2025</v>
      </c>
      <c r="B78" s="19" t="str">
        <f t="shared" si="4"/>
        <v>Jun</v>
      </c>
      <c r="C78" s="19" t="s">
        <v>35</v>
      </c>
      <c r="D78" s="20" t="s">
        <v>268</v>
      </c>
      <c r="E78" s="12" t="s">
        <v>268</v>
      </c>
      <c r="F78" s="12" t="s">
        <v>48</v>
      </c>
      <c r="G78" s="12" t="s">
        <v>269</v>
      </c>
      <c r="H78" s="12" t="s">
        <v>270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57"/>
      <c r="V78" s="157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customHeight="1">
      <c r="A79" s="46">
        <v>2025</v>
      </c>
      <c r="B79" s="19" t="str">
        <f t="shared" si="4"/>
        <v>Jun</v>
      </c>
      <c r="C79" s="19" t="s">
        <v>35</v>
      </c>
      <c r="D79" s="20" t="s">
        <v>271</v>
      </c>
      <c r="E79" s="12" t="s">
        <v>271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58">
        <v>16697</v>
      </c>
      <c r="V79" s="158" t="s">
        <v>272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273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customHeight="1">
      <c r="A82" s="46">
        <v>2025</v>
      </c>
      <c r="B82" s="19" t="str">
        <f t="shared" si="4"/>
        <v>Jul</v>
      </c>
      <c r="C82" s="19" t="s">
        <v>35</v>
      </c>
      <c r="D82" s="21" t="s">
        <v>274</v>
      </c>
      <c r="E82" s="18" t="s">
        <v>83</v>
      </c>
      <c r="F82" s="18" t="s">
        <v>178</v>
      </c>
      <c r="G82" s="18" t="s">
        <v>275</v>
      </c>
      <c r="H82" s="18" t="s">
        <v>276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customHeight="1">
      <c r="A83" s="46">
        <v>2025</v>
      </c>
      <c r="B83" s="19" t="str">
        <f t="shared" si="4"/>
        <v>Jul</v>
      </c>
      <c r="C83" s="19" t="s">
        <v>35</v>
      </c>
      <c r="D83" s="21" t="s">
        <v>277</v>
      </c>
      <c r="E83" s="18" t="s">
        <v>277</v>
      </c>
      <c r="F83" s="18" t="s">
        <v>90</v>
      </c>
      <c r="G83" s="18" t="s">
        <v>91</v>
      </c>
      <c r="H83" s="18" t="s">
        <v>278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customHeight="1">
      <c r="A84" s="46">
        <v>2025</v>
      </c>
      <c r="B84" s="19" t="str">
        <f t="shared" si="4"/>
        <v>Jul</v>
      </c>
      <c r="C84" s="19" t="s">
        <v>35</v>
      </c>
      <c r="D84" s="19" t="s">
        <v>279</v>
      </c>
      <c r="E84" s="16" t="s">
        <v>279</v>
      </c>
      <c r="F84" s="17" t="s">
        <v>61</v>
      </c>
      <c r="G84" s="17" t="s">
        <v>62</v>
      </c>
      <c r="H84" s="17" t="s">
        <v>280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customHeight="1">
      <c r="A85" s="46">
        <v>2025</v>
      </c>
      <c r="B85" s="19" t="str">
        <f t="shared" si="4"/>
        <v>Jul</v>
      </c>
      <c r="C85" s="19" t="s">
        <v>35</v>
      </c>
      <c r="D85" s="19" t="s">
        <v>260</v>
      </c>
      <c r="E85" s="16" t="s">
        <v>260</v>
      </c>
      <c r="F85" s="17" t="s">
        <v>87</v>
      </c>
      <c r="G85" s="17" t="s">
        <v>106</v>
      </c>
      <c r="H85" s="17" t="s">
        <v>261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customHeight="1">
      <c r="A86" s="46">
        <v>2025</v>
      </c>
      <c r="B86" s="19" t="str">
        <f t="shared" si="4"/>
        <v>Aug</v>
      </c>
      <c r="C86" s="19" t="s">
        <v>35</v>
      </c>
      <c r="D86" s="21" t="s">
        <v>281</v>
      </c>
      <c r="E86" s="18" t="s">
        <v>281</v>
      </c>
      <c r="F86" s="18" t="s">
        <v>38</v>
      </c>
      <c r="G86" s="18" t="s">
        <v>282</v>
      </c>
      <c r="H86" s="18" t="s">
        <v>283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0">
        <v>16722</v>
      </c>
      <c r="V86" s="160" t="s">
        <v>284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customHeight="1">
      <c r="A88" s="46">
        <v>2025</v>
      </c>
      <c r="B88" s="19" t="str">
        <f t="shared" si="4"/>
        <v>Aug</v>
      </c>
      <c r="C88" s="19" t="s">
        <v>35</v>
      </c>
      <c r="D88" s="19" t="s">
        <v>277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customHeight="1">
      <c r="A89" s="46">
        <v>2025</v>
      </c>
      <c r="B89" s="19" t="str">
        <f t="shared" si="4"/>
        <v>Aug</v>
      </c>
      <c r="C89" s="19" t="s">
        <v>35</v>
      </c>
      <c r="D89" s="19" t="s">
        <v>285</v>
      </c>
      <c r="E89" s="16" t="s">
        <v>285</v>
      </c>
      <c r="F89" s="17" t="s">
        <v>66</v>
      </c>
      <c r="G89" s="17" t="s">
        <v>286</v>
      </c>
      <c r="H89" s="17" t="s">
        <v>287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customHeight="1">
      <c r="A90" s="46">
        <v>2025</v>
      </c>
      <c r="B90" s="19" t="str">
        <f t="shared" si="4"/>
        <v>Aug</v>
      </c>
      <c r="C90" s="19" t="s">
        <v>35</v>
      </c>
      <c r="D90" s="21" t="s">
        <v>285</v>
      </c>
      <c r="E90" s="18" t="s">
        <v>285</v>
      </c>
      <c r="F90" s="18" t="s">
        <v>66</v>
      </c>
      <c r="G90" s="18" t="s">
        <v>286</v>
      </c>
      <c r="H90" s="18" t="s">
        <v>287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 t="s">
        <v>288</v>
      </c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customHeight="1">
      <c r="A91" s="46">
        <v>2025</v>
      </c>
      <c r="B91" s="19" t="str">
        <f t="shared" si="4"/>
        <v>Sep</v>
      </c>
      <c r="C91" s="19" t="s">
        <v>35</v>
      </c>
      <c r="D91" s="21" t="s">
        <v>289</v>
      </c>
      <c r="E91" s="18" t="s">
        <v>289</v>
      </c>
      <c r="F91" s="18" t="s">
        <v>48</v>
      </c>
      <c r="G91" s="18"/>
      <c r="H91" s="18" t="s">
        <v>290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customHeight="1">
      <c r="A92" s="46">
        <v>2025</v>
      </c>
      <c r="B92" s="19" t="str">
        <f t="shared" si="4"/>
        <v>Sep</v>
      </c>
      <c r="C92" s="19" t="s">
        <v>35</v>
      </c>
      <c r="D92" s="21" t="s">
        <v>271</v>
      </c>
      <c r="E92" s="18" t="s">
        <v>271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257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291</v>
      </c>
      <c r="F93" s="18" t="s">
        <v>147</v>
      </c>
      <c r="G93" s="18" t="s">
        <v>292</v>
      </c>
      <c r="H93" s="18" t="s">
        <v>293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294</v>
      </c>
      <c r="F94" s="17" t="s">
        <v>61</v>
      </c>
      <c r="G94" s="17" t="s">
        <v>104</v>
      </c>
      <c r="H94" s="17" t="s">
        <v>256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customHeight="1">
      <c r="A95" s="46">
        <v>2025</v>
      </c>
      <c r="B95" s="19" t="str">
        <f t="shared" si="4"/>
        <v>Oct</v>
      </c>
      <c r="C95" s="19" t="s">
        <v>35</v>
      </c>
      <c r="D95" s="19" t="s">
        <v>295</v>
      </c>
      <c r="E95" s="16" t="s">
        <v>296</v>
      </c>
      <c r="F95" s="17" t="s">
        <v>297</v>
      </c>
      <c r="G95" s="17" t="s">
        <v>298</v>
      </c>
      <c r="H95" s="17" t="s">
        <v>299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customHeight="1">
      <c r="A96" s="46">
        <v>2025</v>
      </c>
      <c r="B96" s="19" t="str">
        <f t="shared" si="4"/>
        <v>Oct</v>
      </c>
      <c r="C96" s="19" t="s">
        <v>35</v>
      </c>
      <c r="D96" s="21" t="s">
        <v>300</v>
      </c>
      <c r="E96" s="18" t="s">
        <v>301</v>
      </c>
      <c r="F96" s="18" t="s">
        <v>302</v>
      </c>
      <c r="G96" s="18" t="s">
        <v>303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232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customHeight="1">
      <c r="A97" s="46">
        <v>2025</v>
      </c>
      <c r="B97" s="19" t="str">
        <f t="shared" si="4"/>
        <v>Oct</v>
      </c>
      <c r="C97" s="19" t="s">
        <v>35</v>
      </c>
      <c r="D97" s="19" t="s">
        <v>304</v>
      </c>
      <c r="E97" s="16" t="s">
        <v>304</v>
      </c>
      <c r="F97" s="17" t="s">
        <v>178</v>
      </c>
      <c r="G97" s="17" t="s">
        <v>305</v>
      </c>
      <c r="H97" s="17" t="s">
        <v>306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232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customHeight="1">
      <c r="A98" s="46">
        <v>2025</v>
      </c>
      <c r="B98" s="19" t="str">
        <f t="shared" si="4"/>
        <v>Oct</v>
      </c>
      <c r="C98" s="19" t="s">
        <v>35</v>
      </c>
      <c r="D98" s="21" t="s">
        <v>307</v>
      </c>
      <c r="E98" s="18" t="s">
        <v>116</v>
      </c>
      <c r="F98" s="18" t="s">
        <v>178</v>
      </c>
      <c r="G98" s="18" t="s">
        <v>308</v>
      </c>
      <c r="H98" s="18" t="s">
        <v>309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10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251</v>
      </c>
      <c r="H99" s="53" t="s">
        <v>310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311</v>
      </c>
      <c r="U99" s="53"/>
      <c r="V99" s="108" t="s">
        <v>312</v>
      </c>
      <c r="W99" s="53" t="s">
        <v>313</v>
      </c>
      <c r="X99" s="53" t="s">
        <v>314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315</v>
      </c>
      <c r="E100" s="59" t="s">
        <v>315</v>
      </c>
      <c r="F100" s="60" t="s">
        <v>111</v>
      </c>
      <c r="G100" s="59" t="s">
        <v>316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317</v>
      </c>
      <c r="U100" s="59"/>
      <c r="V100" s="109" t="s">
        <v>318</v>
      </c>
      <c r="W100" s="53" t="s">
        <v>319</v>
      </c>
      <c r="X100" s="59" t="s">
        <v>314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320</v>
      </c>
      <c r="E101" s="60" t="s">
        <v>320</v>
      </c>
      <c r="F101" s="60" t="s">
        <v>48</v>
      </c>
      <c r="G101" s="60" t="s">
        <v>269</v>
      </c>
      <c r="H101" s="60" t="s">
        <v>321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0" t="s">
        <v>322</v>
      </c>
      <c r="W101" s="53" t="s">
        <v>323</v>
      </c>
      <c r="X101" s="60" t="s">
        <v>118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54</v>
      </c>
      <c r="D102" s="60" t="s">
        <v>324</v>
      </c>
      <c r="E102" s="60" t="s">
        <v>325</v>
      </c>
      <c r="F102" s="60" t="s">
        <v>326</v>
      </c>
      <c r="G102" s="60" t="s">
        <v>57</v>
      </c>
      <c r="H102" s="60" t="s">
        <v>327</v>
      </c>
      <c r="I102" s="59" t="s">
        <v>41</v>
      </c>
      <c r="J102" s="59" t="s">
        <v>83</v>
      </c>
      <c r="L102" s="59" t="s">
        <v>328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0"/>
      <c r="W102" s="154" t="s">
        <v>329</v>
      </c>
      <c r="X102" s="60" t="s">
        <v>330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331</v>
      </c>
      <c r="E103" s="60" t="s">
        <v>331</v>
      </c>
      <c r="F103" s="60" t="s">
        <v>302</v>
      </c>
      <c r="G103" s="59" t="s">
        <v>332</v>
      </c>
      <c r="H103" s="60" t="s">
        <v>333</v>
      </c>
      <c r="I103" s="59" t="s">
        <v>51</v>
      </c>
      <c r="J103" s="59" t="s">
        <v>42</v>
      </c>
      <c r="K103" s="60" t="s">
        <v>334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335</v>
      </c>
      <c r="U103" s="60"/>
      <c r="V103" s="110" t="s">
        <v>336</v>
      </c>
      <c r="W103" s="60" t="s">
        <v>337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244</v>
      </c>
      <c r="E104" s="60" t="s">
        <v>244</v>
      </c>
      <c r="F104" s="60" t="s">
        <v>48</v>
      </c>
      <c r="G104" s="60" t="s">
        <v>97</v>
      </c>
      <c r="H104" s="60" t="s">
        <v>338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0" t="s">
        <v>339</v>
      </c>
      <c r="W104" s="60" t="s">
        <v>340</v>
      </c>
      <c r="X104" s="60" t="s">
        <v>314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320</v>
      </c>
      <c r="E105" s="60" t="s">
        <v>320</v>
      </c>
      <c r="F105" s="60" t="s">
        <v>48</v>
      </c>
      <c r="G105" s="60" t="s">
        <v>269</v>
      </c>
      <c r="H105" s="60" t="s">
        <v>321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0" t="s">
        <v>341</v>
      </c>
      <c r="W105" s="60" t="s">
        <v>323</v>
      </c>
      <c r="X105" s="60" t="s">
        <v>314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342</v>
      </c>
      <c r="E106" s="60" t="s">
        <v>343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344</v>
      </c>
      <c r="V106" s="110" t="s">
        <v>345</v>
      </c>
      <c r="W106" s="60" t="s">
        <v>346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253</v>
      </c>
      <c r="E107" s="60" t="s">
        <v>253</v>
      </c>
      <c r="F107" s="60" t="s">
        <v>347</v>
      </c>
      <c r="G107" s="60" t="s">
        <v>160</v>
      </c>
      <c r="H107" s="60" t="s">
        <v>348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349</v>
      </c>
      <c r="U107" s="60">
        <v>16749</v>
      </c>
      <c r="V107" s="110" t="s">
        <v>350</v>
      </c>
      <c r="W107" s="60" t="s">
        <v>337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351</v>
      </c>
      <c r="E108" s="60" t="s">
        <v>351</v>
      </c>
      <c r="F108" s="60" t="s">
        <v>302</v>
      </c>
      <c r="G108" s="60" t="s">
        <v>332</v>
      </c>
      <c r="H108" s="60" t="s">
        <v>352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353</v>
      </c>
      <c r="S108" s="60">
        <v>16269</v>
      </c>
      <c r="T108" s="60" t="s">
        <v>354</v>
      </c>
      <c r="U108" s="60"/>
      <c r="V108" s="110" t="s">
        <v>355</v>
      </c>
      <c r="W108" s="60" t="s">
        <v>319</v>
      </c>
      <c r="X108" s="60" t="s">
        <v>118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255</v>
      </c>
      <c r="F109" s="60" t="s">
        <v>61</v>
      </c>
      <c r="G109" s="60" t="s">
        <v>104</v>
      </c>
      <c r="H109" s="60" t="s">
        <v>356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357</v>
      </c>
      <c r="T109" s="60" t="s">
        <v>358</v>
      </c>
      <c r="U109" s="60"/>
      <c r="V109" s="110" t="s">
        <v>359</v>
      </c>
      <c r="W109" s="60" t="s">
        <v>360</v>
      </c>
      <c r="X109" s="60" t="s">
        <v>314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361</v>
      </c>
      <c r="E110" s="60" t="s">
        <v>362</v>
      </c>
      <c r="F110" s="60" t="s">
        <v>87</v>
      </c>
      <c r="G110" s="60" t="s">
        <v>106</v>
      </c>
      <c r="H110" s="60" t="s">
        <v>363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353</v>
      </c>
      <c r="S110" s="60">
        <v>15917</v>
      </c>
      <c r="T110" s="60" t="s">
        <v>364</v>
      </c>
      <c r="U110" s="60"/>
      <c r="V110" s="110" t="s">
        <v>365</v>
      </c>
      <c r="W110" s="60" t="s">
        <v>366</v>
      </c>
      <c r="X110" s="60" t="s">
        <v>314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367</v>
      </c>
    </row>
    <row r="111" spans="1:35" s="65" customFormat="1" ht="30" customHeight="1">
      <c r="A111" s="66">
        <v>2026</v>
      </c>
      <c r="B111" s="53" t="str">
        <f>IF(M111="", "", TEXT(M111, "[$-en-US]mmm"))</f>
        <v>May</v>
      </c>
      <c r="C111" s="59" t="s">
        <v>35</v>
      </c>
      <c r="D111" s="70" t="s">
        <v>368</v>
      </c>
      <c r="E111" s="70" t="s">
        <v>368</v>
      </c>
      <c r="F111" s="70" t="s">
        <v>87</v>
      </c>
      <c r="G111" s="70" t="s">
        <v>106</v>
      </c>
      <c r="H111" s="70" t="s">
        <v>261</v>
      </c>
      <c r="I111" s="71" t="s">
        <v>41</v>
      </c>
      <c r="J111" s="59" t="s">
        <v>42</v>
      </c>
      <c r="K111" s="60" t="s">
        <v>52</v>
      </c>
      <c r="L111" s="71" t="s">
        <v>328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ca="1">IF(P111="",                                                                                                                                                                                                   "",
   IF(OR(I111="O-General",                                                                                                                                                                                                   I111="S-General"),
      IF(P111&lt;=30,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IF(I111="S-Special",
         IF(P111&lt;=45,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1" s="71"/>
      <c r="S111" s="70"/>
      <c r="T111" s="70"/>
      <c r="U111" s="70">
        <v>15880</v>
      </c>
      <c r="V111" s="111" t="s">
        <v>369</v>
      </c>
      <c r="W111" s="70"/>
      <c r="X111" s="70" t="s">
        <v>330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165">
        <v>2026</v>
      </c>
      <c r="B112" s="166" t="str">
        <f>IF(M112="", "", TEXT(M112, "[$-en-US]mmm"))</f>
        <v>Jul</v>
      </c>
      <c r="C112" s="167" t="s">
        <v>35</v>
      </c>
      <c r="D112" s="169" t="s">
        <v>370</v>
      </c>
      <c r="E112" s="169" t="s">
        <v>370</v>
      </c>
      <c r="F112" s="169" t="s">
        <v>90</v>
      </c>
      <c r="G112" s="60" t="s">
        <v>160</v>
      </c>
      <c r="H112" s="169" t="s">
        <v>371</v>
      </c>
      <c r="I112" s="167" t="s">
        <v>41</v>
      </c>
      <c r="J112" s="167" t="s">
        <v>42</v>
      </c>
      <c r="K112" s="169" t="s">
        <v>52</v>
      </c>
      <c r="L112" s="96" t="s">
        <v>328</v>
      </c>
      <c r="M112" s="98">
        <v>46226</v>
      </c>
      <c r="N112" s="17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2" s="173">
        <v>46266</v>
      </c>
      <c r="P112" s="167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2" s="167" t="str">
        <f ca="1">IF(P112="",                                                                                                                                                                                                   "",
   IF(OR(I112="O-General",                                                                                                                                                                                                   I112="S-General"),
      IF(P112&lt;=30,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IF(I112="S-Special",
         IF(P112&lt;=45,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2" s="167" t="s">
        <v>353</v>
      </c>
      <c r="S112" s="169">
        <v>15880</v>
      </c>
      <c r="T112" s="169"/>
      <c r="U112" s="169"/>
      <c r="V112" s="174" t="s">
        <v>372</v>
      </c>
      <c r="W112" s="173">
        <v>46296</v>
      </c>
      <c r="X112" s="169" t="s">
        <v>330</v>
      </c>
      <c r="Y112" s="175"/>
      <c r="Z112" s="167"/>
      <c r="AA112" s="167" t="s">
        <v>373</v>
      </c>
      <c r="AB112" s="176" t="s">
        <v>374</v>
      </c>
      <c r="AC112" s="177"/>
      <c r="AD112" s="177"/>
      <c r="AE112" s="177"/>
      <c r="AF112" s="103"/>
      <c r="AG112" s="103"/>
      <c r="AH112" s="178"/>
      <c r="AI112" s="179" t="s">
        <v>375</v>
      </c>
    </row>
    <row r="113" spans="1:35" s="65" customFormat="1" ht="30" customHeight="1">
      <c r="A113" s="66">
        <v>2026</v>
      </c>
      <c r="B113" s="53" t="str">
        <f>IF(M113="", "", TEXT(M113, "[$-en-US]mmm"))</f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43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ca="1">IF(P113="",                                                                                                                                                                                                   "",
   IF(OR(I113="O-General",                                                                                                                                                                                                   I113="S-General"),
      IF(P113&lt;=30,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IF(I113="S-Special",
         IF(P113&lt;=45,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3" s="71"/>
      <c r="S113" s="70">
        <v>16700</v>
      </c>
      <c r="T113" s="70"/>
      <c r="U113" s="70"/>
      <c r="V113" s="111" t="s">
        <v>376</v>
      </c>
      <c r="W113" s="154" t="s">
        <v>377</v>
      </c>
      <c r="X113" s="70" t="s">
        <v>330</v>
      </c>
      <c r="Y113" s="74"/>
      <c r="Z113" s="71" t="s">
        <v>221</v>
      </c>
      <c r="AA113" s="70"/>
      <c r="AB113" s="71" t="s">
        <v>378</v>
      </c>
      <c r="AC113" s="75"/>
      <c r="AD113" s="75"/>
      <c r="AE113" s="75"/>
      <c r="AF113" s="67"/>
      <c r="AG113" s="67"/>
      <c r="AH113" s="76"/>
      <c r="AI113" s="69" t="s">
        <v>379</v>
      </c>
    </row>
    <row r="114" spans="1:35" s="65" customFormat="1" ht="30" customHeight="1">
      <c r="A114" s="66">
        <v>2026</v>
      </c>
      <c r="B114" s="53" t="str">
        <f>IF(M114="", "", TEXT(M114, "[$-en-US]mmm"))</f>
        <v>Jun</v>
      </c>
      <c r="C114" s="59" t="s">
        <v>35</v>
      </c>
      <c r="D114" s="70" t="s">
        <v>380</v>
      </c>
      <c r="E114" s="70" t="s">
        <v>380</v>
      </c>
      <c r="F114" s="70" t="s">
        <v>178</v>
      </c>
      <c r="G114" s="70" t="s">
        <v>305</v>
      </c>
      <c r="H114" s="70" t="s">
        <v>381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ca="1">IF(P114="",                                                                                                                                                                                                   "",
   IF(OR(I114="O-General",                                                                                                                                                                                                   I114="S-General"),
      IF(P114&lt;=30,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IF(I114="S-Special",
         IF(P114&lt;=45,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4" s="71"/>
      <c r="S114" s="70">
        <v>15889</v>
      </c>
      <c r="T114" s="70"/>
      <c r="U114" s="70"/>
      <c r="V114" s="111" t="s">
        <v>382</v>
      </c>
      <c r="W114" s="70"/>
      <c r="X114" s="70" t="s">
        <v>314</v>
      </c>
      <c r="Y114" s="74"/>
      <c r="Z114" s="71" t="s">
        <v>164</v>
      </c>
      <c r="AA114" s="70"/>
      <c r="AB114" s="70" t="s">
        <v>383</v>
      </c>
      <c r="AC114" s="75"/>
      <c r="AD114" s="75"/>
      <c r="AE114" s="75"/>
      <c r="AF114" s="67"/>
      <c r="AG114" s="67"/>
      <c r="AH114" s="76"/>
      <c r="AI114" s="45" t="s">
        <v>384</v>
      </c>
    </row>
    <row r="115" spans="1:35" s="65" customFormat="1" ht="30" customHeight="1">
      <c r="A115" s="66">
        <v>2026</v>
      </c>
      <c r="B115" s="53" t="str">
        <f>IF(M115="", "", TEXT(M115, "[$-en-US]mmm"))</f>
        <v>Jun</v>
      </c>
      <c r="C115" s="59" t="s">
        <v>35</v>
      </c>
      <c r="D115" s="70" t="s">
        <v>385</v>
      </c>
      <c r="E115" s="70" t="s">
        <v>385</v>
      </c>
      <c r="F115" s="70" t="s">
        <v>302</v>
      </c>
      <c r="G115" s="70" t="s">
        <v>303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ca="1">IF(P115="",                                                                                                                                                                                                   "",
   IF(OR(I115="O-General",                                                                                                                                                                                                   I115="S-General"),
      IF(P115&lt;=30,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IF(I115="S-Special",
         IF(P115&lt;=45,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5" s="71"/>
      <c r="S115" s="70">
        <v>16266</v>
      </c>
      <c r="T115" s="70"/>
      <c r="U115" s="76"/>
      <c r="V115" s="114" t="s">
        <v>386</v>
      </c>
      <c r="W115" s="116"/>
      <c r="X115" s="70" t="s">
        <v>151</v>
      </c>
      <c r="Y115" s="74"/>
      <c r="Z115" s="71" t="s">
        <v>221</v>
      </c>
      <c r="AA115" s="70"/>
      <c r="AB115" s="60" t="s">
        <v>387</v>
      </c>
      <c r="AC115" s="75"/>
      <c r="AD115" s="75"/>
      <c r="AE115" s="75"/>
      <c r="AF115" s="67"/>
      <c r="AG115" s="67"/>
      <c r="AH115" s="76"/>
      <c r="AI115" s="45" t="s">
        <v>388</v>
      </c>
    </row>
    <row r="116" spans="1:35" s="76" customFormat="1" ht="30" customHeight="1">
      <c r="A116" s="66">
        <v>2026</v>
      </c>
      <c r="B116" s="53" t="str">
        <f>IF(M116="", "", TEXT(M116, "[$-en-US]mmm"))</f>
        <v>Jun</v>
      </c>
      <c r="C116" s="71" t="s">
        <v>35</v>
      </c>
      <c r="D116" s="70" t="s">
        <v>268</v>
      </c>
      <c r="E116" s="70" t="s">
        <v>268</v>
      </c>
      <c r="F116" s="70" t="s">
        <v>48</v>
      </c>
      <c r="G116" s="70" t="s">
        <v>269</v>
      </c>
      <c r="H116" s="70" t="s">
        <v>389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ca="1">IF(P116="",                                                                                                                                                                                                   "",
   IF(OR(I116="O-General",                                                                                                                                                                                                   I116="S-General"),
      IF(P116&lt;=30,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IF(I116="S-Special",
         IF(P116&lt;=45,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6" s="71" t="s">
        <v>151</v>
      </c>
      <c r="S116" s="70">
        <v>16404</v>
      </c>
      <c r="T116" s="70"/>
      <c r="V116" s="115" t="s">
        <v>390</v>
      </c>
      <c r="W116" s="66" t="s">
        <v>360</v>
      </c>
      <c r="X116" s="70" t="s">
        <v>314</v>
      </c>
      <c r="Y116" s="74"/>
      <c r="Z116" s="71" t="s">
        <v>221</v>
      </c>
      <c r="AA116" s="70"/>
      <c r="AB116" s="60" t="s">
        <v>387</v>
      </c>
      <c r="AC116" s="75"/>
      <c r="AD116" s="75"/>
      <c r="AE116" s="75"/>
      <c r="AF116" s="67"/>
      <c r="AG116" s="67"/>
      <c r="AI116" s="77" t="s">
        <v>391</v>
      </c>
    </row>
    <row r="117" spans="1:35" s="105" customFormat="1" ht="30" customHeight="1">
      <c r="A117" s="95">
        <v>2026</v>
      </c>
      <c r="B117" s="96" t="str">
        <f>IF(M117="", "", TEXT(M117, "[$-en-US]mmm"))</f>
        <v>Jun</v>
      </c>
      <c r="C117" s="96" t="s">
        <v>35</v>
      </c>
      <c r="D117" s="97" t="s">
        <v>331</v>
      </c>
      <c r="E117" s="97" t="s">
        <v>331</v>
      </c>
      <c r="F117" s="97" t="s">
        <v>302</v>
      </c>
      <c r="G117" s="170" t="s">
        <v>332</v>
      </c>
      <c r="H117" s="171" t="s">
        <v>333</v>
      </c>
      <c r="I117" s="96" t="s">
        <v>51</v>
      </c>
      <c r="J117" s="96" t="s">
        <v>42</v>
      </c>
      <c r="K117" s="97" t="s">
        <v>114</v>
      </c>
      <c r="L117" s="96" t="s">
        <v>43</v>
      </c>
      <c r="M117" s="98">
        <v>46203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7" s="100">
        <v>46245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7" s="96" t="str">
        <f ca="1">IF(P117="",                                                                                                                                                                                                   "",
   IF(OR(I117="O-General",                                                                                                                                                                                                   I117="S-General"),
      IF(P117&lt;=30,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IF(I117="S-Special",
         IF(P117&lt;=45,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17" s="96" t="s">
        <v>151</v>
      </c>
      <c r="S117" s="97">
        <v>16748</v>
      </c>
      <c r="T117" s="97" t="s">
        <v>336</v>
      </c>
      <c r="U117" s="97"/>
      <c r="V117" s="112" t="s">
        <v>392</v>
      </c>
      <c r="W117" s="100">
        <v>46281</v>
      </c>
      <c r="X117" s="97" t="s">
        <v>330</v>
      </c>
      <c r="Y117" s="101"/>
      <c r="Z117" s="96"/>
      <c r="AA117" s="97"/>
      <c r="AB117" s="97" t="s">
        <v>393</v>
      </c>
      <c r="AC117" s="102"/>
      <c r="AD117" s="102"/>
      <c r="AE117" s="102"/>
      <c r="AF117" s="103"/>
      <c r="AG117" s="103"/>
      <c r="AH117" s="104"/>
      <c r="AI117" s="106" t="s">
        <v>394</v>
      </c>
    </row>
    <row r="118" spans="1:35" s="105" customFormat="1" ht="30" customHeight="1">
      <c r="A118" s="95">
        <v>2026</v>
      </c>
      <c r="B118" s="96" t="str">
        <f>IF(M118="", "", TEXT(M118, "[$-en-US]mmm"))</f>
        <v>Jun</v>
      </c>
      <c r="C118" s="96" t="s">
        <v>35</v>
      </c>
      <c r="D118" s="97" t="s">
        <v>46</v>
      </c>
      <c r="E118" s="97" t="s">
        <v>395</v>
      </c>
      <c r="F118" s="97" t="s">
        <v>61</v>
      </c>
      <c r="G118" s="169" t="s">
        <v>104</v>
      </c>
      <c r="H118" s="169" t="s">
        <v>396</v>
      </c>
      <c r="I118" s="96" t="s">
        <v>41</v>
      </c>
      <c r="J118" s="96" t="s">
        <v>42</v>
      </c>
      <c r="K118" s="97"/>
      <c r="L118" s="96" t="s">
        <v>43</v>
      </c>
      <c r="M118" s="98">
        <v>46182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8" s="100">
        <v>46248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8" s="96" t="str">
        <f ca="1">IF(P118="",                                                                                                                                                                                                   "",
   IF(OR(I118="O-General",                                                                                                                                                                                                   I118="S-General"),
      IF(P118&lt;=30,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IF(I118="S-Special",
         IF(P118&lt;=45,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8" s="96" t="s">
        <v>353</v>
      </c>
      <c r="S118" s="97">
        <v>15647</v>
      </c>
      <c r="T118" s="97" t="s">
        <v>397</v>
      </c>
      <c r="U118" s="97"/>
      <c r="V118" s="112" t="s">
        <v>398</v>
      </c>
      <c r="W118" s="100">
        <v>46281</v>
      </c>
      <c r="X118" s="97" t="s">
        <v>330</v>
      </c>
      <c r="Y118" s="101"/>
      <c r="Z118" s="96"/>
      <c r="AA118" s="97"/>
      <c r="AB118" s="96" t="s">
        <v>399</v>
      </c>
      <c r="AC118" s="102"/>
      <c r="AD118" s="102"/>
      <c r="AE118" s="102"/>
      <c r="AF118" s="103"/>
      <c r="AG118" s="103"/>
      <c r="AH118" s="104"/>
      <c r="AI118" s="106" t="s">
        <v>400</v>
      </c>
    </row>
    <row r="119" spans="1:35" s="105" customFormat="1" ht="30" customHeight="1">
      <c r="A119" s="116">
        <v>2026</v>
      </c>
      <c r="B119" s="71" t="str">
        <f>IF(M119="", "", TEXT(M119, "[$-en-US]mmm"))</f>
        <v>Jun</v>
      </c>
      <c r="C119" s="71" t="s">
        <v>35</v>
      </c>
      <c r="D119" s="168" t="s">
        <v>401</v>
      </c>
      <c r="E119" s="70" t="s">
        <v>402</v>
      </c>
      <c r="F119" s="70" t="s">
        <v>111</v>
      </c>
      <c r="G119" s="70" t="s">
        <v>403</v>
      </c>
      <c r="H119" s="70" t="s">
        <v>404</v>
      </c>
      <c r="I119" s="71" t="s">
        <v>51</v>
      </c>
      <c r="J119" s="71" t="s">
        <v>42</v>
      </c>
      <c r="K119" s="70" t="s">
        <v>52</v>
      </c>
      <c r="L119" s="71" t="s">
        <v>405</v>
      </c>
      <c r="M119" s="72">
        <v>46182</v>
      </c>
      <c r="N119" s="73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9" s="74"/>
      <c r="P119" s="71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78</v>
      </c>
      <c r="Q119" s="71" t="str">
        <f ca="1">IF(P119="",                                                                                                                                                                                                   "",
   IF(OR(I119="O-General",                                                                                                                                                                                                   I119="S-General"),
      IF(P119&lt;=30,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IF(I119="S-Special",
         IF(P119&lt;=45,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119" s="71" t="s">
        <v>151</v>
      </c>
      <c r="S119" s="70">
        <v>16124</v>
      </c>
      <c r="T119" s="70" t="s">
        <v>406</v>
      </c>
      <c r="U119" s="70"/>
      <c r="V119" s="111"/>
      <c r="W119" s="70"/>
      <c r="X119" s="70" t="s">
        <v>330</v>
      </c>
      <c r="Y119" s="74"/>
      <c r="Z119" s="71"/>
      <c r="AA119" s="70" t="s">
        <v>407</v>
      </c>
      <c r="AB119" s="70" t="s">
        <v>387</v>
      </c>
      <c r="AC119" s="75"/>
      <c r="AD119" s="75"/>
      <c r="AE119" s="75"/>
      <c r="AF119" s="67"/>
      <c r="AG119" s="67"/>
      <c r="AH119" s="76"/>
      <c r="AI119" s="164" t="s">
        <v>408</v>
      </c>
    </row>
    <row r="120" spans="1:35" ht="30" customHeight="1">
      <c r="A120" s="95">
        <v>2026</v>
      </c>
      <c r="B120" s="96" t="str">
        <f>IF(M120="", "", TEXT(M120, "[$-en-US]mmm"))</f>
        <v>Aug</v>
      </c>
      <c r="C120" s="96" t="s">
        <v>45</v>
      </c>
      <c r="D120" s="181" t="s">
        <v>380</v>
      </c>
      <c r="E120" s="97" t="s">
        <v>409</v>
      </c>
      <c r="F120" s="97" t="s">
        <v>178</v>
      </c>
      <c r="G120" s="97" t="s">
        <v>179</v>
      </c>
      <c r="H120" s="97" t="s">
        <v>410</v>
      </c>
      <c r="I120" s="96" t="s">
        <v>41</v>
      </c>
      <c r="J120" s="96" t="s">
        <v>42</v>
      </c>
      <c r="K120" s="97" t="s">
        <v>114</v>
      </c>
      <c r="L120" s="96" t="s">
        <v>405</v>
      </c>
      <c r="M120" s="162">
        <v>46260</v>
      </c>
      <c r="N120" s="163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 t="s">
        <v>353</v>
      </c>
      <c r="S120" s="97">
        <v>16257</v>
      </c>
      <c r="T120" s="97"/>
      <c r="U120" s="97"/>
      <c r="V120" s="97"/>
      <c r="W120" s="100"/>
      <c r="X120" s="97" t="s">
        <v>330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3"/>
    </row>
    <row r="121" spans="1:35" ht="30" customHeight="1">
      <c r="A121" s="95">
        <v>2026</v>
      </c>
      <c r="B121" s="96" t="str">
        <f>IF(M121="", "", TEXT(M121, "[$-en-US]mmm"))</f>
        <v>Sep</v>
      </c>
      <c r="C121" s="142" t="s">
        <v>35</v>
      </c>
      <c r="D121" s="180" t="s">
        <v>385</v>
      </c>
      <c r="E121" s="145" t="s">
        <v>385</v>
      </c>
      <c r="F121" s="145" t="s">
        <v>302</v>
      </c>
      <c r="G121" s="145" t="s">
        <v>303</v>
      </c>
      <c r="H121" s="145"/>
      <c r="I121" s="142" t="s">
        <v>51</v>
      </c>
      <c r="J121" s="142" t="s">
        <v>42</v>
      </c>
      <c r="K121" s="145" t="s">
        <v>52</v>
      </c>
      <c r="L121" s="142" t="s">
        <v>405</v>
      </c>
      <c r="M121" s="152">
        <v>46280</v>
      </c>
      <c r="N121" s="146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46345</v>
      </c>
      <c r="O121" s="147"/>
      <c r="P121" s="142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121" s="142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142" t="s">
        <v>151</v>
      </c>
      <c r="S121" s="145">
        <v>16760</v>
      </c>
      <c r="T121" s="145" t="s">
        <v>386</v>
      </c>
      <c r="U121" s="145"/>
      <c r="V121" s="145"/>
      <c r="W121" s="147"/>
      <c r="X121" s="145" t="s">
        <v>330</v>
      </c>
      <c r="Y121" s="148"/>
      <c r="Z121" s="142"/>
      <c r="AA121" s="145"/>
      <c r="AB121" s="145"/>
      <c r="AC121" s="149"/>
      <c r="AD121" s="149"/>
      <c r="AE121" s="149"/>
      <c r="AF121" s="143"/>
      <c r="AG121" s="143"/>
      <c r="AH121" s="150"/>
      <c r="AI121" s="164" t="s">
        <v>388</v>
      </c>
    </row>
    <row r="122" spans="1:35" ht="25.5" customHeight="1">
      <c r="A122" s="95">
        <v>2026</v>
      </c>
      <c r="B122" s="96" t="str">
        <f>IF(M122="", "", TEXT(M122, "[$-en-US]mmm"))</f>
        <v>Aug</v>
      </c>
      <c r="C122" s="96" t="s">
        <v>35</v>
      </c>
      <c r="D122" s="181" t="s">
        <v>411</v>
      </c>
      <c r="E122" s="97" t="s">
        <v>412</v>
      </c>
      <c r="F122" s="97" t="s">
        <v>87</v>
      </c>
      <c r="G122" s="97" t="s">
        <v>413</v>
      </c>
      <c r="H122" s="97" t="s">
        <v>414</v>
      </c>
      <c r="I122" s="96" t="s">
        <v>41</v>
      </c>
      <c r="J122" s="96" t="s">
        <v>42</v>
      </c>
      <c r="K122" s="97" t="s">
        <v>114</v>
      </c>
      <c r="L122" s="96" t="s">
        <v>415</v>
      </c>
      <c r="M122" s="98">
        <v>46260</v>
      </c>
      <c r="N122" s="99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2" s="100">
        <v>46296</v>
      </c>
      <c r="P122" s="96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22" s="96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2" s="96" t="s">
        <v>416</v>
      </c>
      <c r="S122" s="97">
        <v>16122</v>
      </c>
      <c r="T122" s="97" t="s">
        <v>417</v>
      </c>
      <c r="U122" s="97"/>
      <c r="V122" s="97"/>
      <c r="W122" s="100"/>
      <c r="X122" s="97" t="s">
        <v>330</v>
      </c>
      <c r="Y122" s="101"/>
      <c r="Z122" s="96"/>
      <c r="AA122" s="97"/>
      <c r="AB122" s="97" t="s">
        <v>418</v>
      </c>
      <c r="AC122" s="102"/>
      <c r="AD122" s="102"/>
      <c r="AE122" s="102"/>
      <c r="AF122" s="103"/>
      <c r="AG122" s="103"/>
      <c r="AH122" s="104"/>
      <c r="AI122" s="106" t="s">
        <v>419</v>
      </c>
    </row>
    <row r="123" spans="1:35" ht="20.25" customHeight="1">
      <c r="A123" s="144">
        <v>2026</v>
      </c>
      <c r="B123" s="96" t="str">
        <f t="shared" ref="B123:B124" si="9">IF(M123="", "", TEXT(M123, "[$-en-US]mmm"))</f>
        <v>Sep</v>
      </c>
      <c r="C123" s="142" t="s">
        <v>35</v>
      </c>
      <c r="D123" s="180" t="s">
        <v>380</v>
      </c>
      <c r="E123" s="145" t="s">
        <v>420</v>
      </c>
      <c r="F123" s="145" t="s">
        <v>178</v>
      </c>
      <c r="G123" s="145" t="s">
        <v>275</v>
      </c>
      <c r="H123" s="145" t="s">
        <v>410</v>
      </c>
      <c r="I123" s="142" t="s">
        <v>41</v>
      </c>
      <c r="J123" s="142" t="s">
        <v>42</v>
      </c>
      <c r="K123" s="145"/>
      <c r="L123" s="142" t="s">
        <v>405</v>
      </c>
      <c r="M123" s="152">
        <v>46279</v>
      </c>
      <c r="N123" s="146">
        <f>IF(M123="",                                                                                                                                                                                                  "",
   WORKDAY(
      M123,
      IF(I123="S-Special",                                                                                                                                                                                                   45,
         IF(OR(I123="O-General",                                                                                                                                                                                                   I123="S-General"),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3" s="147"/>
      <c r="P123" s="142">
        <f ca="1">IF(M123="",                                                                                                                                                                                                   "",
   NETWORKDAYS(
      M123,
      IF(O123&lt;&gt;"",                                                                                                                                                                                                   O123,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3" s="142" t="str">
        <f ca="1">IF(P123="",                                                                                                                                                                                                   "",
   IF(OR(I123="O-General",                                                                                                                                                                                                   I123="S-General"),
      IF(P123&lt;=30,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IF(I123="S-Special",
         IF(P123&lt;=45,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3" s="142" t="s">
        <v>353</v>
      </c>
      <c r="S123" s="145">
        <v>15742</v>
      </c>
      <c r="T123" s="145" t="s">
        <v>421</v>
      </c>
      <c r="U123" s="145"/>
      <c r="V123" s="145"/>
      <c r="W123" s="147"/>
      <c r="X123" s="145" t="s">
        <v>330</v>
      </c>
      <c r="Y123" s="148"/>
      <c r="Z123" s="142"/>
      <c r="AA123" s="145"/>
      <c r="AB123" s="145"/>
      <c r="AC123" s="149"/>
      <c r="AD123" s="149"/>
      <c r="AE123" s="149"/>
      <c r="AF123" s="143"/>
      <c r="AG123" s="143"/>
      <c r="AH123" s="150"/>
      <c r="AI123" s="164" t="s">
        <v>422</v>
      </c>
    </row>
    <row r="124" spans="1:35" ht="20.25" customHeight="1">
      <c r="A124" s="144">
        <v>2026</v>
      </c>
      <c r="B124" s="182" t="str">
        <f t="shared" si="9"/>
        <v>Sep</v>
      </c>
      <c r="C124" s="182" t="s">
        <v>35</v>
      </c>
      <c r="D124" s="183" t="s">
        <v>423</v>
      </c>
      <c r="E124" s="183" t="s">
        <v>424</v>
      </c>
      <c r="F124" s="183"/>
      <c r="G124" s="183"/>
      <c r="H124" s="183"/>
      <c r="I124" s="182" t="s">
        <v>41</v>
      </c>
      <c r="J124" s="142" t="s">
        <v>42</v>
      </c>
      <c r="K124" s="183"/>
      <c r="L124" s="182" t="s">
        <v>328</v>
      </c>
      <c r="M124" s="184">
        <v>46279</v>
      </c>
      <c r="N124" s="185">
        <f>IF(M124="",                                                                                                                                                                                                  "",
   WORKDAY(
      M124,
      IF(I124="S-Special",                                                                                                                                                                                                   45,
         IF(OR(I124="O-General",                                                                                                                                                                                                   I124="S-General"),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4" s="186"/>
      <c r="P124" s="182">
        <f ca="1">IF(M124="",                                                                                                                                                                                                   "",
   NETWORKDAYS(
      M124,
      IF(O124&lt;&gt;"",                                                                                                                                                                                                   O124,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4" s="182" t="str">
        <f ca="1">IF(P124="",                                                                                                                                                                                                   "",
   IF(OR(I124="O-General",                                                                                                                                                                                                   I124="S-General"),
      IF(P124&lt;=30,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IF(I124="S-Special",
         IF(P124&lt;=45,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4" s="142"/>
      <c r="S124" s="183"/>
      <c r="T124" s="183"/>
      <c r="U124" s="183"/>
      <c r="V124" s="183"/>
      <c r="W124" s="186">
        <v>46388</v>
      </c>
      <c r="X124" s="183"/>
      <c r="Y124" s="187"/>
      <c r="Z124" s="182"/>
      <c r="AA124" s="183"/>
      <c r="AB124" s="183"/>
      <c r="AC124" s="188"/>
      <c r="AD124" s="188"/>
      <c r="AE124" s="188"/>
      <c r="AF124" s="143"/>
      <c r="AG124" s="143"/>
      <c r="AH124" s="189"/>
      <c r="AI124" s="151"/>
    </row>
    <row r="125" spans="1:35" ht="20.25" customHeight="1">
      <c r="A125" s="144">
        <v>2026</v>
      </c>
      <c r="B125" s="142"/>
      <c r="C125" s="142" t="s">
        <v>35</v>
      </c>
      <c r="D125" s="145" t="s">
        <v>77</v>
      </c>
      <c r="E125" s="145" t="s">
        <v>425</v>
      </c>
      <c r="F125" s="145"/>
      <c r="G125" s="145"/>
      <c r="H125" s="145"/>
      <c r="I125" s="142" t="s">
        <v>82</v>
      </c>
      <c r="J125" s="142" t="s">
        <v>42</v>
      </c>
      <c r="K125" s="145"/>
      <c r="L125" s="142" t="s">
        <v>328</v>
      </c>
      <c r="M125" s="152">
        <v>46279</v>
      </c>
      <c r="N125" s="146">
        <f>IF(M125="",                                                                                                                                                                                                  "",
   WORKDAY(
      M125,
      IF(I125="S-Special",                                                                                                                                                                                                   45,
         IF(OR(I125="O-General",                                                                                                                                                                                                   I125="S-General"),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46323</v>
      </c>
      <c r="O125" s="147"/>
      <c r="P125" s="142">
        <f ca="1">IF(M125="",                                                                                                                                                                                                   "",
   NETWORKDAYS(
      M125,
      IF(O125&lt;&gt;"",                                                                                                                                                                                                   O125,                                                                                                                                                                                                   TODAY()),
      Dropdown!$A$2:$A$100
   )
)</f>
        <v>13</v>
      </c>
      <c r="Q125" s="142" t="str">
        <f ca="1">IF(P125="",                                                                                                                                                                                                   "",
   IF(OR(I125="O-General",                                                                                                                                                                                                   I125="S-General"),
      IF(P125&lt;=30,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IF(I125="S-Special",
         IF(P125&lt;=45,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5" s="142"/>
      <c r="S125" s="145"/>
      <c r="T125" s="145"/>
      <c r="U125" s="145"/>
      <c r="V125" s="145"/>
      <c r="W125" s="147"/>
      <c r="X125" s="145"/>
      <c r="Y125" s="148"/>
      <c r="Z125" s="142"/>
      <c r="AA125" s="145"/>
      <c r="AB125" s="145"/>
      <c r="AC125" s="149"/>
      <c r="AD125" s="149"/>
      <c r="AE125" s="149"/>
      <c r="AF125" s="143"/>
      <c r="AG125" s="143"/>
      <c r="AH125" s="150"/>
      <c r="AI125" s="151"/>
    </row>
  </sheetData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5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9" r:id="rId4" xr:uid="{295AB73A-DD0A-4E65-8972-1844DAA90BE8}"/>
    <hyperlink ref="AI114" r:id="rId5" xr:uid="{312EB09C-EFC8-4486-8755-06654057D5E8}"/>
    <hyperlink ref="AI110" r:id="rId6" xr:uid="{60B9A379-7A08-4CCA-8EBD-7E9DA6E61218}"/>
    <hyperlink ref="AI118" r:id="rId7" xr:uid="{6412AD55-DFDE-4449-8C87-7306C306DF21}"/>
    <hyperlink ref="AI117" r:id="rId8" xr:uid="{3AE257EE-27A3-49C5-A451-67A7958DDEDF}"/>
    <hyperlink ref="AI112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2" r:id="rId10" xr:uid="{F9F73A2D-6C3D-4A5F-9411-2D89FAC66157}"/>
    <hyperlink ref="AI121" r:id="rId11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C32D51FB-0EE1-46F3-A8C7-754B71E27F82}"/>
    <hyperlink ref="AI123" r:id="rId12" xr:uid="{4BC64E76-327F-4261-93C0-F55C7CAD435E}"/>
  </hyperlinks>
  <pageMargins left="0.7" right="0.7" top="0.75" bottom="0.75" header="0.3" footer="0.3"/>
  <ignoredErrors>
    <ignoredError sqref="B32" calculatedColumn="1"/>
  </ignoredErrors>
  <legacyDrawing r:id="rId13"/>
  <tableParts count="1">
    <tablePart r:id="rId14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I2:I125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A164" workbookViewId="0">
      <selection activeCell="I167" sqref="I167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426</v>
      </c>
      <c r="B1" s="1" t="s">
        <v>8</v>
      </c>
      <c r="C1" s="1" t="s">
        <v>427</v>
      </c>
      <c r="D1" s="1" t="s">
        <v>428</v>
      </c>
      <c r="E1" s="1" t="s">
        <v>429</v>
      </c>
      <c r="F1" s="1" t="s">
        <v>430</v>
      </c>
      <c r="G1" s="1" t="s">
        <v>72</v>
      </c>
      <c r="H1" s="1" t="s">
        <v>431</v>
      </c>
      <c r="I1" s="1" t="s">
        <v>9</v>
      </c>
      <c r="J1" s="6" t="s">
        <v>432</v>
      </c>
      <c r="K1" s="6" t="s">
        <v>433</v>
      </c>
      <c r="L1" s="7" t="s">
        <v>434</v>
      </c>
      <c r="M1" s="1" t="s">
        <v>23</v>
      </c>
      <c r="N1" s="1" t="s">
        <v>435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436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328</v>
      </c>
      <c r="D3" s="1" t="s">
        <v>45</v>
      </c>
      <c r="E3" s="1" t="s">
        <v>437</v>
      </c>
      <c r="F3" s="1" t="s">
        <v>53</v>
      </c>
      <c r="G3" s="1" t="s">
        <v>114</v>
      </c>
      <c r="H3" s="1" t="s">
        <v>191</v>
      </c>
      <c r="I3" s="1" t="s">
        <v>438</v>
      </c>
      <c r="J3" s="2" t="s">
        <v>186</v>
      </c>
      <c r="K3" s="2" t="s">
        <v>235</v>
      </c>
      <c r="L3" s="2" t="s">
        <v>439</v>
      </c>
      <c r="M3" s="1" t="s">
        <v>314</v>
      </c>
      <c r="N3" s="1" t="s">
        <v>416</v>
      </c>
    </row>
    <row r="4" spans="1:14" ht="84.6" thickBot="1">
      <c r="A4" s="4">
        <v>46025</v>
      </c>
      <c r="B4" s="1" t="s">
        <v>82</v>
      </c>
      <c r="C4" s="1" t="s">
        <v>415</v>
      </c>
      <c r="D4" s="1" t="s">
        <v>54</v>
      </c>
      <c r="E4" s="1" t="s">
        <v>440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231</v>
      </c>
      <c r="L4" s="2" t="s">
        <v>441</v>
      </c>
      <c r="M4" s="1" t="s">
        <v>191</v>
      </c>
      <c r="N4" s="1" t="s">
        <v>353</v>
      </c>
    </row>
    <row r="5" spans="1:14" ht="105.6" thickBot="1">
      <c r="A5" s="4">
        <v>46026</v>
      </c>
      <c r="C5" s="1" t="s">
        <v>442</v>
      </c>
      <c r="F5" s="1" t="s">
        <v>443</v>
      </c>
      <c r="J5" s="2" t="s">
        <v>444</v>
      </c>
      <c r="K5" s="2" t="s">
        <v>292</v>
      </c>
      <c r="L5" s="2" t="s">
        <v>233</v>
      </c>
      <c r="M5" s="1" t="s">
        <v>151</v>
      </c>
      <c r="N5" s="1" t="s">
        <v>445</v>
      </c>
    </row>
    <row r="6" spans="1:14" ht="84">
      <c r="A6" s="4">
        <v>46032</v>
      </c>
      <c r="C6" s="1" t="s">
        <v>405</v>
      </c>
      <c r="F6" s="1" t="s">
        <v>446</v>
      </c>
      <c r="J6" s="2" t="s">
        <v>120</v>
      </c>
      <c r="K6" s="2" t="s">
        <v>447</v>
      </c>
      <c r="L6" s="2" t="s">
        <v>448</v>
      </c>
      <c r="M6" s="1" t="s">
        <v>330</v>
      </c>
      <c r="N6" s="1" t="s">
        <v>449</v>
      </c>
    </row>
    <row r="7" spans="1:14" ht="63.6" thickBot="1">
      <c r="A7" s="4">
        <v>46033</v>
      </c>
      <c r="C7" s="1" t="s">
        <v>84</v>
      </c>
      <c r="F7" s="1" t="s">
        <v>450</v>
      </c>
      <c r="J7" s="2" t="s">
        <v>181</v>
      </c>
      <c r="K7" s="2" t="s">
        <v>451</v>
      </c>
      <c r="L7" s="2" t="s">
        <v>452</v>
      </c>
      <c r="M7" s="1" t="s">
        <v>72</v>
      </c>
      <c r="N7" s="1" t="s">
        <v>344</v>
      </c>
    </row>
    <row r="8" spans="1:14" ht="42.6" thickBot="1">
      <c r="A8" s="4">
        <v>46039</v>
      </c>
      <c r="C8" s="1" t="s">
        <v>83</v>
      </c>
      <c r="F8" s="1" t="s">
        <v>226</v>
      </c>
      <c r="J8" s="2" t="s">
        <v>128</v>
      </c>
      <c r="K8" s="2" t="s">
        <v>453</v>
      </c>
      <c r="L8" s="2" t="s">
        <v>454</v>
      </c>
    </row>
    <row r="9" spans="1:14" ht="84.6" thickBot="1">
      <c r="A9" s="4">
        <v>46040</v>
      </c>
      <c r="C9" s="1" t="s">
        <v>455</v>
      </c>
      <c r="F9" s="1" t="s">
        <v>164</v>
      </c>
      <c r="J9" s="2" t="s">
        <v>147</v>
      </c>
      <c r="K9" s="2" t="s">
        <v>121</v>
      </c>
      <c r="L9" s="2" t="s">
        <v>456</v>
      </c>
    </row>
    <row r="10" spans="1:14" ht="84.6" thickBot="1">
      <c r="A10" s="4">
        <v>46047</v>
      </c>
      <c r="F10" s="1" t="s">
        <v>139</v>
      </c>
      <c r="J10" s="2" t="s">
        <v>457</v>
      </c>
      <c r="K10" s="2" t="s">
        <v>182</v>
      </c>
      <c r="L10" s="2" t="s">
        <v>458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459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460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461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462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463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464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266</v>
      </c>
    </row>
    <row r="18" spans="1:12" ht="63.6" thickBot="1">
      <c r="A18" s="4">
        <v>46082</v>
      </c>
      <c r="J18" s="2" t="s">
        <v>87</v>
      </c>
      <c r="K18" s="2" t="s">
        <v>465</v>
      </c>
      <c r="L18" s="2" t="s">
        <v>466</v>
      </c>
    </row>
    <row r="19" spans="1:12" ht="84.6" thickBot="1">
      <c r="A19" s="4">
        <v>46084</v>
      </c>
      <c r="J19" s="2" t="s">
        <v>79</v>
      </c>
      <c r="K19" s="2" t="s">
        <v>467</v>
      </c>
      <c r="L19" s="2" t="s">
        <v>468</v>
      </c>
    </row>
    <row r="20" spans="1:12" ht="84.6" thickBot="1">
      <c r="A20" s="4">
        <v>46089</v>
      </c>
      <c r="J20" s="2" t="s">
        <v>90</v>
      </c>
      <c r="K20" s="2" t="s">
        <v>469</v>
      </c>
      <c r="L20" s="2" t="s">
        <v>470</v>
      </c>
    </row>
    <row r="21" spans="1:12" ht="105.6" thickBot="1">
      <c r="A21" s="4">
        <v>46095</v>
      </c>
      <c r="J21" s="2" t="s">
        <v>38</v>
      </c>
      <c r="K21" s="2" t="s">
        <v>471</v>
      </c>
      <c r="L21" s="2" t="s">
        <v>472</v>
      </c>
    </row>
    <row r="22" spans="1:12" ht="63.6" thickBot="1">
      <c r="A22" s="4">
        <v>46096</v>
      </c>
      <c r="J22" s="2" t="s">
        <v>302</v>
      </c>
      <c r="K22" s="2" t="s">
        <v>473</v>
      </c>
      <c r="L22" s="2" t="s">
        <v>474</v>
      </c>
    </row>
    <row r="23" spans="1:12" ht="84.6" thickBot="1">
      <c r="A23" s="4">
        <v>46103</v>
      </c>
      <c r="J23" s="2" t="s">
        <v>214</v>
      </c>
      <c r="K23" s="2" t="s">
        <v>475</v>
      </c>
      <c r="L23" s="2" t="s">
        <v>476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477</v>
      </c>
    </row>
    <row r="25" spans="1:12" ht="63.6" thickBot="1">
      <c r="A25" s="4">
        <v>46110</v>
      </c>
      <c r="J25" s="2" t="s">
        <v>297</v>
      </c>
      <c r="K25" s="2" t="s">
        <v>478</v>
      </c>
      <c r="L25" s="2" t="s">
        <v>479</v>
      </c>
    </row>
    <row r="26" spans="1:12" ht="63.6" thickBot="1">
      <c r="A26" s="4">
        <v>46116</v>
      </c>
      <c r="J26" s="2" t="s">
        <v>347</v>
      </c>
      <c r="K26" s="2" t="s">
        <v>480</v>
      </c>
      <c r="L26" s="2" t="s">
        <v>481</v>
      </c>
    </row>
    <row r="27" spans="1:12" ht="84">
      <c r="A27" s="4">
        <v>46117</v>
      </c>
      <c r="J27" s="2" t="s">
        <v>178</v>
      </c>
      <c r="K27" s="2" t="s">
        <v>269</v>
      </c>
      <c r="L27" s="2" t="s">
        <v>126</v>
      </c>
    </row>
    <row r="28" spans="1:12" ht="62.25">
      <c r="A28" s="4">
        <v>46118</v>
      </c>
      <c r="J28" s="2" t="s">
        <v>326</v>
      </c>
      <c r="K28" s="2" t="s">
        <v>81</v>
      </c>
      <c r="L28" s="2" t="s">
        <v>482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483</v>
      </c>
    </row>
    <row r="31" spans="1:12" ht="84.6" thickBot="1">
      <c r="A31" s="4">
        <v>46125</v>
      </c>
      <c r="J31" s="2"/>
      <c r="K31" s="2" t="s">
        <v>57</v>
      </c>
      <c r="L31" s="2" t="s">
        <v>484</v>
      </c>
    </row>
    <row r="32" spans="1:12" ht="42.6" thickBot="1">
      <c r="A32" s="4">
        <v>46126</v>
      </c>
      <c r="J32" s="2"/>
      <c r="K32" s="2" t="s">
        <v>70</v>
      </c>
      <c r="L32" s="2" t="s">
        <v>485</v>
      </c>
    </row>
    <row r="33" spans="1:12" ht="63.6" thickBot="1">
      <c r="A33" s="4">
        <v>46127</v>
      </c>
      <c r="J33" s="2"/>
      <c r="K33" s="2" t="s">
        <v>76</v>
      </c>
      <c r="L33" s="2" t="s">
        <v>486</v>
      </c>
    </row>
    <row r="34" spans="1:12" ht="63.6" thickBot="1">
      <c r="A34" s="4">
        <v>46130</v>
      </c>
      <c r="J34" s="2"/>
      <c r="K34" s="2" t="s">
        <v>99</v>
      </c>
      <c r="L34" s="2" t="s">
        <v>487</v>
      </c>
    </row>
    <row r="35" spans="1:12" ht="63.6" thickBot="1">
      <c r="A35" s="4">
        <v>46131</v>
      </c>
      <c r="J35" s="2"/>
      <c r="K35" s="2" t="s">
        <v>80</v>
      </c>
      <c r="L35" s="2" t="s">
        <v>488</v>
      </c>
    </row>
    <row r="36" spans="1:12" ht="42.6" thickBot="1">
      <c r="A36" s="4">
        <v>46138</v>
      </c>
      <c r="J36" s="2"/>
      <c r="K36" s="2" t="s">
        <v>94</v>
      </c>
      <c r="L36" s="2" t="s">
        <v>489</v>
      </c>
    </row>
    <row r="37" spans="1:12" ht="63.6" thickBot="1">
      <c r="A37" s="4">
        <v>46143</v>
      </c>
      <c r="J37" s="2"/>
      <c r="K37" s="2" t="s">
        <v>91</v>
      </c>
      <c r="L37" s="2" t="s">
        <v>490</v>
      </c>
    </row>
    <row r="38" spans="1:12" ht="63.6" thickBot="1">
      <c r="A38" s="4">
        <v>46144</v>
      </c>
      <c r="J38" s="2"/>
      <c r="K38" s="2" t="s">
        <v>97</v>
      </c>
      <c r="L38" s="2" t="s">
        <v>491</v>
      </c>
    </row>
    <row r="39" spans="1:12" ht="63.6" thickBot="1">
      <c r="A39" s="4">
        <v>46145</v>
      </c>
      <c r="J39" s="2"/>
      <c r="K39" s="2" t="s">
        <v>39</v>
      </c>
      <c r="L39" s="2" t="s">
        <v>492</v>
      </c>
    </row>
    <row r="40" spans="1:12" ht="84.6" thickBot="1">
      <c r="A40" s="4">
        <v>46146</v>
      </c>
      <c r="J40" s="2"/>
      <c r="K40" s="2" t="s">
        <v>493</v>
      </c>
      <c r="L40" s="2" t="s">
        <v>236</v>
      </c>
    </row>
    <row r="41" spans="1:12" ht="63.6" thickBot="1">
      <c r="A41" s="4">
        <v>46152</v>
      </c>
      <c r="J41" s="2"/>
      <c r="K41" s="2" t="s">
        <v>104</v>
      </c>
      <c r="L41" s="2" t="s">
        <v>494</v>
      </c>
    </row>
    <row r="42" spans="1:12" ht="63.6" thickBot="1">
      <c r="A42" s="4">
        <v>46153</v>
      </c>
      <c r="J42" s="2"/>
      <c r="K42" s="2" t="s">
        <v>101</v>
      </c>
      <c r="L42" s="2" t="s">
        <v>495</v>
      </c>
    </row>
    <row r="43" spans="1:12" ht="84.6" thickBot="1">
      <c r="A43" s="4">
        <v>46158</v>
      </c>
      <c r="J43" s="2"/>
      <c r="K43" s="2" t="s">
        <v>112</v>
      </c>
      <c r="L43" s="2" t="s">
        <v>496</v>
      </c>
    </row>
    <row r="44" spans="1:12" ht="42.6" thickBot="1">
      <c r="A44" s="4">
        <v>46159</v>
      </c>
      <c r="J44" s="2"/>
      <c r="K44" s="2" t="s">
        <v>497</v>
      </c>
      <c r="L44" s="2" t="s">
        <v>273</v>
      </c>
    </row>
    <row r="45" spans="1:12" ht="84.6" thickBot="1">
      <c r="A45" s="4">
        <v>46166</v>
      </c>
      <c r="J45" s="2"/>
      <c r="K45" s="2" t="s">
        <v>259</v>
      </c>
      <c r="L45" s="2" t="s">
        <v>498</v>
      </c>
    </row>
    <row r="46" spans="1:12" ht="42.6" thickBot="1">
      <c r="A46" s="4">
        <v>46172</v>
      </c>
      <c r="J46" s="2"/>
      <c r="K46" s="2" t="s">
        <v>144</v>
      </c>
      <c r="L46" s="2" t="s">
        <v>499</v>
      </c>
    </row>
    <row r="47" spans="1:12" ht="84.6" thickBot="1">
      <c r="A47" s="4">
        <v>46173</v>
      </c>
      <c r="J47" s="2"/>
      <c r="K47" s="2" t="s">
        <v>137</v>
      </c>
      <c r="L47" s="2" t="s">
        <v>500</v>
      </c>
    </row>
    <row r="48" spans="1:12" ht="42.6" thickBot="1">
      <c r="A48" s="4">
        <v>46174</v>
      </c>
      <c r="J48" s="2"/>
      <c r="K48" s="2" t="s">
        <v>501</v>
      </c>
      <c r="L48" s="2" t="s">
        <v>502</v>
      </c>
    </row>
    <row r="49" spans="1:12" ht="42.6" thickBot="1">
      <c r="A49" s="4">
        <v>46176</v>
      </c>
      <c r="J49" s="2"/>
      <c r="K49" s="2" t="s">
        <v>503</v>
      </c>
      <c r="L49" s="2" t="s">
        <v>180</v>
      </c>
    </row>
    <row r="50" spans="1:12" ht="84.6" thickBot="1">
      <c r="A50" s="4">
        <v>46180</v>
      </c>
      <c r="J50" s="2"/>
      <c r="K50" s="2" t="s">
        <v>275</v>
      </c>
      <c r="L50" s="2" t="s">
        <v>504</v>
      </c>
    </row>
    <row r="51" spans="1:12" ht="105.6" thickBot="1">
      <c r="A51" s="4">
        <v>46186</v>
      </c>
      <c r="J51" s="2"/>
      <c r="K51" s="2" t="s">
        <v>305</v>
      </c>
      <c r="L51" s="2" t="s">
        <v>183</v>
      </c>
    </row>
    <row r="52" spans="1:12" ht="63.6" thickBot="1">
      <c r="A52" s="4">
        <v>46187</v>
      </c>
      <c r="J52" s="2"/>
      <c r="K52" s="2" t="s">
        <v>308</v>
      </c>
      <c r="L52" s="2" t="s">
        <v>134</v>
      </c>
    </row>
    <row r="53" spans="1:12" ht="105.6" thickBot="1">
      <c r="A53" s="4">
        <v>46194</v>
      </c>
      <c r="J53" s="2"/>
      <c r="K53" s="2" t="s">
        <v>505</v>
      </c>
      <c r="L53" s="2" t="s">
        <v>506</v>
      </c>
    </row>
    <row r="54" spans="1:12" ht="63.6" thickBot="1">
      <c r="A54" s="4">
        <v>46200</v>
      </c>
      <c r="J54" s="2"/>
      <c r="K54" s="2" t="s">
        <v>148</v>
      </c>
      <c r="L54" s="2" t="s">
        <v>507</v>
      </c>
    </row>
    <row r="55" spans="1:12" ht="63.6" thickBot="1">
      <c r="A55" s="4">
        <v>46201</v>
      </c>
      <c r="J55" s="2"/>
      <c r="K55" s="2" t="s">
        <v>508</v>
      </c>
      <c r="L55" s="2" t="s">
        <v>509</v>
      </c>
    </row>
    <row r="56" spans="1:12" ht="63.6" thickBot="1">
      <c r="A56" s="4">
        <v>46207</v>
      </c>
      <c r="J56" s="2"/>
      <c r="K56" s="2" t="s">
        <v>510</v>
      </c>
      <c r="L56" s="2" t="s">
        <v>511</v>
      </c>
    </row>
    <row r="57" spans="1:12" ht="105.6" thickBot="1">
      <c r="A57" s="4">
        <v>46208</v>
      </c>
      <c r="J57" s="2"/>
      <c r="K57" s="2" t="s">
        <v>223</v>
      </c>
      <c r="L57" s="2" t="s">
        <v>512</v>
      </c>
    </row>
    <row r="58" spans="1:12" ht="84.6" thickBot="1">
      <c r="A58" s="4">
        <v>46214</v>
      </c>
      <c r="J58" s="2"/>
      <c r="K58" s="2" t="s">
        <v>265</v>
      </c>
      <c r="L58" s="2" t="s">
        <v>513</v>
      </c>
    </row>
    <row r="59" spans="1:12" ht="63.6" thickBot="1">
      <c r="A59" s="4">
        <v>46215</v>
      </c>
      <c r="J59" s="2"/>
      <c r="K59" s="2" t="s">
        <v>106</v>
      </c>
      <c r="L59" s="2" t="s">
        <v>514</v>
      </c>
    </row>
    <row r="60" spans="1:12" ht="63.6" thickBot="1">
      <c r="A60" s="4">
        <v>46221</v>
      </c>
      <c r="J60" s="2"/>
      <c r="K60" s="2" t="s">
        <v>515</v>
      </c>
      <c r="L60" s="2" t="s">
        <v>516</v>
      </c>
    </row>
    <row r="61" spans="1:12" ht="84.6" thickBot="1">
      <c r="A61" s="4">
        <v>46222</v>
      </c>
      <c r="J61" s="2"/>
      <c r="K61" s="2" t="s">
        <v>198</v>
      </c>
      <c r="L61" s="2" t="s">
        <v>517</v>
      </c>
    </row>
    <row r="62" spans="1:12" ht="84.6" thickBot="1">
      <c r="A62" s="4">
        <v>46228</v>
      </c>
      <c r="J62" s="2"/>
      <c r="K62" s="2" t="s">
        <v>243</v>
      </c>
      <c r="L62" s="2" t="s">
        <v>518</v>
      </c>
    </row>
    <row r="63" spans="1:12" ht="63.6" thickBot="1">
      <c r="A63" s="4">
        <v>46229</v>
      </c>
      <c r="J63" s="2"/>
      <c r="K63" s="2" t="s">
        <v>519</v>
      </c>
      <c r="L63" s="2" t="s">
        <v>520</v>
      </c>
    </row>
    <row r="64" spans="1:12" ht="63.6" thickBot="1">
      <c r="A64" s="4">
        <v>46231</v>
      </c>
      <c r="J64" s="2"/>
      <c r="K64" s="2" t="s">
        <v>160</v>
      </c>
      <c r="L64" s="2" t="s">
        <v>521</v>
      </c>
    </row>
    <row r="65" spans="1:12" ht="42.6" thickBot="1">
      <c r="A65" s="4">
        <v>46232</v>
      </c>
      <c r="J65" s="2"/>
      <c r="K65" s="2" t="s">
        <v>522</v>
      </c>
      <c r="L65" s="2" t="s">
        <v>217</v>
      </c>
    </row>
    <row r="66" spans="1:12" ht="63.6" thickBot="1">
      <c r="A66" s="4">
        <v>46233</v>
      </c>
      <c r="J66" s="2"/>
      <c r="K66" s="2" t="s">
        <v>523</v>
      </c>
      <c r="L66" s="2" t="s">
        <v>524</v>
      </c>
    </row>
    <row r="67" spans="1:12" ht="63.6" thickBot="1">
      <c r="A67" s="4">
        <v>46235</v>
      </c>
      <c r="J67" s="2"/>
      <c r="K67" s="2" t="s">
        <v>525</v>
      </c>
      <c r="L67" s="2" t="s">
        <v>526</v>
      </c>
    </row>
    <row r="68" spans="1:12" ht="42.6" thickBot="1">
      <c r="A68" s="4">
        <v>46236</v>
      </c>
      <c r="J68" s="2"/>
      <c r="K68" s="2" t="s">
        <v>215</v>
      </c>
      <c r="L68" s="2" t="s">
        <v>527</v>
      </c>
    </row>
    <row r="69" spans="1:12" ht="42.6" thickBot="1">
      <c r="A69" s="4">
        <v>46242</v>
      </c>
      <c r="J69" s="2"/>
      <c r="K69" s="2" t="s">
        <v>528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286</v>
      </c>
      <c r="L71" s="2" t="s">
        <v>529</v>
      </c>
    </row>
    <row r="72" spans="1:12" ht="84.6" thickBot="1">
      <c r="A72" s="4">
        <v>46249</v>
      </c>
      <c r="J72" s="2"/>
      <c r="K72" s="2" t="s">
        <v>530</v>
      </c>
      <c r="L72" s="2" t="s">
        <v>531</v>
      </c>
    </row>
    <row r="73" spans="1:12" ht="63.6" thickBot="1">
      <c r="A73" s="4">
        <v>46250</v>
      </c>
      <c r="J73" s="2"/>
      <c r="K73" s="2" t="s">
        <v>532</v>
      </c>
      <c r="L73" s="2" t="s">
        <v>533</v>
      </c>
    </row>
    <row r="74" spans="1:12" ht="84.6" thickBot="1">
      <c r="A74" s="4">
        <v>46256</v>
      </c>
      <c r="J74" s="2"/>
      <c r="K74" s="2" t="s">
        <v>534</v>
      </c>
      <c r="L74" s="2" t="s">
        <v>535</v>
      </c>
    </row>
    <row r="75" spans="1:12" ht="84.6" thickBot="1">
      <c r="A75" s="4">
        <v>46257</v>
      </c>
      <c r="J75" s="2"/>
      <c r="K75" s="2" t="s">
        <v>298</v>
      </c>
      <c r="L75" s="2" t="s">
        <v>536</v>
      </c>
    </row>
    <row r="76" spans="1:12" ht="42.6" thickBot="1">
      <c r="A76" s="4">
        <v>46263</v>
      </c>
      <c r="J76" s="2"/>
      <c r="K76" s="2" t="s">
        <v>537</v>
      </c>
      <c r="L76" s="2" t="s">
        <v>538</v>
      </c>
    </row>
    <row r="77" spans="1:12" ht="42.6" thickBot="1">
      <c r="A77" s="4">
        <v>46264</v>
      </c>
      <c r="J77" s="2"/>
      <c r="K77" s="2" t="s">
        <v>251</v>
      </c>
      <c r="L77" s="2" t="s">
        <v>172</v>
      </c>
    </row>
    <row r="78" spans="1:12" ht="63.6" thickBot="1">
      <c r="A78" s="4">
        <v>46270</v>
      </c>
      <c r="J78" s="2"/>
      <c r="K78" s="2" t="s">
        <v>403</v>
      </c>
      <c r="L78" s="2" t="s">
        <v>293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539</v>
      </c>
      <c r="L80" s="2" t="s">
        <v>410</v>
      </c>
    </row>
    <row r="81" spans="1:12" ht="63.6" thickBot="1">
      <c r="A81" s="4">
        <v>46278</v>
      </c>
      <c r="J81" s="2"/>
      <c r="K81" s="2" t="s">
        <v>208</v>
      </c>
      <c r="L81" s="2" t="s">
        <v>540</v>
      </c>
    </row>
    <row r="82" spans="1:12" ht="42.6" thickBot="1">
      <c r="A82" s="4">
        <v>46284</v>
      </c>
      <c r="J82" s="2"/>
      <c r="K82" s="2" t="s">
        <v>239</v>
      </c>
      <c r="L82" s="2" t="s">
        <v>541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530</v>
      </c>
      <c r="L84" s="2" t="s">
        <v>542</v>
      </c>
    </row>
    <row r="85" spans="1:12" ht="63.6" thickBot="1">
      <c r="A85" s="4">
        <v>46292</v>
      </c>
      <c r="J85" s="2"/>
      <c r="K85" s="2" t="s">
        <v>543</v>
      </c>
      <c r="L85" s="2" t="s">
        <v>81</v>
      </c>
    </row>
    <row r="86" spans="1:12" ht="42.6" thickBot="1">
      <c r="A86" s="4">
        <v>46298</v>
      </c>
      <c r="J86" s="2"/>
      <c r="K86" s="2" t="s">
        <v>316</v>
      </c>
      <c r="L86" s="2" t="s">
        <v>63</v>
      </c>
    </row>
    <row r="87" spans="1:12" ht="63.6" thickBot="1">
      <c r="A87" s="4">
        <v>46299</v>
      </c>
      <c r="J87" s="2"/>
      <c r="K87" s="2" t="s">
        <v>403</v>
      </c>
      <c r="L87" s="2" t="s">
        <v>68</v>
      </c>
    </row>
    <row r="88" spans="1:12" ht="84.6" thickBot="1">
      <c r="A88" s="4">
        <v>46305</v>
      </c>
      <c r="J88" s="2"/>
      <c r="K88" s="2" t="s">
        <v>544</v>
      </c>
      <c r="L88" s="2" t="s">
        <v>58</v>
      </c>
    </row>
    <row r="89" spans="1:12" ht="84.6" thickBot="1">
      <c r="A89" s="4">
        <v>46306</v>
      </c>
      <c r="J89" s="2"/>
      <c r="K89" s="2" t="s">
        <v>286</v>
      </c>
      <c r="L89" s="2" t="s">
        <v>71</v>
      </c>
    </row>
    <row r="90" spans="1:12" ht="63.6" thickBot="1">
      <c r="A90" s="4">
        <v>46308</v>
      </c>
      <c r="J90" s="2"/>
      <c r="K90" s="2" t="s">
        <v>282</v>
      </c>
      <c r="L90" s="2" t="s">
        <v>74</v>
      </c>
    </row>
    <row r="91" spans="1:12" ht="63.6" thickBot="1">
      <c r="A91" s="4">
        <v>46312</v>
      </c>
      <c r="J91" s="2"/>
      <c r="K91" s="2" t="s">
        <v>308</v>
      </c>
      <c r="L91" s="2" t="s">
        <v>88</v>
      </c>
    </row>
    <row r="92" spans="1:12" ht="84.6" thickBot="1">
      <c r="A92" s="4">
        <v>46313</v>
      </c>
      <c r="J92" s="2"/>
      <c r="K92" s="2" t="s">
        <v>303</v>
      </c>
      <c r="L92" s="2" t="s">
        <v>95</v>
      </c>
    </row>
    <row r="93" spans="1:12" ht="105.6" thickBot="1">
      <c r="A93" s="4">
        <v>46318</v>
      </c>
      <c r="J93" s="2"/>
      <c r="K93" s="2" t="s">
        <v>305</v>
      </c>
      <c r="L93" s="2" t="s">
        <v>92</v>
      </c>
    </row>
    <row r="94" spans="1:12" ht="63.6" thickBot="1">
      <c r="A94" s="4">
        <v>46319</v>
      </c>
      <c r="J94" s="2"/>
      <c r="K94" s="2" t="s">
        <v>332</v>
      </c>
      <c r="L94" s="2" t="s">
        <v>98</v>
      </c>
    </row>
    <row r="95" spans="1:12" ht="63.6" thickBot="1">
      <c r="A95" s="4">
        <v>46320</v>
      </c>
      <c r="J95" s="2"/>
      <c r="K95" s="2" t="s">
        <v>269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413</v>
      </c>
      <c r="L98" s="2" t="s">
        <v>113</v>
      </c>
    </row>
    <row r="99" spans="1:12" ht="42">
      <c r="A99" s="4">
        <v>46334</v>
      </c>
      <c r="J99" s="2"/>
      <c r="K99" s="2" t="s">
        <v>545</v>
      </c>
      <c r="L99" s="2" t="s">
        <v>149</v>
      </c>
    </row>
    <row r="100" spans="1:12" ht="105">
      <c r="A100" s="4">
        <v>46340</v>
      </c>
      <c r="J100" s="2"/>
      <c r="K100" s="2" t="s">
        <v>305</v>
      </c>
      <c r="L100" s="2" t="s">
        <v>546</v>
      </c>
    </row>
    <row r="101" spans="1:12" ht="63">
      <c r="A101" s="4">
        <v>46341</v>
      </c>
      <c r="J101" s="2"/>
      <c r="K101" s="2" t="s">
        <v>403</v>
      </c>
      <c r="L101" s="2" t="s">
        <v>69</v>
      </c>
    </row>
    <row r="102" spans="1:12" ht="84">
      <c r="A102" s="4">
        <v>46347</v>
      </c>
      <c r="J102" s="2"/>
      <c r="K102" s="94" t="s">
        <v>547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469</v>
      </c>
      <c r="L104" s="2" t="s">
        <v>167</v>
      </c>
    </row>
    <row r="105" spans="1:12" ht="62.25">
      <c r="A105" s="4">
        <v>46355</v>
      </c>
      <c r="J105" s="2"/>
      <c r="K105" s="2" t="s">
        <v>57</v>
      </c>
      <c r="L105" s="2" t="s">
        <v>548</v>
      </c>
    </row>
    <row r="106" spans="1:12" ht="102.75">
      <c r="A106" s="4">
        <v>46361</v>
      </c>
      <c r="J106" s="2"/>
      <c r="K106" s="2" t="s">
        <v>275</v>
      </c>
      <c r="L106" s="2" t="s">
        <v>549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550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414</v>
      </c>
    </row>
    <row r="118" spans="1:12" ht="63.6" thickBot="1">
      <c r="J118" s="2"/>
      <c r="K118" s="2"/>
      <c r="L118" s="2" t="s">
        <v>551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552</v>
      </c>
    </row>
    <row r="122" spans="1:12" ht="42.6" thickBot="1">
      <c r="J122" s="2"/>
      <c r="K122" s="2"/>
      <c r="L122" s="2" t="s">
        <v>553</v>
      </c>
    </row>
    <row r="123" spans="1:12" ht="42.6" thickBot="1">
      <c r="J123" s="2"/>
      <c r="K123" s="2"/>
      <c r="L123" s="2" t="s">
        <v>554</v>
      </c>
    </row>
    <row r="124" spans="1:12" ht="21.6" thickBot="1">
      <c r="J124" s="2"/>
      <c r="K124" s="2"/>
      <c r="L124" s="2" t="s">
        <v>250</v>
      </c>
    </row>
    <row r="125" spans="1:12" ht="63.6" thickBot="1">
      <c r="J125" s="2"/>
      <c r="K125" s="2"/>
      <c r="L125" s="2" t="s">
        <v>227</v>
      </c>
    </row>
    <row r="126" spans="1:12" ht="63.6" thickBot="1">
      <c r="J126" s="2"/>
      <c r="K126" s="2"/>
      <c r="L126" s="2" t="s">
        <v>229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232</v>
      </c>
    </row>
    <row r="129" spans="10:12" ht="21.6" thickBot="1">
      <c r="J129" s="2"/>
      <c r="K129" s="2"/>
      <c r="L129" s="5" t="s">
        <v>240</v>
      </c>
    </row>
    <row r="130" spans="10:12" ht="42.6" thickBot="1">
      <c r="J130" s="2"/>
      <c r="K130" s="2"/>
      <c r="L130" s="2" t="s">
        <v>258</v>
      </c>
    </row>
    <row r="131" spans="10:12" ht="21.6" thickBot="1">
      <c r="J131" s="2"/>
      <c r="K131" s="2"/>
      <c r="L131" s="2" t="s">
        <v>261</v>
      </c>
    </row>
    <row r="132" spans="10:12" ht="63.6" thickBot="1">
      <c r="J132" s="2"/>
      <c r="K132" s="2"/>
      <c r="L132" s="2" t="s">
        <v>256</v>
      </c>
    </row>
    <row r="133" spans="10:12" ht="42.6" thickBot="1">
      <c r="J133" s="2"/>
      <c r="K133" s="2"/>
      <c r="L133" s="2" t="s">
        <v>253</v>
      </c>
    </row>
    <row r="134" spans="10:12" ht="21.6" thickBot="1">
      <c r="J134" s="2"/>
      <c r="K134" s="2"/>
      <c r="L134" s="2" t="s">
        <v>555</v>
      </c>
    </row>
    <row r="135" spans="10:12" ht="42.6" thickBot="1">
      <c r="J135" s="2"/>
      <c r="K135" s="2"/>
      <c r="L135" s="2" t="s">
        <v>556</v>
      </c>
    </row>
    <row r="136" spans="10:12" ht="63.6" thickBot="1">
      <c r="J136" s="2"/>
      <c r="K136" s="2"/>
      <c r="L136" s="2" t="s">
        <v>270</v>
      </c>
    </row>
    <row r="137" spans="10:12" ht="63.6" thickBot="1">
      <c r="J137" s="2"/>
      <c r="K137" s="2"/>
      <c r="L137" s="2" t="s">
        <v>287</v>
      </c>
    </row>
    <row r="138" spans="10:12" ht="42.6" thickBot="1">
      <c r="J138" s="2"/>
      <c r="K138" s="2"/>
      <c r="L138" s="2" t="s">
        <v>245</v>
      </c>
    </row>
    <row r="139" spans="10:12" ht="42.6" thickBot="1">
      <c r="J139" s="2"/>
      <c r="K139" s="2"/>
      <c r="L139" s="2" t="s">
        <v>276</v>
      </c>
    </row>
    <row r="140" spans="10:12" ht="42.6" thickBot="1">
      <c r="J140" s="2"/>
      <c r="K140" s="2"/>
      <c r="L140" s="2" t="s">
        <v>280</v>
      </c>
    </row>
    <row r="141" spans="10:12" ht="21.6" thickBot="1">
      <c r="J141" s="2"/>
      <c r="K141" s="2"/>
      <c r="L141" s="2" t="s">
        <v>557</v>
      </c>
    </row>
    <row r="142" spans="10:12" ht="21.6" thickBot="1">
      <c r="J142" s="2"/>
      <c r="K142" s="2"/>
      <c r="L142" s="2" t="s">
        <v>278</v>
      </c>
    </row>
    <row r="143" spans="10:12" ht="42.6" thickBot="1">
      <c r="J143" s="2"/>
      <c r="K143" s="2"/>
      <c r="L143" s="2" t="s">
        <v>290</v>
      </c>
    </row>
    <row r="144" spans="10:12" ht="21.6" thickBot="1">
      <c r="J144" s="2"/>
      <c r="K144" s="2"/>
      <c r="L144" s="2" t="s">
        <v>299</v>
      </c>
    </row>
    <row r="145" spans="10:12" ht="21.6" thickBot="1">
      <c r="J145" s="2"/>
      <c r="K145" s="2"/>
      <c r="L145" s="2" t="s">
        <v>309</v>
      </c>
    </row>
    <row r="146" spans="10:12" ht="63.6" thickBot="1">
      <c r="J146" s="2"/>
      <c r="K146" s="2"/>
      <c r="L146" s="2" t="s">
        <v>306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310</v>
      </c>
    </row>
    <row r="149" spans="10:12" ht="42.6" thickBot="1">
      <c r="J149" s="2"/>
      <c r="K149" s="2"/>
      <c r="L149" s="2" t="s">
        <v>338</v>
      </c>
    </row>
    <row r="150" spans="10:12" ht="63.6" thickBot="1">
      <c r="J150" s="2"/>
      <c r="K150" s="2"/>
      <c r="L150" s="2" t="s">
        <v>558</v>
      </c>
    </row>
    <row r="151" spans="10:12" ht="63.6" thickBot="1">
      <c r="J151" s="2"/>
      <c r="K151" s="2"/>
      <c r="L151" s="2" t="s">
        <v>352</v>
      </c>
    </row>
    <row r="152" spans="10:12" ht="42.6" thickBot="1">
      <c r="J152" s="2"/>
      <c r="K152" s="2"/>
      <c r="L152" s="2" t="s">
        <v>333</v>
      </c>
    </row>
    <row r="153" spans="10:12" ht="42.6" thickBot="1">
      <c r="J153" s="2"/>
      <c r="K153" s="2"/>
      <c r="L153" s="2" t="s">
        <v>321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559</v>
      </c>
    </row>
    <row r="156" spans="10:12" ht="63.6" thickBot="1">
      <c r="J156" s="2"/>
      <c r="K156" s="2"/>
      <c r="L156" s="2" t="s">
        <v>560</v>
      </c>
    </row>
    <row r="157" spans="10:12" ht="63.6" thickBot="1">
      <c r="J157" s="2"/>
      <c r="K157" s="2"/>
      <c r="L157" s="2" t="s">
        <v>560</v>
      </c>
    </row>
    <row r="158" spans="10:12" ht="63.6" thickBot="1">
      <c r="J158" s="2"/>
      <c r="K158" s="2"/>
      <c r="L158" s="2" t="s">
        <v>356</v>
      </c>
    </row>
    <row r="159" spans="10:12" ht="63.6" thickBot="1">
      <c r="J159" s="2"/>
      <c r="K159" s="2"/>
      <c r="L159" s="2" t="s">
        <v>348</v>
      </c>
    </row>
    <row r="160" spans="10:12" ht="42">
      <c r="J160" s="2"/>
      <c r="K160" s="2"/>
      <c r="L160" s="2" t="s">
        <v>389</v>
      </c>
    </row>
    <row r="161" spans="10:12" ht="42">
      <c r="J161" s="2"/>
      <c r="K161" s="2"/>
      <c r="L161" s="2" t="s">
        <v>381</v>
      </c>
    </row>
    <row r="162" spans="10:12" ht="42">
      <c r="J162" s="2"/>
      <c r="K162" s="2"/>
      <c r="L162" s="2" t="s">
        <v>404</v>
      </c>
    </row>
    <row r="163" spans="10:12" ht="63">
      <c r="J163" s="2"/>
      <c r="K163" s="2"/>
      <c r="L163" s="2" t="s">
        <v>396</v>
      </c>
    </row>
    <row r="164" spans="10:12" ht="82.5">
      <c r="J164" s="2"/>
      <c r="K164" s="2"/>
      <c r="L164" s="2" t="s">
        <v>410</v>
      </c>
    </row>
    <row r="165" spans="10:12" ht="82.5">
      <c r="J165" s="2"/>
      <c r="K165" s="2"/>
      <c r="L165" s="2" t="s">
        <v>371</v>
      </c>
    </row>
    <row r="166" spans="10:12" ht="62.25">
      <c r="J166" s="2"/>
      <c r="K166" s="2"/>
      <c r="L166" s="2" t="s">
        <v>327</v>
      </c>
    </row>
    <row r="167" spans="10:12" ht="82.5">
      <c r="J167" s="2"/>
      <c r="K167" s="2"/>
      <c r="L167" s="2" t="s">
        <v>410</v>
      </c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561</v>
      </c>
      <c r="C1" t="s">
        <v>562</v>
      </c>
    </row>
    <row r="2" spans="1:3">
      <c r="A2">
        <v>2026</v>
      </c>
      <c r="B2" t="s">
        <v>563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564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19" bestFit="1" customWidth="1"/>
    <col min="2" max="2" width="28.25" style="119" bestFit="1" customWidth="1"/>
    <col min="3" max="3" width="15.625" style="119" customWidth="1"/>
    <col min="4" max="4" width="13.625" style="119" customWidth="1"/>
    <col min="5" max="7" width="9" style="119"/>
    <col min="8" max="8" width="22.125" style="119" bestFit="1" customWidth="1"/>
    <col min="9" max="11" width="9" style="119"/>
    <col min="12" max="12" width="9.875" style="119" bestFit="1" customWidth="1"/>
    <col min="13" max="16384" width="9" style="119"/>
  </cols>
  <sheetData>
    <row r="1" spans="1:30">
      <c r="A1" s="197" t="s">
        <v>565</v>
      </c>
      <c r="B1" s="193" t="s">
        <v>566</v>
      </c>
      <c r="C1" s="193" t="s">
        <v>567</v>
      </c>
      <c r="D1" s="193" t="s">
        <v>568</v>
      </c>
      <c r="E1" s="190" t="s">
        <v>569</v>
      </c>
      <c r="F1" s="191"/>
      <c r="G1" s="192"/>
      <c r="H1" s="193" t="s">
        <v>570</v>
      </c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8"/>
    </row>
    <row r="2" spans="1:30">
      <c r="A2" s="198"/>
      <c r="B2" s="194"/>
      <c r="C2" s="194"/>
      <c r="D2" s="194"/>
      <c r="E2" s="120" t="s">
        <v>41</v>
      </c>
      <c r="F2" s="120" t="s">
        <v>82</v>
      </c>
      <c r="G2" s="121" t="s">
        <v>571</v>
      </c>
      <c r="H2" s="194"/>
      <c r="I2" s="122"/>
      <c r="J2" s="122"/>
      <c r="K2" s="122" t="s">
        <v>572</v>
      </c>
      <c r="L2" s="123">
        <v>23000</v>
      </c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4"/>
    </row>
    <row r="3" spans="1:30">
      <c r="A3" s="125" t="s">
        <v>573</v>
      </c>
      <c r="B3" s="126"/>
      <c r="C3" s="126"/>
      <c r="D3" s="126"/>
      <c r="E3" s="126">
        <v>31</v>
      </c>
      <c r="F3" s="126">
        <v>20</v>
      </c>
      <c r="G3" s="126">
        <v>14</v>
      </c>
      <c r="H3" s="126"/>
      <c r="I3" s="122"/>
      <c r="J3" s="122"/>
      <c r="K3" s="122" t="s">
        <v>574</v>
      </c>
      <c r="L3" s="127">
        <v>178675</v>
      </c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4"/>
    </row>
    <row r="4" spans="1:30">
      <c r="A4" s="125" t="s">
        <v>575</v>
      </c>
      <c r="B4" s="126"/>
      <c r="C4" s="126"/>
      <c r="D4" s="126"/>
      <c r="E4" s="126"/>
      <c r="F4" s="126"/>
      <c r="G4" s="126"/>
      <c r="H4" s="126"/>
      <c r="I4" s="122"/>
      <c r="J4" s="122"/>
      <c r="K4" s="122" t="s">
        <v>576</v>
      </c>
      <c r="L4" s="127">
        <v>229650</v>
      </c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4"/>
    </row>
    <row r="5" spans="1:30">
      <c r="A5" s="199" t="s">
        <v>577</v>
      </c>
      <c r="B5" s="126" t="s">
        <v>578</v>
      </c>
      <c r="C5" s="128">
        <v>491400</v>
      </c>
      <c r="D5" s="126" t="s">
        <v>579</v>
      </c>
      <c r="E5" s="126">
        <v>589</v>
      </c>
      <c r="F5" s="126"/>
      <c r="G5" s="126">
        <v>350</v>
      </c>
      <c r="H5" s="126"/>
      <c r="I5" s="122"/>
      <c r="J5" s="122"/>
      <c r="K5" s="122" t="s">
        <v>580</v>
      </c>
      <c r="L5" s="122">
        <v>12910</v>
      </c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4"/>
    </row>
    <row r="6" spans="1:30">
      <c r="A6" s="200"/>
      <c r="B6" s="126" t="s">
        <v>581</v>
      </c>
      <c r="C6" s="128">
        <v>80000</v>
      </c>
      <c r="D6" s="126" t="s">
        <v>579</v>
      </c>
      <c r="E6" s="126"/>
      <c r="F6" s="126"/>
      <c r="G6" s="126"/>
      <c r="H6" s="126"/>
      <c r="I6" s="122"/>
      <c r="J6" s="122"/>
      <c r="K6" s="122" t="s">
        <v>582</v>
      </c>
      <c r="L6" s="127">
        <v>57930</v>
      </c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4"/>
    </row>
    <row r="7" spans="1:30">
      <c r="A7" s="201"/>
      <c r="B7" s="129" t="s">
        <v>583</v>
      </c>
      <c r="C7" s="128">
        <v>12157</v>
      </c>
      <c r="D7" s="126"/>
      <c r="E7" s="126"/>
      <c r="F7" s="126"/>
      <c r="G7" s="126"/>
      <c r="H7" s="126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4"/>
    </row>
    <row r="8" spans="1:30">
      <c r="A8" s="125" t="s">
        <v>584</v>
      </c>
      <c r="B8" s="126" t="s">
        <v>584</v>
      </c>
      <c r="C8" s="126">
        <v>0</v>
      </c>
      <c r="D8" s="126"/>
      <c r="E8" s="126"/>
      <c r="F8" s="126"/>
      <c r="G8" s="126"/>
      <c r="H8" s="126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4"/>
    </row>
    <row r="9" spans="1:30">
      <c r="A9" s="199" t="s">
        <v>585</v>
      </c>
      <c r="B9" s="126" t="s">
        <v>586</v>
      </c>
      <c r="C9" s="126">
        <v>241.375</v>
      </c>
      <c r="D9" s="126" t="s">
        <v>587</v>
      </c>
      <c r="E9" s="126"/>
      <c r="F9" s="126">
        <v>5</v>
      </c>
      <c r="G9" s="126"/>
      <c r="H9" s="126">
        <v>2.6</v>
      </c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4"/>
    </row>
    <row r="10" spans="1:30">
      <c r="A10" s="201"/>
      <c r="B10" s="129" t="s">
        <v>588</v>
      </c>
      <c r="C10" s="126">
        <v>139.8583333</v>
      </c>
      <c r="D10" s="126"/>
      <c r="E10" s="126"/>
      <c r="F10" s="126"/>
      <c r="G10" s="126"/>
      <c r="H10" s="126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4"/>
    </row>
    <row r="11" spans="1:30">
      <c r="A11" s="199" t="s">
        <v>442</v>
      </c>
      <c r="B11" s="126" t="s">
        <v>589</v>
      </c>
      <c r="C11" s="126">
        <v>95.833333330000002</v>
      </c>
      <c r="D11" s="126" t="s">
        <v>587</v>
      </c>
      <c r="E11" s="126">
        <v>15</v>
      </c>
      <c r="F11" s="126">
        <v>5</v>
      </c>
      <c r="G11" s="126">
        <v>13</v>
      </c>
      <c r="H11" s="126">
        <v>0.5</v>
      </c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4"/>
    </row>
    <row r="12" spans="1:30">
      <c r="A12" s="200"/>
      <c r="B12" s="126" t="s">
        <v>590</v>
      </c>
      <c r="C12" s="126">
        <v>241.375</v>
      </c>
      <c r="D12" s="126" t="s">
        <v>587</v>
      </c>
      <c r="E12" s="126"/>
      <c r="F12" s="126"/>
      <c r="G12" s="126"/>
      <c r="H12" s="126"/>
      <c r="I12" s="122"/>
      <c r="J12" s="122"/>
      <c r="K12" s="122" t="s">
        <v>591</v>
      </c>
      <c r="L12" s="122">
        <v>65</v>
      </c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4"/>
    </row>
    <row r="13" spans="1:30">
      <c r="A13" s="200"/>
      <c r="B13" s="129" t="s">
        <v>592</v>
      </c>
      <c r="C13" s="126">
        <v>2529.0625</v>
      </c>
      <c r="D13" s="126"/>
      <c r="E13" s="126"/>
      <c r="F13" s="126"/>
      <c r="G13" s="126"/>
      <c r="H13" s="126"/>
      <c r="I13" s="122"/>
      <c r="J13" s="122"/>
      <c r="K13" s="122" t="s">
        <v>593</v>
      </c>
      <c r="L13" s="122">
        <v>32</v>
      </c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4"/>
    </row>
    <row r="14" spans="1:30">
      <c r="A14" s="200"/>
      <c r="B14" s="129" t="s">
        <v>594</v>
      </c>
      <c r="C14" s="126">
        <v>2529.0625</v>
      </c>
      <c r="D14" s="126"/>
      <c r="E14" s="126"/>
      <c r="F14" s="126"/>
      <c r="G14" s="126"/>
      <c r="H14" s="126"/>
      <c r="I14" s="122"/>
      <c r="J14" s="122"/>
      <c r="K14" s="122" t="s">
        <v>344</v>
      </c>
      <c r="L14" s="122">
        <v>7</v>
      </c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4"/>
    </row>
    <row r="15" spans="1:30">
      <c r="A15" s="201"/>
      <c r="B15" s="129" t="s">
        <v>571</v>
      </c>
      <c r="C15" s="126">
        <v>2191.854167</v>
      </c>
      <c r="D15" s="126"/>
      <c r="E15" s="126"/>
      <c r="F15" s="126"/>
      <c r="G15" s="126"/>
      <c r="H15" s="126"/>
      <c r="I15" s="122"/>
      <c r="J15" s="122"/>
      <c r="K15" s="122" t="s">
        <v>595</v>
      </c>
      <c r="L15" s="122">
        <v>33</v>
      </c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4"/>
    </row>
    <row r="16" spans="1:30">
      <c r="A16" s="199" t="s">
        <v>415</v>
      </c>
      <c r="B16" s="126" t="s">
        <v>589</v>
      </c>
      <c r="C16" s="126">
        <v>95.833333330000002</v>
      </c>
      <c r="D16" s="126" t="s">
        <v>587</v>
      </c>
      <c r="E16" s="126">
        <v>4</v>
      </c>
      <c r="F16" s="126">
        <v>3</v>
      </c>
      <c r="G16" s="126">
        <v>3</v>
      </c>
      <c r="H16" s="126">
        <v>0.5</v>
      </c>
      <c r="I16" s="122"/>
      <c r="J16" s="122"/>
      <c r="K16" s="122" t="s">
        <v>596</v>
      </c>
      <c r="L16" s="122">
        <v>4</v>
      </c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4"/>
    </row>
    <row r="17" spans="1:30">
      <c r="A17" s="200"/>
      <c r="B17" s="126" t="s">
        <v>597</v>
      </c>
      <c r="C17" s="126">
        <v>956.875</v>
      </c>
      <c r="D17" s="126" t="s">
        <v>587</v>
      </c>
      <c r="E17" s="126"/>
      <c r="F17" s="126"/>
      <c r="G17" s="126"/>
      <c r="H17" s="126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4"/>
    </row>
    <row r="18" spans="1:30">
      <c r="A18" s="200"/>
      <c r="B18" s="126" t="s">
        <v>598</v>
      </c>
      <c r="C18" s="126">
        <v>53.791666669999998</v>
      </c>
      <c r="D18" s="126" t="s">
        <v>587</v>
      </c>
      <c r="E18" s="126"/>
      <c r="F18" s="126"/>
      <c r="G18" s="126"/>
      <c r="H18" s="126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4"/>
    </row>
    <row r="19" spans="1:30">
      <c r="A19" s="200"/>
      <c r="B19" s="126" t="s">
        <v>599</v>
      </c>
      <c r="C19" s="126">
        <v>956.875</v>
      </c>
      <c r="D19" s="126" t="s">
        <v>587</v>
      </c>
      <c r="E19" s="126"/>
      <c r="F19" s="126"/>
      <c r="G19" s="126"/>
      <c r="H19" s="126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4"/>
    </row>
    <row r="20" spans="1:30">
      <c r="A20" s="200"/>
      <c r="B20" s="129" t="s">
        <v>600</v>
      </c>
      <c r="C20" s="126">
        <v>3095.0625</v>
      </c>
      <c r="D20" s="126"/>
      <c r="E20" s="126"/>
      <c r="F20" s="126"/>
      <c r="G20" s="126"/>
      <c r="H20" s="126"/>
      <c r="I20" s="122"/>
      <c r="J20" s="122"/>
      <c r="K20" s="122">
        <v>2550</v>
      </c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4"/>
    </row>
    <row r="21" spans="1:30">
      <c r="A21" s="200"/>
      <c r="B21" s="129" t="s">
        <v>601</v>
      </c>
      <c r="C21" s="126">
        <v>4126.75</v>
      </c>
      <c r="D21" s="126"/>
      <c r="E21" s="126"/>
      <c r="F21" s="126"/>
      <c r="G21" s="126"/>
      <c r="H21" s="126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4"/>
    </row>
    <row r="22" spans="1:30">
      <c r="A22" s="201"/>
      <c r="B22" s="129" t="s">
        <v>602</v>
      </c>
      <c r="C22" s="126">
        <v>3095.0625</v>
      </c>
      <c r="D22" s="126"/>
      <c r="E22" s="126"/>
      <c r="F22" s="126"/>
      <c r="G22" s="126"/>
      <c r="H22" s="126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4"/>
    </row>
    <row r="23" spans="1:30">
      <c r="A23" s="125" t="s">
        <v>603</v>
      </c>
      <c r="B23" s="129" t="s">
        <v>604</v>
      </c>
      <c r="C23" s="126">
        <v>1000</v>
      </c>
      <c r="D23" s="126"/>
      <c r="E23" s="126"/>
      <c r="F23" s="126"/>
      <c r="G23" s="126"/>
      <c r="H23" s="126"/>
      <c r="I23" s="122"/>
      <c r="J23" s="122"/>
      <c r="K23" s="122" t="s">
        <v>605</v>
      </c>
      <c r="L23" s="122">
        <v>2</v>
      </c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4"/>
    </row>
    <row r="24" spans="1:30">
      <c r="A24" s="199" t="s">
        <v>606</v>
      </c>
      <c r="B24" s="195" t="s">
        <v>607</v>
      </c>
      <c r="C24" s="128">
        <v>1800</v>
      </c>
      <c r="D24" s="126" t="s">
        <v>608</v>
      </c>
      <c r="E24" s="126">
        <v>1</v>
      </c>
      <c r="F24" s="126">
        <v>1</v>
      </c>
      <c r="G24" s="126">
        <v>1</v>
      </c>
      <c r="H24" s="126"/>
      <c r="I24" s="122"/>
      <c r="J24" s="122"/>
      <c r="K24" s="122" t="s">
        <v>609</v>
      </c>
      <c r="L24" s="122">
        <v>14</v>
      </c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4"/>
    </row>
    <row r="25" spans="1:30">
      <c r="A25" s="201"/>
      <c r="B25" s="196"/>
      <c r="C25" s="128">
        <v>2000</v>
      </c>
      <c r="D25" s="126" t="s">
        <v>610</v>
      </c>
      <c r="E25" s="126"/>
      <c r="F25" s="126"/>
      <c r="G25" s="126"/>
      <c r="H25" s="126"/>
      <c r="I25" s="122"/>
      <c r="J25" s="122"/>
      <c r="K25" s="122" t="s">
        <v>611</v>
      </c>
      <c r="L25" s="122">
        <v>12</v>
      </c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4"/>
    </row>
    <row r="26" spans="1:30">
      <c r="A26" s="130"/>
      <c r="B26" s="122"/>
      <c r="C26" s="122"/>
      <c r="D26" s="122"/>
      <c r="E26" s="122"/>
      <c r="F26" s="122"/>
      <c r="G26" s="122"/>
      <c r="H26" s="122"/>
      <c r="I26" s="122"/>
      <c r="J26" s="122"/>
      <c r="K26" s="122" t="s">
        <v>164</v>
      </c>
      <c r="L26" s="122">
        <v>2</v>
      </c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4"/>
    </row>
    <row r="27" spans="1:30">
      <c r="A27" s="130" t="s">
        <v>588</v>
      </c>
      <c r="B27" s="122" t="s">
        <v>612</v>
      </c>
      <c r="C27" s="122" t="s">
        <v>608</v>
      </c>
      <c r="D27" s="122" t="s">
        <v>610</v>
      </c>
      <c r="E27" s="122"/>
      <c r="F27" s="122"/>
      <c r="G27" s="122"/>
      <c r="H27" s="122"/>
      <c r="I27" s="122"/>
      <c r="J27" s="122"/>
      <c r="K27" s="122" t="s">
        <v>72</v>
      </c>
      <c r="L27" s="122">
        <v>12</v>
      </c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4"/>
    </row>
    <row r="28" spans="1:30">
      <c r="A28" s="130" t="s">
        <v>82</v>
      </c>
      <c r="B28" s="123">
        <v>17921</v>
      </c>
      <c r="C28" s="123">
        <v>19721</v>
      </c>
      <c r="D28" s="123">
        <v>19921</v>
      </c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4"/>
    </row>
    <row r="29" spans="1:30">
      <c r="A29" s="130" t="s">
        <v>613</v>
      </c>
      <c r="B29" s="123">
        <v>19813</v>
      </c>
      <c r="C29" s="123">
        <v>21613</v>
      </c>
      <c r="D29" s="123">
        <v>21813</v>
      </c>
      <c r="E29" s="122"/>
      <c r="F29" s="122"/>
      <c r="G29" s="122"/>
      <c r="H29" s="122"/>
      <c r="I29" s="122"/>
      <c r="J29" s="122"/>
      <c r="K29" s="122" t="s">
        <v>614</v>
      </c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4"/>
    </row>
    <row r="30" spans="1:30">
      <c r="A30" s="130" t="s">
        <v>615</v>
      </c>
      <c r="B30" s="123">
        <v>19813</v>
      </c>
      <c r="C30" s="123">
        <v>21613</v>
      </c>
      <c r="D30" s="123">
        <v>21813</v>
      </c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4"/>
    </row>
    <row r="31" spans="1:30">
      <c r="A31" s="130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4"/>
    </row>
    <row r="32" spans="1:30">
      <c r="A32" s="130">
        <v>31666.666669999999</v>
      </c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4"/>
    </row>
    <row r="33" spans="1:30">
      <c r="A33" s="130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4"/>
    </row>
    <row r="34" spans="1:30">
      <c r="A34" s="130">
        <v>42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4"/>
    </row>
    <row r="35" spans="1:30">
      <c r="A35" s="130" t="s">
        <v>616</v>
      </c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4"/>
    </row>
    <row r="36" spans="1:30">
      <c r="A36" s="130" t="s">
        <v>617</v>
      </c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4"/>
    </row>
    <row r="37" spans="1:30">
      <c r="A37" s="133"/>
      <c r="B37" s="134" t="s">
        <v>618</v>
      </c>
      <c r="C37" s="134" t="s">
        <v>442</v>
      </c>
      <c r="D37" s="134" t="s">
        <v>415</v>
      </c>
      <c r="E37" s="135" t="s">
        <v>619</v>
      </c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4"/>
    </row>
    <row r="38" spans="1:30">
      <c r="A38" s="136" t="s">
        <v>620</v>
      </c>
      <c r="B38" s="137">
        <v>600</v>
      </c>
      <c r="C38" s="137">
        <v>15</v>
      </c>
      <c r="D38" s="137">
        <v>4</v>
      </c>
      <c r="E38" s="138">
        <v>1</v>
      </c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4"/>
    </row>
    <row r="39" spans="1:30">
      <c r="A39" s="139" t="s">
        <v>621</v>
      </c>
      <c r="B39" s="140">
        <v>350</v>
      </c>
      <c r="C39" s="140">
        <v>13</v>
      </c>
      <c r="D39" s="140">
        <v>3</v>
      </c>
      <c r="E39" s="141">
        <v>1</v>
      </c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4"/>
    </row>
    <row r="40" spans="1:30">
      <c r="A40" s="130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4"/>
    </row>
    <row r="41" spans="1:30">
      <c r="A41" s="130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4"/>
    </row>
    <row r="42" spans="1:30">
      <c r="A42" s="130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4"/>
    </row>
    <row r="43" spans="1:30">
      <c r="A43" s="130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4"/>
    </row>
    <row r="44" spans="1:30">
      <c r="A44" s="130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4"/>
    </row>
    <row r="45" spans="1:30">
      <c r="A45" s="130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4"/>
    </row>
    <row r="46" spans="1:30">
      <c r="A46" s="130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4"/>
    </row>
    <row r="47" spans="1:30">
      <c r="A47" s="130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4"/>
    </row>
    <row r="48" spans="1:30">
      <c r="A48" s="130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4"/>
    </row>
    <row r="49" spans="1:30">
      <c r="A49" s="130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4"/>
    </row>
    <row r="50" spans="1:30">
      <c r="A50" s="130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4"/>
    </row>
    <row r="51" spans="1:30">
      <c r="A51" s="130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4"/>
    </row>
    <row r="52" spans="1:30">
      <c r="A52" s="130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4"/>
    </row>
    <row r="53" spans="1:30">
      <c r="A53" s="130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4"/>
    </row>
    <row r="54" spans="1:30">
      <c r="A54" s="130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4"/>
    </row>
    <row r="55" spans="1:30">
      <c r="A55" s="130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4"/>
    </row>
    <row r="56" spans="1:30">
      <c r="A56" s="130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4"/>
    </row>
    <row r="57" spans="1:30">
      <c r="A57" s="130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4"/>
    </row>
    <row r="58" spans="1:30">
      <c r="A58" s="130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4"/>
    </row>
    <row r="59" spans="1:30">
      <c r="A59" s="130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4"/>
    </row>
    <row r="60" spans="1:30">
      <c r="A60" s="130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4"/>
    </row>
    <row r="61" spans="1:30">
      <c r="A61" s="130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4"/>
    </row>
    <row r="62" spans="1:30">
      <c r="A62" s="130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4"/>
    </row>
    <row r="63" spans="1:30">
      <c r="A63" s="130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4"/>
    </row>
    <row r="64" spans="1:30">
      <c r="A64" s="130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4"/>
    </row>
    <row r="65" spans="1:30">
      <c r="A65" s="130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  <c r="AD65" s="124"/>
    </row>
    <row r="66" spans="1:30">
      <c r="A66" s="130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4"/>
    </row>
    <row r="67" spans="1:30">
      <c r="A67" s="130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  <c r="AD67" s="124"/>
    </row>
    <row r="68" spans="1:30">
      <c r="A68" s="130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4"/>
    </row>
    <row r="69" spans="1:30">
      <c r="A69" s="130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4"/>
    </row>
    <row r="70" spans="1:30">
      <c r="A70" s="130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4"/>
    </row>
    <row r="71" spans="1:30">
      <c r="A71" s="130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4"/>
    </row>
    <row r="72" spans="1:30">
      <c r="A72" s="130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4"/>
    </row>
    <row r="73" spans="1:30">
      <c r="A73" s="130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4"/>
    </row>
    <row r="74" spans="1:30">
      <c r="A74" s="130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4"/>
    </row>
    <row r="75" spans="1:30">
      <c r="A75" s="130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  <c r="AD75" s="124"/>
    </row>
    <row r="76" spans="1:30">
      <c r="A76" s="130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4"/>
    </row>
    <row r="77" spans="1:30">
      <c r="A77" s="130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  <c r="AD77" s="124"/>
    </row>
    <row r="78" spans="1:30">
      <c r="A78" s="130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  <c r="AD78" s="124"/>
    </row>
    <row r="79" spans="1:30">
      <c r="A79" s="130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4"/>
    </row>
    <row r="80" spans="1:30">
      <c r="A80" s="130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  <c r="AD80" s="124"/>
    </row>
    <row r="81" spans="1:30">
      <c r="A81" s="130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4"/>
    </row>
    <row r="82" spans="1:30">
      <c r="A82" s="130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  <c r="AD82" s="124"/>
    </row>
    <row r="83" spans="1:30">
      <c r="A83" s="130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  <c r="AD83" s="124"/>
    </row>
    <row r="84" spans="1:30">
      <c r="A84" s="130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  <c r="AD84" s="124"/>
    </row>
    <row r="85" spans="1:30">
      <c r="A85" s="130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  <c r="AD85" s="124"/>
    </row>
    <row r="86" spans="1:30">
      <c r="A86" s="130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  <c r="AD86" s="124"/>
    </row>
    <row r="87" spans="1:30">
      <c r="A87" s="130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  <c r="AD87" s="124"/>
    </row>
    <row r="88" spans="1:30">
      <c r="A88" s="130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4"/>
    </row>
    <row r="89" spans="1:30">
      <c r="A89" s="130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  <c r="AD89" s="124"/>
    </row>
    <row r="90" spans="1:30">
      <c r="A90" s="130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4"/>
    </row>
    <row r="91" spans="1:30">
      <c r="A91" s="130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4"/>
    </row>
    <row r="92" spans="1:30">
      <c r="A92" s="130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4"/>
    </row>
    <row r="93" spans="1:30">
      <c r="A93" s="130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4"/>
    </row>
    <row r="94" spans="1:30">
      <c r="A94" s="130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4"/>
    </row>
    <row r="95" spans="1:30">
      <c r="A95" s="130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4"/>
    </row>
    <row r="96" spans="1:30">
      <c r="A96" s="130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  <c r="AD96" s="124"/>
    </row>
    <row r="97" spans="1:30">
      <c r="A97" s="130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4"/>
    </row>
    <row r="98" spans="1:30">
      <c r="A98" s="130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4"/>
    </row>
    <row r="99" spans="1:30">
      <c r="A99" s="130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  <c r="AD99" s="124"/>
    </row>
    <row r="100" spans="1:30">
      <c r="A100" s="130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4"/>
    </row>
    <row r="101" spans="1:30">
      <c r="A101" s="130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4"/>
    </row>
    <row r="102" spans="1:30">
      <c r="A102" s="130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  <c r="AD102" s="124"/>
    </row>
    <row r="103" spans="1:30">
      <c r="A103" s="130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  <c r="AD103" s="124"/>
    </row>
    <row r="104" spans="1:30">
      <c r="A104" s="130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  <c r="AD104" s="124"/>
    </row>
    <row r="105" spans="1:30">
      <c r="A105" s="130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4"/>
    </row>
    <row r="106" spans="1:30">
      <c r="A106" s="130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4"/>
    </row>
    <row r="107" spans="1:30">
      <c r="A107" s="130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  <c r="AD107" s="124"/>
    </row>
    <row r="108" spans="1:30">
      <c r="A108" s="130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4"/>
    </row>
    <row r="109" spans="1:30">
      <c r="A109" s="130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4"/>
    </row>
    <row r="110" spans="1:30">
      <c r="A110" s="130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4"/>
    </row>
    <row r="111" spans="1:30">
      <c r="A111" s="130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  <c r="AD111" s="124"/>
    </row>
    <row r="112" spans="1:30">
      <c r="A112" s="130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  <c r="AD112" s="124"/>
    </row>
    <row r="113" spans="1:30">
      <c r="A113" s="130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4"/>
    </row>
    <row r="114" spans="1:30">
      <c r="A114" s="130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4"/>
    </row>
    <row r="115" spans="1:30">
      <c r="A115" s="130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4"/>
    </row>
    <row r="116" spans="1:30">
      <c r="A116" s="130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4"/>
    </row>
    <row r="117" spans="1:30">
      <c r="A117" s="130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4"/>
    </row>
    <row r="118" spans="1:30">
      <c r="A118" s="130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4"/>
    </row>
    <row r="119" spans="1:30">
      <c r="A119" s="130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4"/>
    </row>
    <row r="120" spans="1:30">
      <c r="A120" s="130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4"/>
    </row>
    <row r="121" spans="1:30">
      <c r="A121" s="130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4"/>
    </row>
    <row r="122" spans="1:30">
      <c r="A122" s="130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4"/>
    </row>
    <row r="123" spans="1:30">
      <c r="A123" s="130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4"/>
    </row>
    <row r="124" spans="1:30">
      <c r="A124" s="130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4"/>
    </row>
    <row r="125" spans="1:30">
      <c r="A125" s="130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4"/>
    </row>
    <row r="126" spans="1:30">
      <c r="A126" s="130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4"/>
    </row>
    <row r="127" spans="1:30">
      <c r="A127" s="130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4"/>
    </row>
    <row r="128" spans="1:30">
      <c r="A128" s="130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4"/>
    </row>
    <row r="129" spans="1:30">
      <c r="A129" s="130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4"/>
    </row>
    <row r="130" spans="1:30">
      <c r="A130" s="130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4"/>
    </row>
    <row r="131" spans="1:30">
      <c r="A131" s="130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4"/>
    </row>
    <row r="132" spans="1:30">
      <c r="A132" s="130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4"/>
    </row>
    <row r="133" spans="1:30">
      <c r="A133" s="130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4"/>
    </row>
    <row r="134" spans="1:30">
      <c r="A134" s="130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4"/>
    </row>
    <row r="135" spans="1:30">
      <c r="A135" s="130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4"/>
    </row>
    <row r="136" spans="1:30">
      <c r="A136" s="130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4"/>
    </row>
    <row r="137" spans="1:30">
      <c r="A137" s="130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4"/>
    </row>
    <row r="138" spans="1:30">
      <c r="A138" s="130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4"/>
    </row>
    <row r="139" spans="1:30">
      <c r="A139" s="130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4"/>
    </row>
    <row r="140" spans="1:30">
      <c r="A140" s="130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4"/>
    </row>
    <row r="141" spans="1:30">
      <c r="A141" s="130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4"/>
    </row>
    <row r="142" spans="1:30">
      <c r="A142" s="130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4"/>
    </row>
    <row r="143" spans="1:30">
      <c r="A143" s="130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4"/>
    </row>
    <row r="144" spans="1:30">
      <c r="A144" s="130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4"/>
    </row>
    <row r="145" spans="1:30">
      <c r="A145" s="130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4"/>
    </row>
    <row r="146" spans="1:30">
      <c r="A146" s="130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4"/>
    </row>
    <row r="147" spans="1:30">
      <c r="A147" s="130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4"/>
    </row>
    <row r="148" spans="1:30">
      <c r="A148" s="130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4"/>
    </row>
    <row r="149" spans="1:30">
      <c r="A149" s="130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4"/>
    </row>
    <row r="150" spans="1:30">
      <c r="A150" s="130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4"/>
    </row>
    <row r="151" spans="1:30">
      <c r="A151" s="130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4"/>
    </row>
    <row r="152" spans="1:30">
      <c r="A152" s="130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4"/>
    </row>
    <row r="153" spans="1:30">
      <c r="A153" s="130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4"/>
    </row>
    <row r="154" spans="1:30">
      <c r="A154" s="130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4"/>
    </row>
    <row r="155" spans="1:30">
      <c r="A155" s="130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4"/>
    </row>
    <row r="156" spans="1:30">
      <c r="A156" s="130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4"/>
    </row>
    <row r="157" spans="1:30">
      <c r="A157" s="130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4"/>
    </row>
    <row r="158" spans="1:30">
      <c r="A158" s="130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4"/>
    </row>
    <row r="159" spans="1:30">
      <c r="A159" s="130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4"/>
    </row>
    <row r="160" spans="1:30">
      <c r="A160" s="130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4"/>
    </row>
    <row r="161" spans="1:30">
      <c r="A161" s="130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4"/>
    </row>
    <row r="162" spans="1:30">
      <c r="A162" s="130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4"/>
    </row>
    <row r="163" spans="1:30">
      <c r="A163" s="130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4"/>
    </row>
    <row r="164" spans="1:30">
      <c r="A164" s="130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4"/>
    </row>
    <row r="165" spans="1:30">
      <c r="A165" s="130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4"/>
    </row>
    <row r="166" spans="1:30">
      <c r="A166" s="130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4"/>
    </row>
    <row r="167" spans="1:30">
      <c r="A167" s="130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4"/>
    </row>
    <row r="168" spans="1:30">
      <c r="A168" s="130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4"/>
    </row>
    <row r="169" spans="1:30">
      <c r="A169" s="130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4"/>
    </row>
    <row r="170" spans="1:30">
      <c r="A170" s="130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4"/>
    </row>
    <row r="171" spans="1:30">
      <c r="A171" s="130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4"/>
    </row>
    <row r="172" spans="1:30">
      <c r="A172" s="130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4"/>
    </row>
    <row r="173" spans="1:30">
      <c r="A173" s="130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4"/>
    </row>
    <row r="174" spans="1:30">
      <c r="A174" s="130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4"/>
    </row>
    <row r="175" spans="1:30">
      <c r="A175" s="130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4"/>
    </row>
    <row r="176" spans="1:30">
      <c r="A176" s="130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4"/>
    </row>
    <row r="177" spans="1:30">
      <c r="A177" s="130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4"/>
    </row>
    <row r="178" spans="1:30">
      <c r="A178" s="130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4"/>
    </row>
    <row r="179" spans="1:30">
      <c r="A179" s="130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4"/>
    </row>
    <row r="180" spans="1:30">
      <c r="A180" s="130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4"/>
    </row>
    <row r="181" spans="1:30">
      <c r="A181" s="130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4"/>
    </row>
    <row r="182" spans="1:30">
      <c r="A182" s="130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4"/>
    </row>
    <row r="183" spans="1:30">
      <c r="A183" s="130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4"/>
    </row>
    <row r="184" spans="1:30">
      <c r="A184" s="130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4"/>
    </row>
    <row r="185" spans="1:30">
      <c r="A185" s="130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4"/>
    </row>
    <row r="186" spans="1:30">
      <c r="A186" s="130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4"/>
    </row>
    <row r="187" spans="1:30">
      <c r="A187" s="130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4"/>
    </row>
    <row r="188" spans="1:30">
      <c r="A188" s="130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4"/>
    </row>
    <row r="189" spans="1:30">
      <c r="A189" s="130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4"/>
    </row>
    <row r="190" spans="1:30">
      <c r="A190" s="130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4"/>
    </row>
    <row r="191" spans="1:30">
      <c r="A191" s="130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4"/>
    </row>
    <row r="192" spans="1:30">
      <c r="A192" s="130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4"/>
    </row>
    <row r="193" spans="1:30">
      <c r="A193" s="130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4"/>
    </row>
    <row r="194" spans="1:30">
      <c r="A194" s="130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4"/>
    </row>
    <row r="195" spans="1:30">
      <c r="A195" s="130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4"/>
    </row>
    <row r="196" spans="1:30">
      <c r="A196" s="130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4"/>
    </row>
    <row r="197" spans="1:30">
      <c r="A197" s="130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4"/>
    </row>
    <row r="198" spans="1:30">
      <c r="A198" s="130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4"/>
    </row>
    <row r="199" spans="1:30">
      <c r="A199" s="130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4"/>
    </row>
    <row r="200" spans="1:30">
      <c r="A200" s="130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4"/>
    </row>
    <row r="201" spans="1:30">
      <c r="A201" s="130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4"/>
    </row>
    <row r="202" spans="1:30">
      <c r="A202" s="130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4"/>
    </row>
    <row r="203" spans="1:30">
      <c r="A203" s="130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4"/>
    </row>
    <row r="204" spans="1:30">
      <c r="A204" s="130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4"/>
    </row>
    <row r="205" spans="1:30">
      <c r="A205" s="130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4"/>
    </row>
    <row r="206" spans="1:30">
      <c r="A206" s="130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4"/>
    </row>
    <row r="207" spans="1:30">
      <c r="A207" s="130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4"/>
    </row>
    <row r="208" spans="1:30">
      <c r="A208" s="130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4"/>
    </row>
    <row r="209" spans="1:30">
      <c r="A209" s="130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4"/>
    </row>
    <row r="210" spans="1:30">
      <c r="A210" s="130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4"/>
    </row>
    <row r="211" spans="1:30">
      <c r="A211" s="130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4"/>
    </row>
    <row r="212" spans="1:30">
      <c r="A212" s="130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4"/>
    </row>
    <row r="213" spans="1:30">
      <c r="A213" s="130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4"/>
    </row>
    <row r="214" spans="1:30">
      <c r="A214" s="130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4"/>
    </row>
    <row r="215" spans="1:30">
      <c r="A215" s="130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4"/>
    </row>
    <row r="216" spans="1:30">
      <c r="A216" s="130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4"/>
    </row>
    <row r="217" spans="1:30">
      <c r="A217" s="130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4"/>
    </row>
    <row r="218" spans="1:30">
      <c r="A218" s="130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4"/>
    </row>
    <row r="219" spans="1:30">
      <c r="A219" s="130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4"/>
    </row>
    <row r="220" spans="1:30">
      <c r="A220" s="130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4"/>
    </row>
    <row r="221" spans="1:30">
      <c r="A221" s="130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4"/>
    </row>
    <row r="222" spans="1:30">
      <c r="A222" s="130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4"/>
    </row>
    <row r="223" spans="1:30">
      <c r="A223" s="130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4"/>
    </row>
    <row r="224" spans="1:30">
      <c r="A224" s="130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4"/>
    </row>
    <row r="225" spans="1:30">
      <c r="A225" s="130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4"/>
    </row>
    <row r="226" spans="1:30">
      <c r="A226" s="130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4"/>
    </row>
    <row r="227" spans="1:30">
      <c r="A227" s="130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4"/>
    </row>
    <row r="228" spans="1:30">
      <c r="A228" s="130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4"/>
    </row>
    <row r="229" spans="1:30">
      <c r="A229" s="130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4"/>
    </row>
    <row r="230" spans="1:30">
      <c r="A230" s="130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4"/>
    </row>
    <row r="231" spans="1:30">
      <c r="A231" s="130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4"/>
    </row>
    <row r="232" spans="1:30">
      <c r="A232" s="130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4"/>
    </row>
    <row r="233" spans="1:30">
      <c r="A233" s="130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4"/>
    </row>
    <row r="234" spans="1:30">
      <c r="A234" s="130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4"/>
    </row>
    <row r="235" spans="1:30">
      <c r="A235" s="130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4"/>
    </row>
    <row r="236" spans="1:30">
      <c r="A236" s="130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4"/>
    </row>
    <row r="237" spans="1:30">
      <c r="A237" s="130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4"/>
    </row>
    <row r="238" spans="1:30">
      <c r="A238" s="130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4"/>
    </row>
    <row r="239" spans="1:30">
      <c r="A239" s="130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4"/>
    </row>
    <row r="240" spans="1:30">
      <c r="A240" s="130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4"/>
    </row>
    <row r="241" spans="1:30">
      <c r="A241" s="130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4"/>
    </row>
    <row r="242" spans="1:30">
      <c r="A242" s="130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4"/>
    </row>
    <row r="243" spans="1:30">
      <c r="A243" s="130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4"/>
    </row>
    <row r="244" spans="1:30">
      <c r="A244" s="130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4"/>
    </row>
    <row r="245" spans="1:30">
      <c r="A245" s="130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4"/>
    </row>
    <row r="246" spans="1:30">
      <c r="A246" s="130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4"/>
    </row>
    <row r="247" spans="1:30">
      <c r="A247" s="130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4"/>
    </row>
    <row r="248" spans="1:30">
      <c r="A248" s="130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4"/>
    </row>
    <row r="249" spans="1:30">
      <c r="A249" s="130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4"/>
    </row>
    <row r="250" spans="1:30">
      <c r="A250" s="130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4"/>
    </row>
    <row r="251" spans="1:30">
      <c r="A251" s="130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4"/>
    </row>
    <row r="252" spans="1:30">
      <c r="A252" s="130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4"/>
    </row>
    <row r="253" spans="1:30">
      <c r="A253" s="130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4"/>
    </row>
    <row r="254" spans="1:30">
      <c r="A254" s="130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4"/>
    </row>
    <row r="255" spans="1:30">
      <c r="A255" s="130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4"/>
    </row>
    <row r="256" spans="1:30">
      <c r="A256" s="130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4"/>
    </row>
    <row r="257" spans="1:30">
      <c r="A257" s="130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4"/>
    </row>
    <row r="258" spans="1:30">
      <c r="A258" s="130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4"/>
    </row>
    <row r="259" spans="1:30">
      <c r="A259" s="130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4"/>
    </row>
    <row r="260" spans="1:30">
      <c r="A260" s="130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4"/>
    </row>
    <row r="261" spans="1:30">
      <c r="A261" s="130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4"/>
    </row>
    <row r="262" spans="1:30">
      <c r="A262" s="130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4"/>
    </row>
    <row r="263" spans="1:30">
      <c r="A263" s="130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4"/>
    </row>
    <row r="264" spans="1:30">
      <c r="A264" s="130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4"/>
    </row>
    <row r="265" spans="1:30">
      <c r="A265" s="130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4"/>
    </row>
    <row r="266" spans="1:30">
      <c r="A266" s="130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4"/>
    </row>
    <row r="267" spans="1:30">
      <c r="A267" s="130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4"/>
    </row>
    <row r="268" spans="1:30">
      <c r="A268" s="130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4"/>
    </row>
    <row r="269" spans="1:30">
      <c r="A269" s="130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4"/>
    </row>
    <row r="270" spans="1:30">
      <c r="A270" s="130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4"/>
    </row>
    <row r="271" spans="1:30">
      <c r="A271" s="130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4"/>
    </row>
    <row r="272" spans="1:30">
      <c r="A272" s="130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4"/>
    </row>
    <row r="273" spans="1:30">
      <c r="A273" s="130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4"/>
    </row>
    <row r="274" spans="1:30">
      <c r="A274" s="130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4"/>
    </row>
    <row r="275" spans="1:30">
      <c r="A275" s="130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4"/>
    </row>
    <row r="276" spans="1:30">
      <c r="A276" s="130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4"/>
    </row>
    <row r="277" spans="1:30">
      <c r="A277" s="130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4"/>
    </row>
    <row r="278" spans="1:30">
      <c r="A278" s="130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4"/>
    </row>
    <row r="279" spans="1:30">
      <c r="A279" s="130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4"/>
    </row>
    <row r="280" spans="1:30">
      <c r="A280" s="130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4"/>
    </row>
    <row r="281" spans="1:30">
      <c r="A281" s="130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4"/>
    </row>
    <row r="282" spans="1:30">
      <c r="A282" s="130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4"/>
    </row>
    <row r="283" spans="1:30">
      <c r="A283" s="130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4"/>
    </row>
    <row r="284" spans="1:30">
      <c r="A284" s="130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4"/>
    </row>
    <row r="285" spans="1:30">
      <c r="A285" s="130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4"/>
    </row>
    <row r="286" spans="1:30">
      <c r="A286" s="130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4"/>
    </row>
    <row r="287" spans="1:30">
      <c r="A287" s="130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4"/>
    </row>
    <row r="288" spans="1:30">
      <c r="A288" s="130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4"/>
    </row>
    <row r="289" spans="1:30">
      <c r="A289" s="130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4"/>
    </row>
    <row r="290" spans="1:30">
      <c r="A290" s="130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4"/>
    </row>
    <row r="291" spans="1:30">
      <c r="A291" s="130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4"/>
    </row>
    <row r="292" spans="1:30">
      <c r="A292" s="130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4"/>
    </row>
    <row r="293" spans="1:30">
      <c r="A293" s="130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4"/>
    </row>
    <row r="294" spans="1:30">
      <c r="A294" s="130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4"/>
    </row>
    <row r="295" spans="1:30">
      <c r="A295" s="130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4"/>
    </row>
    <row r="296" spans="1:30">
      <c r="A296" s="130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4"/>
    </row>
    <row r="297" spans="1:30">
      <c r="A297" s="130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4"/>
    </row>
    <row r="298" spans="1:30">
      <c r="A298" s="130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  <c r="AB298" s="122"/>
      <c r="AC298" s="122"/>
      <c r="AD298" s="124"/>
    </row>
    <row r="299" spans="1:30">
      <c r="A299" s="130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  <c r="AB299" s="122"/>
      <c r="AC299" s="122"/>
      <c r="AD299" s="124"/>
    </row>
    <row r="300" spans="1:30">
      <c r="A300" s="130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  <c r="AB300" s="122"/>
      <c r="AC300" s="122"/>
      <c r="AD300" s="124"/>
    </row>
    <row r="301" spans="1:30">
      <c r="A301" s="130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  <c r="AB301" s="122"/>
      <c r="AC301" s="122"/>
      <c r="AD301" s="124"/>
    </row>
    <row r="302" spans="1:30">
      <c r="A302" s="130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  <c r="AB302" s="122"/>
      <c r="AC302" s="122"/>
      <c r="AD302" s="124"/>
    </row>
    <row r="303" spans="1:30">
      <c r="A303" s="130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  <c r="AB303" s="122"/>
      <c r="AC303" s="122"/>
      <c r="AD303" s="124"/>
    </row>
    <row r="304" spans="1:30">
      <c r="A304" s="130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  <c r="AB304" s="122"/>
      <c r="AC304" s="122"/>
      <c r="AD304" s="124"/>
    </row>
    <row r="305" spans="1:30">
      <c r="A305" s="130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4"/>
    </row>
    <row r="306" spans="1:30">
      <c r="A306" s="130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4"/>
    </row>
    <row r="307" spans="1:30">
      <c r="A307" s="130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4"/>
    </row>
    <row r="308" spans="1:30">
      <c r="A308" s="130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  <c r="AB308" s="122"/>
      <c r="AC308" s="122"/>
      <c r="AD308" s="124"/>
    </row>
    <row r="309" spans="1:30">
      <c r="A309" s="130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  <c r="AB309" s="122"/>
      <c r="AC309" s="122"/>
      <c r="AD309" s="124"/>
    </row>
    <row r="310" spans="1:30">
      <c r="A310" s="130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  <c r="AB310" s="122"/>
      <c r="AC310" s="122"/>
      <c r="AD310" s="124"/>
    </row>
    <row r="311" spans="1:30">
      <c r="A311" s="130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4"/>
    </row>
    <row r="312" spans="1:30">
      <c r="A312" s="130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4"/>
    </row>
    <row r="313" spans="1:30">
      <c r="A313" s="130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  <c r="AB313" s="122"/>
      <c r="AC313" s="122"/>
      <c r="AD313" s="124"/>
    </row>
    <row r="314" spans="1:30">
      <c r="A314" s="130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  <c r="AB314" s="122"/>
      <c r="AC314" s="122"/>
      <c r="AD314" s="124"/>
    </row>
    <row r="315" spans="1:30">
      <c r="A315" s="130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  <c r="AB315" s="122"/>
      <c r="AC315" s="122"/>
      <c r="AD315" s="124"/>
    </row>
    <row r="316" spans="1:30">
      <c r="A316" s="130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4"/>
    </row>
    <row r="317" spans="1:30">
      <c r="A317" s="130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  <c r="AB317" s="122"/>
      <c r="AC317" s="122"/>
      <c r="AD317" s="124"/>
    </row>
    <row r="318" spans="1:30">
      <c r="A318" s="130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  <c r="AB318" s="122"/>
      <c r="AC318" s="122"/>
      <c r="AD318" s="124"/>
    </row>
    <row r="319" spans="1:30">
      <c r="A319" s="130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  <c r="AB319" s="122"/>
      <c r="AC319" s="122"/>
      <c r="AD319" s="124"/>
    </row>
    <row r="320" spans="1:30">
      <c r="A320" s="130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  <c r="AB320" s="122"/>
      <c r="AC320" s="122"/>
      <c r="AD320" s="124"/>
    </row>
    <row r="321" spans="1:30">
      <c r="A321" s="130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  <c r="AB321" s="122"/>
      <c r="AC321" s="122"/>
      <c r="AD321" s="124"/>
    </row>
    <row r="322" spans="1:30">
      <c r="A322" s="130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  <c r="AB322" s="122"/>
      <c r="AC322" s="122"/>
      <c r="AD322" s="124"/>
    </row>
    <row r="323" spans="1:30">
      <c r="A323" s="130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  <c r="AB323" s="122"/>
      <c r="AC323" s="122"/>
      <c r="AD323" s="124"/>
    </row>
    <row r="324" spans="1:30">
      <c r="A324" s="130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  <c r="AB324" s="122"/>
      <c r="AC324" s="122"/>
      <c r="AD324" s="124"/>
    </row>
    <row r="325" spans="1:30">
      <c r="A325" s="130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  <c r="AB325" s="122"/>
      <c r="AC325" s="122"/>
      <c r="AD325" s="124"/>
    </row>
    <row r="326" spans="1:30">
      <c r="A326" s="130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  <c r="AB326" s="122"/>
      <c r="AC326" s="122"/>
      <c r="AD326" s="124"/>
    </row>
    <row r="327" spans="1:30">
      <c r="A327" s="130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4"/>
    </row>
    <row r="328" spans="1:30">
      <c r="A328" s="130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  <c r="AB328" s="122"/>
      <c r="AC328" s="122"/>
      <c r="AD328" s="124"/>
    </row>
    <row r="329" spans="1:30">
      <c r="A329" s="130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  <c r="AB329" s="122"/>
      <c r="AC329" s="122"/>
      <c r="AD329" s="124"/>
    </row>
    <row r="330" spans="1:30">
      <c r="A330" s="130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  <c r="AB330" s="122"/>
      <c r="AC330" s="122"/>
      <c r="AD330" s="124"/>
    </row>
    <row r="331" spans="1:30">
      <c r="A331" s="130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  <c r="AB331" s="122"/>
      <c r="AC331" s="122"/>
      <c r="AD331" s="124"/>
    </row>
    <row r="332" spans="1:30">
      <c r="A332" s="130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  <c r="AB332" s="122"/>
      <c r="AC332" s="122"/>
      <c r="AD332" s="124"/>
    </row>
    <row r="333" spans="1:30">
      <c r="A333" s="130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  <c r="AB333" s="122"/>
      <c r="AC333" s="122"/>
      <c r="AD333" s="124"/>
    </row>
    <row r="334" spans="1:30">
      <c r="A334" s="130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4"/>
    </row>
    <row r="335" spans="1:30">
      <c r="A335" s="130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4"/>
    </row>
    <row r="336" spans="1:30">
      <c r="A336" s="130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  <c r="AB336" s="122"/>
      <c r="AC336" s="122"/>
      <c r="AD336" s="124"/>
    </row>
    <row r="337" spans="1:30">
      <c r="A337" s="130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  <c r="AB337" s="122"/>
      <c r="AC337" s="122"/>
      <c r="AD337" s="124"/>
    </row>
    <row r="338" spans="1:30">
      <c r="A338" s="130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  <c r="AB338" s="122"/>
      <c r="AC338" s="122"/>
      <c r="AD338" s="124"/>
    </row>
    <row r="339" spans="1:30">
      <c r="A339" s="130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  <c r="AB339" s="122"/>
      <c r="AC339" s="122"/>
      <c r="AD339" s="124"/>
    </row>
    <row r="340" spans="1:30">
      <c r="A340" s="130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  <c r="AB340" s="122"/>
      <c r="AC340" s="122"/>
      <c r="AD340" s="124"/>
    </row>
    <row r="341" spans="1:30">
      <c r="A341" s="130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  <c r="AB341" s="122"/>
      <c r="AC341" s="122"/>
      <c r="AD341" s="124"/>
    </row>
    <row r="342" spans="1:30">
      <c r="A342" s="130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  <c r="AB342" s="122"/>
      <c r="AC342" s="122"/>
      <c r="AD342" s="124"/>
    </row>
    <row r="343" spans="1:30">
      <c r="A343" s="130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  <c r="AB343" s="122"/>
      <c r="AC343" s="122"/>
      <c r="AD343" s="124"/>
    </row>
    <row r="344" spans="1:30">
      <c r="A344" s="130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  <c r="AB344" s="122"/>
      <c r="AC344" s="122"/>
      <c r="AD344" s="124"/>
    </row>
    <row r="345" spans="1:30">
      <c r="A345" s="130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  <c r="AB345" s="122"/>
      <c r="AC345" s="122"/>
      <c r="AD345" s="124"/>
    </row>
    <row r="346" spans="1:30">
      <c r="A346" s="130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4"/>
    </row>
    <row r="347" spans="1:30">
      <c r="A347" s="130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  <c r="AB347" s="122"/>
      <c r="AC347" s="122"/>
      <c r="AD347" s="124"/>
    </row>
    <row r="348" spans="1:30">
      <c r="A348" s="130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  <c r="AB348" s="122"/>
      <c r="AC348" s="122"/>
      <c r="AD348" s="124"/>
    </row>
    <row r="349" spans="1:30">
      <c r="A349" s="130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  <c r="AB349" s="122"/>
      <c r="AC349" s="122"/>
      <c r="AD349" s="124"/>
    </row>
    <row r="350" spans="1:30">
      <c r="A350" s="130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  <c r="AB350" s="122"/>
      <c r="AC350" s="122"/>
      <c r="AD350" s="124"/>
    </row>
    <row r="351" spans="1:30">
      <c r="A351" s="130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  <c r="AB351" s="122"/>
      <c r="AC351" s="122"/>
      <c r="AD351" s="124"/>
    </row>
    <row r="352" spans="1:30">
      <c r="A352" s="130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  <c r="AB352" s="122"/>
      <c r="AC352" s="122"/>
      <c r="AD352" s="124"/>
    </row>
    <row r="353" spans="1:30">
      <c r="A353" s="130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  <c r="AB353" s="122"/>
      <c r="AC353" s="122"/>
      <c r="AD353" s="124"/>
    </row>
    <row r="354" spans="1:30">
      <c r="A354" s="130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  <c r="AB354" s="122"/>
      <c r="AC354" s="122"/>
      <c r="AD354" s="124"/>
    </row>
    <row r="355" spans="1:30">
      <c r="A355" s="130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  <c r="AB355" s="122"/>
      <c r="AC355" s="122"/>
      <c r="AD355" s="124"/>
    </row>
    <row r="356" spans="1:30">
      <c r="A356" s="130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  <c r="AB356" s="122"/>
      <c r="AC356" s="122"/>
      <c r="AD356" s="124"/>
    </row>
    <row r="357" spans="1:30">
      <c r="A357" s="130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4"/>
    </row>
    <row r="358" spans="1:30">
      <c r="A358" s="130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  <c r="AB358" s="122"/>
      <c r="AC358" s="122"/>
      <c r="AD358" s="124"/>
    </row>
    <row r="359" spans="1:30">
      <c r="A359" s="130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4"/>
    </row>
    <row r="360" spans="1:30">
      <c r="A360" s="130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  <c r="AB360" s="122"/>
      <c r="AC360" s="122"/>
      <c r="AD360" s="124"/>
    </row>
    <row r="361" spans="1:30">
      <c r="A361" s="130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  <c r="AB361" s="122"/>
      <c r="AC361" s="122"/>
      <c r="AD361" s="124"/>
    </row>
    <row r="362" spans="1:30">
      <c r="A362" s="130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  <c r="AB362" s="122"/>
      <c r="AC362" s="122"/>
      <c r="AD362" s="124"/>
    </row>
    <row r="363" spans="1:30">
      <c r="A363" s="130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4"/>
    </row>
    <row r="364" spans="1:30">
      <c r="A364" s="130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  <c r="AB364" s="122"/>
      <c r="AC364" s="122"/>
      <c r="AD364" s="124"/>
    </row>
    <row r="365" spans="1:30">
      <c r="A365" s="130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  <c r="AB365" s="122"/>
      <c r="AC365" s="122"/>
      <c r="AD365" s="124"/>
    </row>
    <row r="366" spans="1:30">
      <c r="A366" s="130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  <c r="AB366" s="122"/>
      <c r="AC366" s="122"/>
      <c r="AD366" s="124"/>
    </row>
    <row r="367" spans="1:30">
      <c r="A367" s="130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4"/>
    </row>
    <row r="368" spans="1:30">
      <c r="A368" s="130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4"/>
    </row>
    <row r="369" spans="1:30">
      <c r="A369" s="130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  <c r="AB369" s="122"/>
      <c r="AC369" s="122"/>
      <c r="AD369" s="124"/>
    </row>
    <row r="370" spans="1:30">
      <c r="A370" s="130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  <c r="AB370" s="122"/>
      <c r="AC370" s="122"/>
      <c r="AD370" s="124"/>
    </row>
    <row r="371" spans="1:30">
      <c r="A371" s="130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  <c r="AB371" s="122"/>
      <c r="AC371" s="122"/>
      <c r="AD371" s="124"/>
    </row>
    <row r="372" spans="1:30">
      <c r="A372" s="130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  <c r="AB372" s="122"/>
      <c r="AC372" s="122"/>
      <c r="AD372" s="124"/>
    </row>
    <row r="373" spans="1:30">
      <c r="A373" s="130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4"/>
    </row>
    <row r="374" spans="1:30">
      <c r="A374" s="130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  <c r="AB374" s="122"/>
      <c r="AC374" s="122"/>
      <c r="AD374" s="124"/>
    </row>
    <row r="375" spans="1:30">
      <c r="A375" s="130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  <c r="AB375" s="122"/>
      <c r="AC375" s="122"/>
      <c r="AD375" s="124"/>
    </row>
    <row r="376" spans="1:30">
      <c r="A376" s="130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  <c r="AB376" s="122"/>
      <c r="AC376" s="122"/>
      <c r="AD376" s="124"/>
    </row>
    <row r="377" spans="1:30">
      <c r="A377" s="130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4"/>
    </row>
    <row r="378" spans="1:30">
      <c r="A378" s="130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  <c r="AB378" s="122"/>
      <c r="AC378" s="122"/>
      <c r="AD378" s="124"/>
    </row>
    <row r="379" spans="1:30">
      <c r="A379" s="130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  <c r="AB379" s="122"/>
      <c r="AC379" s="122"/>
      <c r="AD379" s="124"/>
    </row>
    <row r="380" spans="1:30">
      <c r="A380" s="130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  <c r="AB380" s="122"/>
      <c r="AC380" s="122"/>
      <c r="AD380" s="124"/>
    </row>
    <row r="381" spans="1:30">
      <c r="A381" s="130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  <c r="AB381" s="122"/>
      <c r="AC381" s="122"/>
      <c r="AD381" s="124"/>
    </row>
    <row r="382" spans="1:30">
      <c r="A382" s="130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4"/>
    </row>
    <row r="383" spans="1:30">
      <c r="A383" s="130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  <c r="AB383" s="122"/>
      <c r="AC383" s="122"/>
      <c r="AD383" s="124"/>
    </row>
    <row r="384" spans="1:30">
      <c r="A384" s="130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4"/>
    </row>
    <row r="385" spans="1:30">
      <c r="A385" s="130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  <c r="AB385" s="122"/>
      <c r="AC385" s="122"/>
      <c r="AD385" s="124"/>
    </row>
    <row r="386" spans="1:30">
      <c r="A386" s="130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4"/>
    </row>
    <row r="387" spans="1:30">
      <c r="A387" s="130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  <c r="AB387" s="122"/>
      <c r="AC387" s="122"/>
      <c r="AD387" s="124"/>
    </row>
    <row r="388" spans="1:30">
      <c r="A388" s="130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  <c r="AB388" s="122"/>
      <c r="AC388" s="122"/>
      <c r="AD388" s="124"/>
    </row>
    <row r="389" spans="1:30">
      <c r="A389" s="130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4"/>
    </row>
    <row r="390" spans="1:30">
      <c r="A390" s="130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4"/>
    </row>
    <row r="391" spans="1:30">
      <c r="A391" s="130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4"/>
    </row>
    <row r="392" spans="1:30">
      <c r="A392" s="130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  <c r="AB392" s="122"/>
      <c r="AC392" s="122"/>
      <c r="AD392" s="124"/>
    </row>
    <row r="393" spans="1:30">
      <c r="A393" s="130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  <c r="AB393" s="122"/>
      <c r="AC393" s="122"/>
      <c r="AD393" s="124"/>
    </row>
    <row r="394" spans="1:30">
      <c r="A394" s="130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4"/>
    </row>
    <row r="395" spans="1:30">
      <c r="A395" s="130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  <c r="AB395" s="122"/>
      <c r="AC395" s="122"/>
      <c r="AD395" s="124"/>
    </row>
    <row r="396" spans="1:30">
      <c r="A396" s="130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4"/>
    </row>
    <row r="397" spans="1:30">
      <c r="A397" s="130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  <c r="AB397" s="122"/>
      <c r="AC397" s="122"/>
      <c r="AD397" s="124"/>
    </row>
    <row r="398" spans="1:30">
      <c r="A398" s="130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  <c r="AB398" s="122"/>
      <c r="AC398" s="122"/>
      <c r="AD398" s="124"/>
    </row>
    <row r="399" spans="1:30">
      <c r="A399" s="130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4"/>
    </row>
    <row r="400" spans="1:30">
      <c r="A400" s="130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  <c r="AB400" s="122"/>
      <c r="AC400" s="122"/>
      <c r="AD400" s="124"/>
    </row>
    <row r="401" spans="1:30">
      <c r="A401" s="130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  <c r="AB401" s="122"/>
      <c r="AC401" s="122"/>
      <c r="AD401" s="124"/>
    </row>
    <row r="402" spans="1:30">
      <c r="A402" s="130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4"/>
    </row>
    <row r="403" spans="1:30">
      <c r="A403" s="130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  <c r="AB403" s="122"/>
      <c r="AC403" s="122"/>
      <c r="AD403" s="124"/>
    </row>
    <row r="404" spans="1:30">
      <c r="A404" s="130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4"/>
    </row>
    <row r="405" spans="1:30">
      <c r="A405" s="130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  <c r="AB405" s="122"/>
      <c r="AC405" s="122"/>
      <c r="AD405" s="124"/>
    </row>
    <row r="406" spans="1:30">
      <c r="A406" s="130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  <c r="AB406" s="122"/>
      <c r="AC406" s="122"/>
      <c r="AD406" s="124"/>
    </row>
    <row r="407" spans="1:30">
      <c r="A407" s="130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  <c r="AB407" s="122"/>
      <c r="AC407" s="122"/>
      <c r="AD407" s="124"/>
    </row>
    <row r="408" spans="1:30">
      <c r="A408" s="130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  <c r="AB408" s="122"/>
      <c r="AC408" s="122"/>
      <c r="AD408" s="124"/>
    </row>
    <row r="409" spans="1:30">
      <c r="A409" s="130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  <c r="AB409" s="122"/>
      <c r="AC409" s="122"/>
      <c r="AD409" s="124"/>
    </row>
    <row r="410" spans="1:30">
      <c r="A410" s="130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  <c r="AB410" s="122"/>
      <c r="AC410" s="122"/>
      <c r="AD410" s="124"/>
    </row>
    <row r="411" spans="1:30">
      <c r="A411" s="130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4"/>
    </row>
    <row r="412" spans="1:30">
      <c r="A412" s="130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  <c r="AB412" s="122"/>
      <c r="AC412" s="122"/>
      <c r="AD412" s="124"/>
    </row>
    <row r="413" spans="1:30">
      <c r="A413" s="130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  <c r="AB413" s="122"/>
      <c r="AC413" s="122"/>
      <c r="AD413" s="124"/>
    </row>
    <row r="414" spans="1:30">
      <c r="A414" s="130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  <c r="AB414" s="122"/>
      <c r="AC414" s="122"/>
      <c r="AD414" s="124"/>
    </row>
    <row r="415" spans="1:30">
      <c r="A415" s="130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  <c r="AB415" s="122"/>
      <c r="AC415" s="122"/>
      <c r="AD415" s="124"/>
    </row>
    <row r="416" spans="1:30">
      <c r="A416" s="130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  <c r="AB416" s="122"/>
      <c r="AC416" s="122"/>
      <c r="AD416" s="124"/>
    </row>
    <row r="417" spans="1:30">
      <c r="A417" s="130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4"/>
    </row>
    <row r="418" spans="1:30">
      <c r="A418" s="130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  <c r="AB418" s="122"/>
      <c r="AC418" s="122"/>
      <c r="AD418" s="124"/>
    </row>
    <row r="419" spans="1:30">
      <c r="A419" s="130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  <c r="AB419" s="122"/>
      <c r="AC419" s="122"/>
      <c r="AD419" s="124"/>
    </row>
    <row r="420" spans="1:30">
      <c r="A420" s="130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  <c r="AB420" s="122"/>
      <c r="AC420" s="122"/>
      <c r="AD420" s="124"/>
    </row>
    <row r="421" spans="1:30">
      <c r="A421" s="130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  <c r="AB421" s="122"/>
      <c r="AC421" s="122"/>
      <c r="AD421" s="124"/>
    </row>
    <row r="422" spans="1:30">
      <c r="A422" s="130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  <c r="AB422" s="122"/>
      <c r="AC422" s="122"/>
      <c r="AD422" s="124"/>
    </row>
    <row r="423" spans="1:30">
      <c r="A423" s="130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  <c r="AB423" s="122"/>
      <c r="AC423" s="122"/>
      <c r="AD423" s="124"/>
    </row>
    <row r="424" spans="1:30">
      <c r="A424" s="130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  <c r="AB424" s="122"/>
      <c r="AC424" s="122"/>
      <c r="AD424" s="124"/>
    </row>
    <row r="425" spans="1:30">
      <c r="A425" s="130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4"/>
    </row>
    <row r="426" spans="1:30">
      <c r="A426" s="130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  <c r="AB426" s="122"/>
      <c r="AC426" s="122"/>
      <c r="AD426" s="124"/>
    </row>
    <row r="427" spans="1:30">
      <c r="A427" s="130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  <c r="AB427" s="122"/>
      <c r="AC427" s="122"/>
      <c r="AD427" s="124"/>
    </row>
    <row r="428" spans="1:30">
      <c r="A428" s="130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4"/>
    </row>
    <row r="429" spans="1:30">
      <c r="A429" s="130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  <c r="AB429" s="122"/>
      <c r="AC429" s="122"/>
      <c r="AD429" s="124"/>
    </row>
    <row r="430" spans="1:30">
      <c r="A430" s="130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  <c r="AB430" s="122"/>
      <c r="AC430" s="122"/>
      <c r="AD430" s="124"/>
    </row>
    <row r="431" spans="1:30">
      <c r="A431" s="130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  <c r="AB431" s="122"/>
      <c r="AC431" s="122"/>
      <c r="AD431" s="124"/>
    </row>
    <row r="432" spans="1:30">
      <c r="A432" s="130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  <c r="AB432" s="122"/>
      <c r="AC432" s="122"/>
      <c r="AD432" s="124"/>
    </row>
    <row r="433" spans="1:30">
      <c r="A433" s="130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  <c r="AB433" s="122"/>
      <c r="AC433" s="122"/>
      <c r="AD433" s="124"/>
    </row>
    <row r="434" spans="1:30">
      <c r="A434" s="130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  <c r="AB434" s="122"/>
      <c r="AC434" s="122"/>
      <c r="AD434" s="124"/>
    </row>
    <row r="435" spans="1:30">
      <c r="A435" s="130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  <c r="AB435" s="122"/>
      <c r="AC435" s="122"/>
      <c r="AD435" s="124"/>
    </row>
    <row r="436" spans="1:30">
      <c r="A436" s="130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  <c r="AB436" s="122"/>
      <c r="AC436" s="122"/>
      <c r="AD436" s="124"/>
    </row>
    <row r="437" spans="1:30">
      <c r="A437" s="130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  <c r="AB437" s="122"/>
      <c r="AC437" s="122"/>
      <c r="AD437" s="124"/>
    </row>
    <row r="438" spans="1:30">
      <c r="A438" s="130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  <c r="AB438" s="122"/>
      <c r="AC438" s="122"/>
      <c r="AD438" s="124"/>
    </row>
    <row r="439" spans="1:30">
      <c r="A439" s="130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  <c r="AB439" s="122"/>
      <c r="AC439" s="122"/>
      <c r="AD439" s="124"/>
    </row>
    <row r="440" spans="1:30">
      <c r="A440" s="130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  <c r="AB440" s="122"/>
      <c r="AC440" s="122"/>
      <c r="AD440" s="124"/>
    </row>
    <row r="441" spans="1:30">
      <c r="A441" s="130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4"/>
    </row>
    <row r="442" spans="1:30">
      <c r="A442" s="130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4"/>
    </row>
    <row r="443" spans="1:30">
      <c r="A443" s="130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  <c r="AB443" s="122"/>
      <c r="AC443" s="122"/>
      <c r="AD443" s="124"/>
    </row>
    <row r="444" spans="1:30">
      <c r="A444" s="130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  <c r="AB444" s="122"/>
      <c r="AC444" s="122"/>
      <c r="AD444" s="124"/>
    </row>
    <row r="445" spans="1:30">
      <c r="A445" s="130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  <c r="AB445" s="122"/>
      <c r="AC445" s="122"/>
      <c r="AD445" s="124"/>
    </row>
    <row r="446" spans="1:30">
      <c r="A446" s="130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4"/>
    </row>
    <row r="447" spans="1:30">
      <c r="A447" s="130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  <c r="AB447" s="122"/>
      <c r="AC447" s="122"/>
      <c r="AD447" s="124"/>
    </row>
    <row r="448" spans="1:30">
      <c r="A448" s="130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  <c r="AB448" s="122"/>
      <c r="AC448" s="122"/>
      <c r="AD448" s="124"/>
    </row>
    <row r="449" spans="1:30">
      <c r="A449" s="130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4"/>
    </row>
    <row r="450" spans="1:30">
      <c r="A450" s="130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  <c r="AB450" s="122"/>
      <c r="AC450" s="122"/>
      <c r="AD450" s="124"/>
    </row>
    <row r="451" spans="1:30">
      <c r="A451" s="130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4"/>
    </row>
    <row r="452" spans="1:30">
      <c r="A452" s="130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  <c r="AB452" s="122"/>
      <c r="AC452" s="122"/>
      <c r="AD452" s="124"/>
    </row>
    <row r="453" spans="1:30">
      <c r="A453" s="130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  <c r="AB453" s="122"/>
      <c r="AC453" s="122"/>
      <c r="AD453" s="124"/>
    </row>
    <row r="454" spans="1:30">
      <c r="A454" s="130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  <c r="AB454" s="122"/>
      <c r="AC454" s="122"/>
      <c r="AD454" s="124"/>
    </row>
    <row r="455" spans="1:30">
      <c r="A455" s="130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  <c r="AB455" s="122"/>
      <c r="AC455" s="122"/>
      <c r="AD455" s="124"/>
    </row>
    <row r="456" spans="1:30">
      <c r="A456" s="130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  <c r="AB456" s="122"/>
      <c r="AC456" s="122"/>
      <c r="AD456" s="124"/>
    </row>
    <row r="457" spans="1:30">
      <c r="A457" s="130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  <c r="AB457" s="122"/>
      <c r="AC457" s="122"/>
      <c r="AD457" s="124"/>
    </row>
    <row r="458" spans="1:30">
      <c r="A458" s="130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  <c r="AB458" s="122"/>
      <c r="AC458" s="122"/>
      <c r="AD458" s="124"/>
    </row>
    <row r="459" spans="1:30">
      <c r="A459" s="130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4"/>
    </row>
    <row r="460" spans="1:30">
      <c r="A460" s="130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  <c r="AB460" s="122"/>
      <c r="AC460" s="122"/>
      <c r="AD460" s="124"/>
    </row>
    <row r="461" spans="1:30">
      <c r="A461" s="130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  <c r="AB461" s="122"/>
      <c r="AC461" s="122"/>
      <c r="AD461" s="124"/>
    </row>
    <row r="462" spans="1:30">
      <c r="A462" s="130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4"/>
    </row>
    <row r="463" spans="1:30">
      <c r="A463" s="130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  <c r="AB463" s="122"/>
      <c r="AC463" s="122"/>
      <c r="AD463" s="124"/>
    </row>
    <row r="464" spans="1:30">
      <c r="A464" s="130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  <c r="AB464" s="122"/>
      <c r="AC464" s="122"/>
      <c r="AD464" s="124"/>
    </row>
    <row r="465" spans="1:30">
      <c r="A465" s="130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  <c r="AB465" s="122"/>
      <c r="AC465" s="122"/>
      <c r="AD465" s="124"/>
    </row>
    <row r="466" spans="1:30">
      <c r="A466" s="130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  <c r="AB466" s="122"/>
      <c r="AC466" s="122"/>
      <c r="AD466" s="124"/>
    </row>
    <row r="467" spans="1:30">
      <c r="A467" s="130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  <c r="AB467" s="122"/>
      <c r="AC467" s="122"/>
      <c r="AD467" s="124"/>
    </row>
    <row r="468" spans="1:30">
      <c r="A468" s="130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  <c r="AB468" s="122"/>
      <c r="AC468" s="122"/>
      <c r="AD468" s="124"/>
    </row>
    <row r="469" spans="1:30">
      <c r="A469" s="130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  <c r="AB469" s="122"/>
      <c r="AC469" s="122"/>
      <c r="AD469" s="124"/>
    </row>
    <row r="470" spans="1:30">
      <c r="A470" s="130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  <c r="AB470" s="122"/>
      <c r="AC470" s="122"/>
      <c r="AD470" s="124"/>
    </row>
    <row r="471" spans="1:30">
      <c r="A471" s="130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  <c r="AB471" s="122"/>
      <c r="AC471" s="122"/>
      <c r="AD471" s="124"/>
    </row>
    <row r="472" spans="1:30">
      <c r="A472" s="130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  <c r="AB472" s="122"/>
      <c r="AC472" s="122"/>
      <c r="AD472" s="124"/>
    </row>
    <row r="473" spans="1:30">
      <c r="A473" s="130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  <c r="AB473" s="122"/>
      <c r="AC473" s="122"/>
      <c r="AD473" s="124"/>
    </row>
    <row r="474" spans="1:30">
      <c r="A474" s="130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4"/>
    </row>
    <row r="475" spans="1:30">
      <c r="A475" s="130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  <c r="AB475" s="122"/>
      <c r="AC475" s="122"/>
      <c r="AD475" s="124"/>
    </row>
    <row r="476" spans="1:30">
      <c r="A476" s="130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  <c r="AB476" s="122"/>
      <c r="AC476" s="122"/>
      <c r="AD476" s="124"/>
    </row>
    <row r="477" spans="1:30">
      <c r="A477" s="130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4"/>
    </row>
    <row r="478" spans="1:30">
      <c r="A478" s="130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  <c r="AB478" s="122"/>
      <c r="AC478" s="122"/>
      <c r="AD478" s="124"/>
    </row>
    <row r="479" spans="1:30">
      <c r="A479" s="130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  <c r="AB479" s="122"/>
      <c r="AC479" s="122"/>
      <c r="AD479" s="124"/>
    </row>
    <row r="480" spans="1:30">
      <c r="A480" s="130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  <c r="AB480" s="122"/>
      <c r="AC480" s="122"/>
      <c r="AD480" s="124"/>
    </row>
    <row r="481" spans="1:30">
      <c r="A481" s="130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  <c r="AB481" s="122"/>
      <c r="AC481" s="122"/>
      <c r="AD481" s="124"/>
    </row>
    <row r="482" spans="1:30">
      <c r="A482" s="130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  <c r="AB482" s="122"/>
      <c r="AC482" s="122"/>
      <c r="AD482" s="124"/>
    </row>
    <row r="483" spans="1:30">
      <c r="A483" s="130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  <c r="AB483" s="122"/>
      <c r="AC483" s="122"/>
      <c r="AD483" s="124"/>
    </row>
    <row r="484" spans="1:30">
      <c r="A484" s="130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  <c r="AB484" s="122"/>
      <c r="AC484" s="122"/>
      <c r="AD484" s="124"/>
    </row>
    <row r="485" spans="1:30">
      <c r="A485" s="130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  <c r="AB485" s="122"/>
      <c r="AC485" s="122"/>
      <c r="AD485" s="124"/>
    </row>
    <row r="486" spans="1:30">
      <c r="A486" s="130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  <c r="AB486" s="122"/>
      <c r="AC486" s="122"/>
      <c r="AD486" s="124"/>
    </row>
    <row r="487" spans="1:30">
      <c r="A487" s="130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4"/>
    </row>
    <row r="488" spans="1:30">
      <c r="A488" s="130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  <c r="AB488" s="122"/>
      <c r="AC488" s="122"/>
      <c r="AD488" s="124"/>
    </row>
    <row r="489" spans="1:30">
      <c r="A489" s="130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  <c r="AB489" s="122"/>
      <c r="AC489" s="122"/>
      <c r="AD489" s="124"/>
    </row>
    <row r="490" spans="1:30">
      <c r="A490" s="130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  <c r="AB490" s="122"/>
      <c r="AC490" s="122"/>
      <c r="AD490" s="124"/>
    </row>
    <row r="491" spans="1:30">
      <c r="A491" s="130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  <c r="AB491" s="122"/>
      <c r="AC491" s="122"/>
      <c r="AD491" s="124"/>
    </row>
    <row r="492" spans="1:30">
      <c r="A492" s="130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  <c r="AB492" s="122"/>
      <c r="AC492" s="122"/>
      <c r="AD492" s="124"/>
    </row>
    <row r="493" spans="1:30">
      <c r="A493" s="130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4"/>
    </row>
    <row r="494" spans="1:30">
      <c r="A494" s="130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  <c r="AB494" s="122"/>
      <c r="AC494" s="122"/>
      <c r="AD494" s="124"/>
    </row>
    <row r="495" spans="1:30">
      <c r="A495" s="130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  <c r="AB495" s="122"/>
      <c r="AC495" s="122"/>
      <c r="AD495" s="124"/>
    </row>
    <row r="496" spans="1:30">
      <c r="A496" s="130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  <c r="AB496" s="122"/>
      <c r="AC496" s="122"/>
      <c r="AD496" s="124"/>
    </row>
    <row r="497" spans="1:30">
      <c r="A497" s="130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  <c r="AB497" s="122"/>
      <c r="AC497" s="122"/>
      <c r="AD497" s="124"/>
    </row>
    <row r="498" spans="1:30">
      <c r="A498" s="130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  <c r="AB498" s="122"/>
      <c r="AC498" s="122"/>
      <c r="AD498" s="124"/>
    </row>
    <row r="499" spans="1:30">
      <c r="A499" s="130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  <c r="AB499" s="122"/>
      <c r="AC499" s="122"/>
      <c r="AD499" s="124"/>
    </row>
    <row r="500" spans="1:30">
      <c r="A500" s="130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  <c r="AB500" s="122"/>
      <c r="AC500" s="122"/>
      <c r="AD500" s="124"/>
    </row>
    <row r="501" spans="1:30">
      <c r="A501" s="130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  <c r="AB501" s="122"/>
      <c r="AC501" s="122"/>
      <c r="AD501" s="124"/>
    </row>
    <row r="502" spans="1:30">
      <c r="A502" s="130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  <c r="AB502" s="122"/>
      <c r="AC502" s="122"/>
      <c r="AD502" s="124"/>
    </row>
    <row r="503" spans="1:30">
      <c r="A503" s="130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  <c r="AB503" s="122"/>
      <c r="AC503" s="122"/>
      <c r="AD503" s="124"/>
    </row>
    <row r="504" spans="1:30">
      <c r="A504" s="130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  <c r="AB504" s="122"/>
      <c r="AC504" s="122"/>
      <c r="AD504" s="124"/>
    </row>
    <row r="505" spans="1:30">
      <c r="A505" s="130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  <c r="AB505" s="122"/>
      <c r="AC505" s="122"/>
      <c r="AD505" s="124"/>
    </row>
    <row r="506" spans="1:30">
      <c r="A506" s="130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4"/>
    </row>
    <row r="507" spans="1:30">
      <c r="A507" s="130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4"/>
    </row>
    <row r="508" spans="1:30">
      <c r="A508" s="130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  <c r="AB508" s="122"/>
      <c r="AC508" s="122"/>
      <c r="AD508" s="124"/>
    </row>
    <row r="509" spans="1:30">
      <c r="A509" s="130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  <c r="AB509" s="122"/>
      <c r="AC509" s="122"/>
      <c r="AD509" s="124"/>
    </row>
    <row r="510" spans="1:30">
      <c r="A510" s="130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4"/>
    </row>
    <row r="511" spans="1:30">
      <c r="A511" s="130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4"/>
    </row>
    <row r="512" spans="1:30">
      <c r="A512" s="130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  <c r="AB512" s="122"/>
      <c r="AC512" s="122"/>
      <c r="AD512" s="124"/>
    </row>
    <row r="513" spans="1:30">
      <c r="A513" s="130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  <c r="AB513" s="122"/>
      <c r="AC513" s="122"/>
      <c r="AD513" s="124"/>
    </row>
    <row r="514" spans="1:30">
      <c r="A514" s="130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  <c r="AB514" s="122"/>
      <c r="AC514" s="122"/>
      <c r="AD514" s="124"/>
    </row>
    <row r="515" spans="1:30">
      <c r="A515" s="130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4"/>
    </row>
    <row r="516" spans="1:30">
      <c r="A516" s="130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4"/>
    </row>
    <row r="517" spans="1:30">
      <c r="A517" s="130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  <c r="AB517" s="122"/>
      <c r="AC517" s="122"/>
      <c r="AD517" s="124"/>
    </row>
    <row r="518" spans="1:30">
      <c r="A518" s="130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  <c r="AB518" s="122"/>
      <c r="AC518" s="122"/>
      <c r="AD518" s="124"/>
    </row>
    <row r="519" spans="1:30">
      <c r="A519" s="130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  <c r="AB519" s="122"/>
      <c r="AC519" s="122"/>
      <c r="AD519" s="124"/>
    </row>
    <row r="520" spans="1:30">
      <c r="A520" s="130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  <c r="AB520" s="122"/>
      <c r="AC520" s="122"/>
      <c r="AD520" s="124"/>
    </row>
    <row r="521" spans="1:30">
      <c r="A521" s="130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  <c r="AB521" s="122"/>
      <c r="AC521" s="122"/>
      <c r="AD521" s="124"/>
    </row>
    <row r="522" spans="1:30">
      <c r="A522" s="130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4"/>
    </row>
    <row r="523" spans="1:30">
      <c r="A523" s="130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4"/>
    </row>
    <row r="524" spans="1:30">
      <c r="A524" s="130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4"/>
    </row>
    <row r="525" spans="1:30">
      <c r="A525" s="130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  <c r="AB525" s="122"/>
      <c r="AC525" s="122"/>
      <c r="AD525" s="124"/>
    </row>
    <row r="526" spans="1:30">
      <c r="A526" s="130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  <c r="AB526" s="122"/>
      <c r="AC526" s="122"/>
      <c r="AD526" s="124"/>
    </row>
    <row r="527" spans="1:30">
      <c r="A527" s="130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  <c r="AB527" s="122"/>
      <c r="AC527" s="122"/>
      <c r="AD527" s="124"/>
    </row>
    <row r="528" spans="1:30">
      <c r="A528" s="130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  <c r="AB528" s="122"/>
      <c r="AC528" s="122"/>
      <c r="AD528" s="124"/>
    </row>
    <row r="529" spans="1:30">
      <c r="A529" s="130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  <c r="AB529" s="122"/>
      <c r="AC529" s="122"/>
      <c r="AD529" s="124"/>
    </row>
    <row r="530" spans="1:30">
      <c r="A530" s="130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  <c r="AB530" s="122"/>
      <c r="AC530" s="122"/>
      <c r="AD530" s="124"/>
    </row>
    <row r="531" spans="1:30">
      <c r="A531" s="130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  <c r="AB531" s="122"/>
      <c r="AC531" s="122"/>
      <c r="AD531" s="124"/>
    </row>
    <row r="532" spans="1:30">
      <c r="A532" s="130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  <c r="AB532" s="122"/>
      <c r="AC532" s="122"/>
      <c r="AD532" s="124"/>
    </row>
    <row r="533" spans="1:30">
      <c r="A533" s="130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  <c r="AB533" s="122"/>
      <c r="AC533" s="122"/>
      <c r="AD533" s="124"/>
    </row>
    <row r="534" spans="1:30">
      <c r="A534" s="130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  <c r="AB534" s="122"/>
      <c r="AC534" s="122"/>
      <c r="AD534" s="124"/>
    </row>
    <row r="535" spans="1:30">
      <c r="A535" s="130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  <c r="AB535" s="122"/>
      <c r="AC535" s="122"/>
      <c r="AD535" s="124"/>
    </row>
    <row r="536" spans="1:30">
      <c r="A536" s="130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  <c r="AB536" s="122"/>
      <c r="AC536" s="122"/>
      <c r="AD536" s="124"/>
    </row>
    <row r="537" spans="1:30">
      <c r="A537" s="130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  <c r="AB537" s="122"/>
      <c r="AC537" s="122"/>
      <c r="AD537" s="124"/>
    </row>
    <row r="538" spans="1:30">
      <c r="A538" s="130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  <c r="AB538" s="122"/>
      <c r="AC538" s="122"/>
      <c r="AD538" s="124"/>
    </row>
    <row r="539" spans="1:30">
      <c r="A539" s="130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  <c r="AB539" s="122"/>
      <c r="AC539" s="122"/>
      <c r="AD539" s="124"/>
    </row>
    <row r="540" spans="1:30">
      <c r="A540" s="130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4"/>
    </row>
    <row r="541" spans="1:30">
      <c r="A541" s="130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4"/>
    </row>
    <row r="542" spans="1:30">
      <c r="A542" s="130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  <c r="AB542" s="122"/>
      <c r="AC542" s="122"/>
      <c r="AD542" s="124"/>
    </row>
    <row r="543" spans="1:30">
      <c r="A543" s="130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4"/>
    </row>
    <row r="544" spans="1:30">
      <c r="A544" s="130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  <c r="AB544" s="122"/>
      <c r="AC544" s="122"/>
      <c r="AD544" s="124"/>
    </row>
    <row r="545" spans="1:30">
      <c r="A545" s="130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4"/>
    </row>
    <row r="546" spans="1:30">
      <c r="A546" s="130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  <c r="AB546" s="122"/>
      <c r="AC546" s="122"/>
      <c r="AD546" s="124"/>
    </row>
    <row r="547" spans="1:30">
      <c r="A547" s="130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  <c r="AB547" s="122"/>
      <c r="AC547" s="122"/>
      <c r="AD547" s="124"/>
    </row>
    <row r="548" spans="1:30">
      <c r="A548" s="130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  <c r="AB548" s="122"/>
      <c r="AC548" s="122"/>
      <c r="AD548" s="124"/>
    </row>
    <row r="549" spans="1:30">
      <c r="A549" s="130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4"/>
    </row>
    <row r="550" spans="1:30">
      <c r="A550" s="130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  <c r="AB550" s="122"/>
      <c r="AC550" s="122"/>
      <c r="AD550" s="124"/>
    </row>
    <row r="551" spans="1:30">
      <c r="A551" s="130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4"/>
    </row>
    <row r="552" spans="1:30">
      <c r="A552" s="130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4"/>
    </row>
    <row r="553" spans="1:30">
      <c r="A553" s="130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4"/>
    </row>
    <row r="554" spans="1:30">
      <c r="A554" s="130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  <c r="AB554" s="122"/>
      <c r="AC554" s="122"/>
      <c r="AD554" s="124"/>
    </row>
    <row r="555" spans="1:30">
      <c r="A555" s="130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4"/>
    </row>
    <row r="556" spans="1:30">
      <c r="A556" s="130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  <c r="AB556" s="122"/>
      <c r="AC556" s="122"/>
      <c r="AD556" s="124"/>
    </row>
    <row r="557" spans="1:30">
      <c r="A557" s="130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  <c r="AB557" s="122"/>
      <c r="AC557" s="122"/>
      <c r="AD557" s="124"/>
    </row>
    <row r="558" spans="1:30">
      <c r="A558" s="130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  <c r="AB558" s="122"/>
      <c r="AC558" s="122"/>
      <c r="AD558" s="124"/>
    </row>
    <row r="559" spans="1:30">
      <c r="A559" s="130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  <c r="AB559" s="122"/>
      <c r="AC559" s="122"/>
      <c r="AD559" s="124"/>
    </row>
    <row r="560" spans="1:30">
      <c r="A560" s="130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  <c r="AB560" s="122"/>
      <c r="AC560" s="122"/>
      <c r="AD560" s="124"/>
    </row>
    <row r="561" spans="1:30">
      <c r="A561" s="130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4"/>
    </row>
    <row r="562" spans="1:30">
      <c r="A562" s="130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  <c r="AB562" s="122"/>
      <c r="AC562" s="122"/>
      <c r="AD562" s="124"/>
    </row>
    <row r="563" spans="1:30">
      <c r="A563" s="130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  <c r="AB563" s="122"/>
      <c r="AC563" s="122"/>
      <c r="AD563" s="124"/>
    </row>
    <row r="564" spans="1:30">
      <c r="A564" s="130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  <c r="AB564" s="122"/>
      <c r="AC564" s="122"/>
      <c r="AD564" s="124"/>
    </row>
    <row r="565" spans="1:30">
      <c r="A565" s="130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  <c r="AB565" s="122"/>
      <c r="AC565" s="122"/>
      <c r="AD565" s="124"/>
    </row>
    <row r="566" spans="1:30">
      <c r="A566" s="130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4"/>
    </row>
    <row r="567" spans="1:30">
      <c r="A567" s="130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  <c r="AB567" s="122"/>
      <c r="AC567" s="122"/>
      <c r="AD567" s="124"/>
    </row>
    <row r="568" spans="1:30">
      <c r="A568" s="130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4"/>
    </row>
    <row r="569" spans="1:30">
      <c r="A569" s="130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  <c r="AB569" s="122"/>
      <c r="AC569" s="122"/>
      <c r="AD569" s="124"/>
    </row>
    <row r="570" spans="1:30">
      <c r="A570" s="130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  <c r="AB570" s="122"/>
      <c r="AC570" s="122"/>
      <c r="AD570" s="124"/>
    </row>
    <row r="571" spans="1:30">
      <c r="A571" s="130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4"/>
    </row>
    <row r="572" spans="1:30">
      <c r="A572" s="130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4"/>
    </row>
    <row r="573" spans="1:30">
      <c r="A573" s="130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  <c r="AB573" s="122"/>
      <c r="AC573" s="122"/>
      <c r="AD573" s="124"/>
    </row>
    <row r="574" spans="1:30">
      <c r="A574" s="130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  <c r="AB574" s="122"/>
      <c r="AC574" s="122"/>
      <c r="AD574" s="124"/>
    </row>
    <row r="575" spans="1:30">
      <c r="A575" s="130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  <c r="AB575" s="122"/>
      <c r="AC575" s="122"/>
      <c r="AD575" s="124"/>
    </row>
    <row r="576" spans="1:30">
      <c r="A576" s="130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4"/>
    </row>
    <row r="577" spans="1:30">
      <c r="A577" s="130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4"/>
    </row>
    <row r="578" spans="1:30">
      <c r="A578" s="130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  <c r="AB578" s="122"/>
      <c r="AC578" s="122"/>
      <c r="AD578" s="124"/>
    </row>
    <row r="579" spans="1:30">
      <c r="A579" s="130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  <c r="AB579" s="122"/>
      <c r="AC579" s="122"/>
      <c r="AD579" s="124"/>
    </row>
    <row r="580" spans="1:30">
      <c r="A580" s="130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4"/>
    </row>
    <row r="581" spans="1:30">
      <c r="A581" s="130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4"/>
    </row>
    <row r="582" spans="1:30">
      <c r="A582" s="130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  <c r="AB582" s="122"/>
      <c r="AC582" s="122"/>
      <c r="AD582" s="124"/>
    </row>
    <row r="583" spans="1:30">
      <c r="A583" s="130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4"/>
    </row>
    <row r="584" spans="1:30">
      <c r="A584" s="130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  <c r="AB584" s="122"/>
      <c r="AC584" s="122"/>
      <c r="AD584" s="124"/>
    </row>
    <row r="585" spans="1:30">
      <c r="A585" s="130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  <c r="AB585" s="122"/>
      <c r="AC585" s="122"/>
      <c r="AD585" s="124"/>
    </row>
    <row r="586" spans="1:30">
      <c r="A586" s="130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  <c r="AB586" s="122"/>
      <c r="AC586" s="122"/>
      <c r="AD586" s="124"/>
    </row>
    <row r="587" spans="1:30">
      <c r="A587" s="130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4"/>
    </row>
    <row r="588" spans="1:30">
      <c r="A588" s="130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4"/>
    </row>
    <row r="589" spans="1:30">
      <c r="A589" s="130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4"/>
    </row>
    <row r="590" spans="1:30">
      <c r="A590" s="130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4"/>
    </row>
    <row r="591" spans="1:30">
      <c r="A591" s="130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4"/>
    </row>
    <row r="592" spans="1:30">
      <c r="A592" s="130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4"/>
    </row>
    <row r="593" spans="1:30">
      <c r="A593" s="130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  <c r="AB593" s="122"/>
      <c r="AC593" s="122"/>
      <c r="AD593" s="124"/>
    </row>
    <row r="594" spans="1:30">
      <c r="A594" s="130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  <c r="AB594" s="122"/>
      <c r="AC594" s="122"/>
      <c r="AD594" s="124"/>
    </row>
    <row r="595" spans="1:30">
      <c r="A595" s="130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  <c r="AB595" s="122"/>
      <c r="AC595" s="122"/>
      <c r="AD595" s="124"/>
    </row>
    <row r="596" spans="1:30">
      <c r="A596" s="130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  <c r="AB596" s="122"/>
      <c r="AC596" s="122"/>
      <c r="AD596" s="124"/>
    </row>
    <row r="597" spans="1:30">
      <c r="A597" s="130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  <c r="AB597" s="122"/>
      <c r="AC597" s="122"/>
      <c r="AD597" s="124"/>
    </row>
    <row r="598" spans="1:30">
      <c r="A598" s="130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  <c r="AB598" s="122"/>
      <c r="AC598" s="122"/>
      <c r="AD598" s="124"/>
    </row>
    <row r="599" spans="1:30">
      <c r="A599" s="130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  <c r="AB599" s="122"/>
      <c r="AC599" s="122"/>
      <c r="AD599" s="124"/>
    </row>
    <row r="600" spans="1:30">
      <c r="A600" s="130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  <c r="AB600" s="122"/>
      <c r="AC600" s="122"/>
      <c r="AD600" s="124"/>
    </row>
    <row r="601" spans="1:30">
      <c r="A601" s="130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4"/>
    </row>
    <row r="602" spans="1:30">
      <c r="A602" s="130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4"/>
    </row>
    <row r="603" spans="1:30">
      <c r="A603" s="130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  <c r="AB603" s="122"/>
      <c r="AC603" s="122"/>
      <c r="AD603" s="124"/>
    </row>
    <row r="604" spans="1:30">
      <c r="A604" s="130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  <c r="AB604" s="122"/>
      <c r="AC604" s="122"/>
      <c r="AD604" s="124"/>
    </row>
    <row r="605" spans="1:30">
      <c r="A605" s="130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4"/>
    </row>
    <row r="606" spans="1:30">
      <c r="A606" s="130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  <c r="AB606" s="122"/>
      <c r="AC606" s="122"/>
      <c r="AD606" s="124"/>
    </row>
    <row r="607" spans="1:30">
      <c r="A607" s="130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4"/>
    </row>
    <row r="608" spans="1:30">
      <c r="A608" s="130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  <c r="AB608" s="122"/>
      <c r="AC608" s="122"/>
      <c r="AD608" s="124"/>
    </row>
    <row r="609" spans="1:30">
      <c r="A609" s="130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  <c r="AB609" s="122"/>
      <c r="AC609" s="122"/>
      <c r="AD609" s="124"/>
    </row>
    <row r="610" spans="1:30">
      <c r="A610" s="130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  <c r="AB610" s="122"/>
      <c r="AC610" s="122"/>
      <c r="AD610" s="124"/>
    </row>
    <row r="611" spans="1:30">
      <c r="A611" s="130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  <c r="AB611" s="122"/>
      <c r="AC611" s="122"/>
      <c r="AD611" s="124"/>
    </row>
    <row r="612" spans="1:30">
      <c r="A612" s="130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  <c r="AB612" s="122"/>
      <c r="AC612" s="122"/>
      <c r="AD612" s="124"/>
    </row>
    <row r="613" spans="1:30">
      <c r="A613" s="130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  <c r="AB613" s="122"/>
      <c r="AC613" s="122"/>
      <c r="AD613" s="124"/>
    </row>
    <row r="614" spans="1:30">
      <c r="A614" s="130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  <c r="AB614" s="122"/>
      <c r="AC614" s="122"/>
      <c r="AD614" s="124"/>
    </row>
    <row r="615" spans="1:30">
      <c r="A615" s="130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  <c r="AB615" s="122"/>
      <c r="AC615" s="122"/>
      <c r="AD615" s="124"/>
    </row>
    <row r="616" spans="1:30">
      <c r="A616" s="130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  <c r="AB616" s="122"/>
      <c r="AC616" s="122"/>
      <c r="AD616" s="124"/>
    </row>
    <row r="617" spans="1:30">
      <c r="A617" s="130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  <c r="AB617" s="122"/>
      <c r="AC617" s="122"/>
      <c r="AD617" s="124"/>
    </row>
    <row r="618" spans="1:30">
      <c r="A618" s="130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  <c r="AB618" s="122"/>
      <c r="AC618" s="122"/>
      <c r="AD618" s="124"/>
    </row>
    <row r="619" spans="1:30">
      <c r="A619" s="130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  <c r="AB619" s="122"/>
      <c r="AC619" s="122"/>
      <c r="AD619" s="124"/>
    </row>
    <row r="620" spans="1:30">
      <c r="A620" s="130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  <c r="AB620" s="122"/>
      <c r="AC620" s="122"/>
      <c r="AD620" s="124"/>
    </row>
    <row r="621" spans="1:30">
      <c r="A621" s="130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  <c r="AB621" s="122"/>
      <c r="AC621" s="122"/>
      <c r="AD621" s="124"/>
    </row>
    <row r="622" spans="1:30">
      <c r="A622" s="130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  <c r="AB622" s="122"/>
      <c r="AC622" s="122"/>
      <c r="AD622" s="124"/>
    </row>
    <row r="623" spans="1:30">
      <c r="A623" s="130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  <c r="AB623" s="122"/>
      <c r="AC623" s="122"/>
      <c r="AD623" s="124"/>
    </row>
    <row r="624" spans="1:30">
      <c r="A624" s="130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  <c r="AB624" s="122"/>
      <c r="AC624" s="122"/>
      <c r="AD624" s="124"/>
    </row>
    <row r="625" spans="1:30">
      <c r="A625" s="130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  <c r="AB625" s="122"/>
      <c r="AC625" s="122"/>
      <c r="AD625" s="124"/>
    </row>
    <row r="626" spans="1:30">
      <c r="A626" s="130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  <c r="AB626" s="122"/>
      <c r="AC626" s="122"/>
      <c r="AD626" s="124"/>
    </row>
    <row r="627" spans="1:30">
      <c r="A627" s="130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  <c r="AB627" s="122"/>
      <c r="AC627" s="122"/>
      <c r="AD627" s="124"/>
    </row>
    <row r="628" spans="1:30">
      <c r="A628" s="130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  <c r="AB628" s="122"/>
      <c r="AC628" s="122"/>
      <c r="AD628" s="124"/>
    </row>
    <row r="629" spans="1:30">
      <c r="A629" s="130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  <c r="AB629" s="122"/>
      <c r="AC629" s="122"/>
      <c r="AD629" s="124"/>
    </row>
    <row r="630" spans="1:30">
      <c r="A630" s="130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4"/>
    </row>
    <row r="631" spans="1:30">
      <c r="A631" s="130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4"/>
    </row>
    <row r="632" spans="1:30">
      <c r="A632" s="130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4"/>
    </row>
    <row r="633" spans="1:30">
      <c r="A633" s="130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  <c r="AB633" s="122"/>
      <c r="AC633" s="122"/>
      <c r="AD633" s="124"/>
    </row>
    <row r="634" spans="1:30">
      <c r="A634" s="130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4"/>
    </row>
    <row r="635" spans="1:30">
      <c r="A635" s="130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  <c r="AB635" s="122"/>
      <c r="AC635" s="122"/>
      <c r="AD635" s="124"/>
    </row>
    <row r="636" spans="1:30">
      <c r="A636" s="130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  <c r="AB636" s="122"/>
      <c r="AC636" s="122"/>
      <c r="AD636" s="124"/>
    </row>
    <row r="637" spans="1:30">
      <c r="A637" s="130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  <c r="AB637" s="122"/>
      <c r="AC637" s="122"/>
      <c r="AD637" s="124"/>
    </row>
    <row r="638" spans="1:30">
      <c r="A638" s="130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  <c r="AB638" s="122"/>
      <c r="AC638" s="122"/>
      <c r="AD638" s="124"/>
    </row>
    <row r="639" spans="1:30">
      <c r="A639" s="130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  <c r="AB639" s="122"/>
      <c r="AC639" s="122"/>
      <c r="AD639" s="124"/>
    </row>
    <row r="640" spans="1:30">
      <c r="A640" s="130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4"/>
    </row>
    <row r="641" spans="1:30">
      <c r="A641" s="130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  <c r="AB641" s="122"/>
      <c r="AC641" s="122"/>
      <c r="AD641" s="124"/>
    </row>
    <row r="642" spans="1:30">
      <c r="A642" s="130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  <c r="AB642" s="122"/>
      <c r="AC642" s="122"/>
      <c r="AD642" s="124"/>
    </row>
    <row r="643" spans="1:30">
      <c r="A643" s="130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  <c r="AB643" s="122"/>
      <c r="AC643" s="122"/>
      <c r="AD643" s="124"/>
    </row>
    <row r="644" spans="1:30">
      <c r="A644" s="130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  <c r="AB644" s="122"/>
      <c r="AC644" s="122"/>
      <c r="AD644" s="124"/>
    </row>
    <row r="645" spans="1:30">
      <c r="A645" s="130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4"/>
    </row>
    <row r="646" spans="1:30">
      <c r="A646" s="130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  <c r="AB646" s="122"/>
      <c r="AC646" s="122"/>
      <c r="AD646" s="124"/>
    </row>
    <row r="647" spans="1:30">
      <c r="A647" s="130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  <c r="AB647" s="122"/>
      <c r="AC647" s="122"/>
      <c r="AD647" s="124"/>
    </row>
    <row r="648" spans="1:30">
      <c r="A648" s="130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  <c r="AB648" s="122"/>
      <c r="AC648" s="122"/>
      <c r="AD648" s="124"/>
    </row>
    <row r="649" spans="1:30">
      <c r="A649" s="130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4"/>
    </row>
    <row r="650" spans="1:30">
      <c r="A650" s="130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4"/>
    </row>
    <row r="651" spans="1:30">
      <c r="A651" s="130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4"/>
    </row>
    <row r="652" spans="1:30">
      <c r="A652" s="130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  <c r="AB652" s="122"/>
      <c r="AC652" s="122"/>
      <c r="AD652" s="124"/>
    </row>
    <row r="653" spans="1:30">
      <c r="A653" s="130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4"/>
    </row>
    <row r="654" spans="1:30">
      <c r="A654" s="130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  <c r="AB654" s="122"/>
      <c r="AC654" s="122"/>
      <c r="AD654" s="124"/>
    </row>
    <row r="655" spans="1:30">
      <c r="A655" s="130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  <c r="AB655" s="122"/>
      <c r="AC655" s="122"/>
      <c r="AD655" s="124"/>
    </row>
    <row r="656" spans="1:30">
      <c r="A656" s="130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  <c r="AB656" s="122"/>
      <c r="AC656" s="122"/>
      <c r="AD656" s="124"/>
    </row>
    <row r="657" spans="1:30">
      <c r="A657" s="130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  <c r="AB657" s="122"/>
      <c r="AC657" s="122"/>
      <c r="AD657" s="124"/>
    </row>
    <row r="658" spans="1:30">
      <c r="A658" s="130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4"/>
    </row>
    <row r="659" spans="1:30">
      <c r="A659" s="130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  <c r="AB659" s="122"/>
      <c r="AC659" s="122"/>
      <c r="AD659" s="124"/>
    </row>
    <row r="660" spans="1:30">
      <c r="A660" s="130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  <c r="AB660" s="122"/>
      <c r="AC660" s="122"/>
      <c r="AD660" s="124"/>
    </row>
    <row r="661" spans="1:30">
      <c r="A661" s="130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  <c r="AB661" s="122"/>
      <c r="AC661" s="122"/>
      <c r="AD661" s="124"/>
    </row>
    <row r="662" spans="1:30">
      <c r="A662" s="130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  <c r="AB662" s="122"/>
      <c r="AC662" s="122"/>
      <c r="AD662" s="124"/>
    </row>
    <row r="663" spans="1:30">
      <c r="A663" s="130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  <c r="AB663" s="122"/>
      <c r="AC663" s="122"/>
      <c r="AD663" s="124"/>
    </row>
    <row r="664" spans="1:30">
      <c r="A664" s="130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  <c r="AB664" s="122"/>
      <c r="AC664" s="122"/>
      <c r="AD664" s="124"/>
    </row>
    <row r="665" spans="1:30">
      <c r="A665" s="130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4"/>
    </row>
    <row r="666" spans="1:30">
      <c r="A666" s="130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  <c r="AB666" s="122"/>
      <c r="AC666" s="122"/>
      <c r="AD666" s="124"/>
    </row>
    <row r="667" spans="1:30">
      <c r="A667" s="130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4"/>
    </row>
    <row r="668" spans="1:30">
      <c r="A668" s="130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  <c r="AB668" s="122"/>
      <c r="AC668" s="122"/>
      <c r="AD668" s="124"/>
    </row>
    <row r="669" spans="1:30">
      <c r="A669" s="130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  <c r="AB669" s="122"/>
      <c r="AC669" s="122"/>
      <c r="AD669" s="124"/>
    </row>
    <row r="670" spans="1:30">
      <c r="A670" s="130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4"/>
    </row>
    <row r="671" spans="1:30">
      <c r="A671" s="130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  <c r="AB671" s="122"/>
      <c r="AC671" s="122"/>
      <c r="AD671" s="124"/>
    </row>
    <row r="672" spans="1:30">
      <c r="A672" s="130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  <c r="AB672" s="122"/>
      <c r="AC672" s="122"/>
      <c r="AD672" s="124"/>
    </row>
    <row r="673" spans="1:30">
      <c r="A673" s="130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  <c r="AB673" s="122"/>
      <c r="AC673" s="122"/>
      <c r="AD673" s="124"/>
    </row>
    <row r="674" spans="1:30">
      <c r="A674" s="130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  <c r="AB674" s="122"/>
      <c r="AC674" s="122"/>
      <c r="AD674" s="124"/>
    </row>
    <row r="675" spans="1:30">
      <c r="A675" s="130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4"/>
    </row>
    <row r="676" spans="1:30">
      <c r="A676" s="130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  <c r="AB676" s="122"/>
      <c r="AC676" s="122"/>
      <c r="AD676" s="124"/>
    </row>
    <row r="677" spans="1:30">
      <c r="A677" s="130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  <c r="AB677" s="122"/>
      <c r="AC677" s="122"/>
      <c r="AD677" s="124"/>
    </row>
    <row r="678" spans="1:30">
      <c r="A678" s="130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4"/>
    </row>
    <row r="679" spans="1:30">
      <c r="A679" s="130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4"/>
    </row>
    <row r="680" spans="1:30">
      <c r="A680" s="130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  <c r="AB680" s="122"/>
      <c r="AC680" s="122"/>
      <c r="AD680" s="124"/>
    </row>
    <row r="681" spans="1:30">
      <c r="A681" s="130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  <c r="AB681" s="122"/>
      <c r="AC681" s="122"/>
      <c r="AD681" s="124"/>
    </row>
    <row r="682" spans="1:30">
      <c r="A682" s="130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  <c r="AB682" s="122"/>
      <c r="AC682" s="122"/>
      <c r="AD682" s="124"/>
    </row>
    <row r="683" spans="1:30">
      <c r="A683" s="130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  <c r="AB683" s="122"/>
      <c r="AC683" s="122"/>
      <c r="AD683" s="124"/>
    </row>
    <row r="684" spans="1:30">
      <c r="A684" s="130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4"/>
    </row>
    <row r="685" spans="1:30">
      <c r="A685" s="130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  <c r="AB685" s="122"/>
      <c r="AC685" s="122"/>
      <c r="AD685" s="124"/>
    </row>
    <row r="686" spans="1:30">
      <c r="A686" s="130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  <c r="AB686" s="122"/>
      <c r="AC686" s="122"/>
      <c r="AD686" s="124"/>
    </row>
    <row r="687" spans="1:30">
      <c r="A687" s="130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  <c r="AB687" s="122"/>
      <c r="AC687" s="122"/>
      <c r="AD687" s="124"/>
    </row>
    <row r="688" spans="1:30">
      <c r="A688" s="130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4"/>
    </row>
    <row r="689" spans="1:30">
      <c r="A689" s="130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  <c r="AB689" s="122"/>
      <c r="AC689" s="122"/>
      <c r="AD689" s="124"/>
    </row>
    <row r="690" spans="1:30">
      <c r="A690" s="130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  <c r="AB690" s="122"/>
      <c r="AC690" s="122"/>
      <c r="AD690" s="124"/>
    </row>
    <row r="691" spans="1:30">
      <c r="A691" s="130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  <c r="AB691" s="122"/>
      <c r="AC691" s="122"/>
      <c r="AD691" s="124"/>
    </row>
    <row r="692" spans="1:30">
      <c r="A692" s="130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  <c r="AB692" s="122"/>
      <c r="AC692" s="122"/>
      <c r="AD692" s="124"/>
    </row>
    <row r="693" spans="1:30">
      <c r="A693" s="130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4"/>
    </row>
    <row r="694" spans="1:30">
      <c r="A694" s="130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  <c r="AB694" s="122"/>
      <c r="AC694" s="122"/>
      <c r="AD694" s="124"/>
    </row>
    <row r="695" spans="1:30">
      <c r="A695" s="130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  <c r="AB695" s="122"/>
      <c r="AC695" s="122"/>
      <c r="AD695" s="124"/>
    </row>
    <row r="696" spans="1:30">
      <c r="A696" s="130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  <c r="AB696" s="122"/>
      <c r="AC696" s="122"/>
      <c r="AD696" s="124"/>
    </row>
    <row r="697" spans="1:30">
      <c r="A697" s="130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  <c r="AB697" s="122"/>
      <c r="AC697" s="122"/>
      <c r="AD697" s="124"/>
    </row>
    <row r="698" spans="1:30">
      <c r="A698" s="130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  <c r="AB698" s="122"/>
      <c r="AC698" s="122"/>
      <c r="AD698" s="124"/>
    </row>
    <row r="699" spans="1:30">
      <c r="A699" s="130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  <c r="AB699" s="122"/>
      <c r="AC699" s="122"/>
      <c r="AD699" s="124"/>
    </row>
    <row r="700" spans="1:30">
      <c r="A700" s="130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  <c r="AB700" s="122"/>
      <c r="AC700" s="122"/>
      <c r="AD700" s="124"/>
    </row>
    <row r="701" spans="1:30">
      <c r="A701" s="130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4"/>
    </row>
    <row r="702" spans="1:30">
      <c r="A702" s="130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4"/>
    </row>
    <row r="703" spans="1:30">
      <c r="A703" s="130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  <c r="AB703" s="122"/>
      <c r="AC703" s="122"/>
      <c r="AD703" s="124"/>
    </row>
    <row r="704" spans="1:30">
      <c r="A704" s="130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4"/>
    </row>
    <row r="705" spans="1:30">
      <c r="A705" s="130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  <c r="AB705" s="122"/>
      <c r="AC705" s="122"/>
      <c r="AD705" s="124"/>
    </row>
    <row r="706" spans="1:30">
      <c r="A706" s="130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4"/>
    </row>
    <row r="707" spans="1:30">
      <c r="A707" s="130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  <c r="AB707" s="122"/>
      <c r="AC707" s="122"/>
      <c r="AD707" s="124"/>
    </row>
    <row r="708" spans="1:30">
      <c r="A708" s="130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  <c r="AB708" s="122"/>
      <c r="AC708" s="122"/>
      <c r="AD708" s="124"/>
    </row>
    <row r="709" spans="1:30">
      <c r="A709" s="130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  <c r="AB709" s="122"/>
      <c r="AC709" s="122"/>
      <c r="AD709" s="124"/>
    </row>
    <row r="710" spans="1:30">
      <c r="A710" s="130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  <c r="AB710" s="122"/>
      <c r="AC710" s="122"/>
      <c r="AD710" s="124"/>
    </row>
    <row r="711" spans="1:30">
      <c r="A711" s="130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  <c r="AB711" s="122"/>
      <c r="AC711" s="122"/>
      <c r="AD711" s="124"/>
    </row>
    <row r="712" spans="1:30">
      <c r="A712" s="130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  <c r="AB712" s="122"/>
      <c r="AC712" s="122"/>
      <c r="AD712" s="124"/>
    </row>
    <row r="713" spans="1:30">
      <c r="A713" s="130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24"/>
    </row>
    <row r="714" spans="1:30">
      <c r="A714" s="130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4"/>
    </row>
    <row r="715" spans="1:30">
      <c r="A715" s="130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  <c r="AB715" s="122"/>
      <c r="AC715" s="122"/>
      <c r="AD715" s="124"/>
    </row>
    <row r="716" spans="1:30">
      <c r="A716" s="130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  <c r="AB716" s="122"/>
      <c r="AC716" s="122"/>
      <c r="AD716" s="124"/>
    </row>
    <row r="717" spans="1:30">
      <c r="A717" s="130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  <c r="AB717" s="122"/>
      <c r="AC717" s="122"/>
      <c r="AD717" s="124"/>
    </row>
    <row r="718" spans="1:30">
      <c r="A718" s="130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  <c r="AB718" s="122"/>
      <c r="AC718" s="122"/>
      <c r="AD718" s="124"/>
    </row>
    <row r="719" spans="1:30">
      <c r="A719" s="130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  <c r="AB719" s="122"/>
      <c r="AC719" s="122"/>
      <c r="AD719" s="124"/>
    </row>
    <row r="720" spans="1:30">
      <c r="A720" s="130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  <c r="AB720" s="122"/>
      <c r="AC720" s="122"/>
      <c r="AD720" s="124"/>
    </row>
    <row r="721" spans="1:30">
      <c r="A721" s="130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  <c r="AB721" s="122"/>
      <c r="AC721" s="122"/>
      <c r="AD721" s="124"/>
    </row>
    <row r="722" spans="1:30">
      <c r="A722" s="130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  <c r="AB722" s="122"/>
      <c r="AC722" s="122"/>
      <c r="AD722" s="124"/>
    </row>
    <row r="723" spans="1:30">
      <c r="A723" s="130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  <c r="AB723" s="122"/>
      <c r="AC723" s="122"/>
      <c r="AD723" s="124"/>
    </row>
    <row r="724" spans="1:30">
      <c r="A724" s="130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  <c r="AB724" s="122"/>
      <c r="AC724" s="122"/>
      <c r="AD724" s="124"/>
    </row>
    <row r="725" spans="1:30">
      <c r="A725" s="130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  <c r="AB725" s="122"/>
      <c r="AC725" s="122"/>
      <c r="AD725" s="124"/>
    </row>
    <row r="726" spans="1:30">
      <c r="A726" s="130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  <c r="AB726" s="122"/>
      <c r="AC726" s="122"/>
      <c r="AD726" s="124"/>
    </row>
    <row r="727" spans="1:30">
      <c r="A727" s="130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  <c r="AB727" s="122"/>
      <c r="AC727" s="122"/>
      <c r="AD727" s="124"/>
    </row>
    <row r="728" spans="1:30">
      <c r="A728" s="130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  <c r="AB728" s="122"/>
      <c r="AC728" s="122"/>
      <c r="AD728" s="124"/>
    </row>
    <row r="729" spans="1:30">
      <c r="A729" s="130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  <c r="AB729" s="122"/>
      <c r="AC729" s="122"/>
      <c r="AD729" s="124"/>
    </row>
    <row r="730" spans="1:30">
      <c r="A730" s="130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  <c r="AB730" s="122"/>
      <c r="AC730" s="122"/>
      <c r="AD730" s="124"/>
    </row>
    <row r="731" spans="1:30">
      <c r="A731" s="130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  <c r="AB731" s="122"/>
      <c r="AC731" s="122"/>
      <c r="AD731" s="124"/>
    </row>
    <row r="732" spans="1:30">
      <c r="A732" s="130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  <c r="AB732" s="122"/>
      <c r="AC732" s="122"/>
      <c r="AD732" s="124"/>
    </row>
    <row r="733" spans="1:30">
      <c r="A733" s="130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4"/>
    </row>
    <row r="734" spans="1:30">
      <c r="A734" s="130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4"/>
    </row>
    <row r="735" spans="1:30">
      <c r="A735" s="130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  <c r="AB735" s="122"/>
      <c r="AC735" s="122"/>
      <c r="AD735" s="124"/>
    </row>
    <row r="736" spans="1:30">
      <c r="A736" s="130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  <c r="AB736" s="122"/>
      <c r="AC736" s="122"/>
      <c r="AD736" s="124"/>
    </row>
    <row r="737" spans="1:30">
      <c r="A737" s="130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4"/>
    </row>
    <row r="738" spans="1:30">
      <c r="A738" s="130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  <c r="AB738" s="122"/>
      <c r="AC738" s="122"/>
      <c r="AD738" s="124"/>
    </row>
    <row r="739" spans="1:30">
      <c r="A739" s="130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  <c r="AB739" s="122"/>
      <c r="AC739" s="122"/>
      <c r="AD739" s="124"/>
    </row>
    <row r="740" spans="1:30">
      <c r="A740" s="130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4"/>
    </row>
    <row r="741" spans="1:30">
      <c r="A741" s="130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  <c r="AB741" s="122"/>
      <c r="AC741" s="122"/>
      <c r="AD741" s="124"/>
    </row>
    <row r="742" spans="1:30">
      <c r="A742" s="130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  <c r="AB742" s="122"/>
      <c r="AC742" s="122"/>
      <c r="AD742" s="124"/>
    </row>
    <row r="743" spans="1:30">
      <c r="A743" s="130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  <c r="AB743" s="122"/>
      <c r="AC743" s="122"/>
      <c r="AD743" s="124"/>
    </row>
    <row r="744" spans="1:30">
      <c r="A744" s="130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  <c r="AB744" s="122"/>
      <c r="AC744" s="122"/>
      <c r="AD744" s="124"/>
    </row>
    <row r="745" spans="1:30">
      <c r="A745" s="130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  <c r="AB745" s="122"/>
      <c r="AC745" s="122"/>
      <c r="AD745" s="124"/>
    </row>
    <row r="746" spans="1:30">
      <c r="A746" s="130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  <c r="AB746" s="122"/>
      <c r="AC746" s="122"/>
      <c r="AD746" s="124"/>
    </row>
    <row r="747" spans="1:30">
      <c r="A747" s="130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4"/>
    </row>
    <row r="748" spans="1:30">
      <c r="A748" s="130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4"/>
    </row>
    <row r="749" spans="1:30">
      <c r="A749" s="130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  <c r="AB749" s="122"/>
      <c r="AC749" s="122"/>
      <c r="AD749" s="124"/>
    </row>
    <row r="750" spans="1:30">
      <c r="A750" s="130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4"/>
    </row>
    <row r="751" spans="1:30">
      <c r="A751" s="130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  <c r="AB751" s="122"/>
      <c r="AC751" s="122"/>
      <c r="AD751" s="124"/>
    </row>
    <row r="752" spans="1:30">
      <c r="A752" s="130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  <c r="AB752" s="122"/>
      <c r="AC752" s="122"/>
      <c r="AD752" s="124"/>
    </row>
    <row r="753" spans="1:30">
      <c r="A753" s="130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  <c r="AB753" s="122"/>
      <c r="AC753" s="122"/>
      <c r="AD753" s="124"/>
    </row>
    <row r="754" spans="1:30">
      <c r="A754" s="130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  <c r="AB754" s="122"/>
      <c r="AC754" s="122"/>
      <c r="AD754" s="124"/>
    </row>
    <row r="755" spans="1:30">
      <c r="A755" s="130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4"/>
    </row>
    <row r="756" spans="1:30">
      <c r="A756" s="130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4"/>
    </row>
    <row r="757" spans="1:30">
      <c r="A757" s="130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  <c r="AB757" s="122"/>
      <c r="AC757" s="122"/>
      <c r="AD757" s="124"/>
    </row>
    <row r="758" spans="1:30">
      <c r="A758" s="130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  <c r="AB758" s="122"/>
      <c r="AC758" s="122"/>
      <c r="AD758" s="124"/>
    </row>
    <row r="759" spans="1:30">
      <c r="A759" s="130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  <c r="AB759" s="122"/>
      <c r="AC759" s="122"/>
      <c r="AD759" s="124"/>
    </row>
    <row r="760" spans="1:30">
      <c r="A760" s="130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  <c r="AB760" s="122"/>
      <c r="AC760" s="122"/>
      <c r="AD760" s="124"/>
    </row>
    <row r="761" spans="1:30">
      <c r="A761" s="130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  <c r="AB761" s="122"/>
      <c r="AC761" s="122"/>
      <c r="AD761" s="124"/>
    </row>
    <row r="762" spans="1:30">
      <c r="A762" s="130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4"/>
    </row>
    <row r="763" spans="1:30">
      <c r="A763" s="130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  <c r="AB763" s="122"/>
      <c r="AC763" s="122"/>
      <c r="AD763" s="124"/>
    </row>
    <row r="764" spans="1:30">
      <c r="A764" s="130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4"/>
    </row>
    <row r="765" spans="1:30">
      <c r="A765" s="130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4"/>
    </row>
    <row r="766" spans="1:30">
      <c r="A766" s="130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  <c r="AB766" s="122"/>
      <c r="AC766" s="122"/>
      <c r="AD766" s="124"/>
    </row>
    <row r="767" spans="1:30">
      <c r="A767" s="130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4"/>
    </row>
    <row r="768" spans="1:30">
      <c r="A768" s="130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4"/>
    </row>
    <row r="769" spans="1:30">
      <c r="A769" s="130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  <c r="AB769" s="122"/>
      <c r="AC769" s="122"/>
      <c r="AD769" s="124"/>
    </row>
    <row r="770" spans="1:30">
      <c r="A770" s="130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  <c r="AB770" s="122"/>
      <c r="AC770" s="122"/>
      <c r="AD770" s="124"/>
    </row>
    <row r="771" spans="1:30">
      <c r="A771" s="130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  <c r="AB771" s="122"/>
      <c r="AC771" s="122"/>
      <c r="AD771" s="124"/>
    </row>
    <row r="772" spans="1:30">
      <c r="A772" s="130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  <c r="AB772" s="122"/>
      <c r="AC772" s="122"/>
      <c r="AD772" s="124"/>
    </row>
    <row r="773" spans="1:30">
      <c r="A773" s="130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  <c r="AB773" s="122"/>
      <c r="AC773" s="122"/>
      <c r="AD773" s="124"/>
    </row>
    <row r="774" spans="1:30">
      <c r="A774" s="130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  <c r="AB774" s="122"/>
      <c r="AC774" s="122"/>
      <c r="AD774" s="124"/>
    </row>
    <row r="775" spans="1:30">
      <c r="A775" s="130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  <c r="AB775" s="122"/>
      <c r="AC775" s="122"/>
      <c r="AD775" s="124"/>
    </row>
    <row r="776" spans="1:30">
      <c r="A776" s="130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4"/>
    </row>
    <row r="777" spans="1:30">
      <c r="A777" s="130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4"/>
    </row>
    <row r="778" spans="1:30">
      <c r="A778" s="130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  <c r="AB778" s="122"/>
      <c r="AC778" s="122"/>
      <c r="AD778" s="124"/>
    </row>
    <row r="779" spans="1:30">
      <c r="A779" s="130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  <c r="AB779" s="122"/>
      <c r="AC779" s="122"/>
      <c r="AD779" s="124"/>
    </row>
    <row r="780" spans="1:30">
      <c r="A780" s="130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  <c r="AB780" s="122"/>
      <c r="AC780" s="122"/>
      <c r="AD780" s="124"/>
    </row>
    <row r="781" spans="1:30">
      <c r="A781" s="130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  <c r="AB781" s="122"/>
      <c r="AC781" s="122"/>
      <c r="AD781" s="124"/>
    </row>
    <row r="782" spans="1:30">
      <c r="A782" s="130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  <c r="AB782" s="122"/>
      <c r="AC782" s="122"/>
      <c r="AD782" s="124"/>
    </row>
    <row r="783" spans="1:30">
      <c r="A783" s="130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  <c r="AB783" s="122"/>
      <c r="AC783" s="122"/>
      <c r="AD783" s="124"/>
    </row>
    <row r="784" spans="1:30">
      <c r="A784" s="130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  <c r="AB784" s="122"/>
      <c r="AC784" s="122"/>
      <c r="AD784" s="124"/>
    </row>
    <row r="785" spans="1:30">
      <c r="A785" s="130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  <c r="AB785" s="122"/>
      <c r="AC785" s="122"/>
      <c r="AD785" s="124"/>
    </row>
    <row r="786" spans="1:30">
      <c r="A786" s="130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  <c r="AB786" s="122"/>
      <c r="AC786" s="122"/>
      <c r="AD786" s="124"/>
    </row>
    <row r="787" spans="1:30">
      <c r="A787" s="130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4"/>
    </row>
    <row r="788" spans="1:30">
      <c r="A788" s="130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  <c r="AB788" s="122"/>
      <c r="AC788" s="122"/>
      <c r="AD788" s="124"/>
    </row>
    <row r="789" spans="1:30">
      <c r="A789" s="130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4"/>
    </row>
    <row r="790" spans="1:30">
      <c r="A790" s="130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  <c r="AB790" s="122"/>
      <c r="AC790" s="122"/>
      <c r="AD790" s="124"/>
    </row>
    <row r="791" spans="1:30">
      <c r="A791" s="130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4"/>
    </row>
    <row r="792" spans="1:30">
      <c r="A792" s="130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  <c r="AB792" s="122"/>
      <c r="AC792" s="122"/>
      <c r="AD792" s="124"/>
    </row>
    <row r="793" spans="1:30">
      <c r="A793" s="130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  <c r="AB793" s="122"/>
      <c r="AC793" s="122"/>
      <c r="AD793" s="124"/>
    </row>
    <row r="794" spans="1:30">
      <c r="A794" s="130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4"/>
    </row>
    <row r="795" spans="1:30">
      <c r="A795" s="130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  <c r="AB795" s="122"/>
      <c r="AC795" s="122"/>
      <c r="AD795" s="124"/>
    </row>
    <row r="796" spans="1:30">
      <c r="A796" s="130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  <c r="AB796" s="122"/>
      <c r="AC796" s="122"/>
      <c r="AD796" s="124"/>
    </row>
    <row r="797" spans="1:30">
      <c r="A797" s="130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  <c r="AB797" s="122"/>
      <c r="AC797" s="122"/>
      <c r="AD797" s="124"/>
    </row>
    <row r="798" spans="1:30">
      <c r="A798" s="130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  <c r="AB798" s="122"/>
      <c r="AC798" s="122"/>
      <c r="AD798" s="124"/>
    </row>
    <row r="799" spans="1:30">
      <c r="A799" s="130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  <c r="AB799" s="122"/>
      <c r="AC799" s="122"/>
      <c r="AD799" s="124"/>
    </row>
    <row r="800" spans="1:30">
      <c r="A800" s="130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  <c r="AB800" s="122"/>
      <c r="AC800" s="122"/>
      <c r="AD800" s="124"/>
    </row>
    <row r="801" spans="1:30">
      <c r="A801" s="130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  <c r="AB801" s="122"/>
      <c r="AC801" s="122"/>
      <c r="AD801" s="124"/>
    </row>
    <row r="802" spans="1:30">
      <c r="A802" s="130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4"/>
    </row>
    <row r="803" spans="1:30">
      <c r="A803" s="130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  <c r="AB803" s="122"/>
      <c r="AC803" s="122"/>
      <c r="AD803" s="124"/>
    </row>
    <row r="804" spans="1:30">
      <c r="A804" s="130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  <c r="AB804" s="122"/>
      <c r="AC804" s="122"/>
      <c r="AD804" s="124"/>
    </row>
    <row r="805" spans="1:30">
      <c r="A805" s="130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  <c r="AB805" s="122"/>
      <c r="AC805" s="122"/>
      <c r="AD805" s="124"/>
    </row>
    <row r="806" spans="1:30">
      <c r="A806" s="130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4"/>
    </row>
    <row r="807" spans="1:30">
      <c r="A807" s="130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  <c r="AB807" s="122"/>
      <c r="AC807" s="122"/>
      <c r="AD807" s="124"/>
    </row>
    <row r="808" spans="1:30">
      <c r="A808" s="130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  <c r="AB808" s="122"/>
      <c r="AC808" s="122"/>
      <c r="AD808" s="124"/>
    </row>
    <row r="809" spans="1:30">
      <c r="A809" s="130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4"/>
    </row>
    <row r="810" spans="1:30">
      <c r="A810" s="130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  <c r="AB810" s="122"/>
      <c r="AC810" s="122"/>
      <c r="AD810" s="124"/>
    </row>
    <row r="811" spans="1:30">
      <c r="A811" s="130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4"/>
    </row>
    <row r="812" spans="1:30">
      <c r="A812" s="130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  <c r="AB812" s="122"/>
      <c r="AC812" s="122"/>
      <c r="AD812" s="124"/>
    </row>
    <row r="813" spans="1:30">
      <c r="A813" s="130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  <c r="AB813" s="122"/>
      <c r="AC813" s="122"/>
      <c r="AD813" s="124"/>
    </row>
    <row r="814" spans="1:30">
      <c r="A814" s="130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  <c r="AB814" s="122"/>
      <c r="AC814" s="122"/>
      <c r="AD814" s="124"/>
    </row>
    <row r="815" spans="1:30">
      <c r="A815" s="130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  <c r="AB815" s="122"/>
      <c r="AC815" s="122"/>
      <c r="AD815" s="124"/>
    </row>
    <row r="816" spans="1:30">
      <c r="A816" s="130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  <c r="AB816" s="122"/>
      <c r="AC816" s="122"/>
      <c r="AD816" s="124"/>
    </row>
    <row r="817" spans="1:30">
      <c r="A817" s="130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  <c r="AB817" s="122"/>
      <c r="AC817" s="122"/>
      <c r="AD817" s="124"/>
    </row>
    <row r="818" spans="1:30">
      <c r="A818" s="130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  <c r="AB818" s="122"/>
      <c r="AC818" s="122"/>
      <c r="AD818" s="124"/>
    </row>
    <row r="819" spans="1:30">
      <c r="A819" s="130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  <c r="AB819" s="122"/>
      <c r="AC819" s="122"/>
      <c r="AD819" s="124"/>
    </row>
    <row r="820" spans="1:30">
      <c r="A820" s="130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  <c r="AB820" s="122"/>
      <c r="AC820" s="122"/>
      <c r="AD820" s="124"/>
    </row>
    <row r="821" spans="1:30">
      <c r="A821" s="130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  <c r="AB821" s="122"/>
      <c r="AC821" s="122"/>
      <c r="AD821" s="124"/>
    </row>
    <row r="822" spans="1:30">
      <c r="A822" s="130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  <c r="AB822" s="122"/>
      <c r="AC822" s="122"/>
      <c r="AD822" s="124"/>
    </row>
    <row r="823" spans="1:30">
      <c r="A823" s="130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4"/>
    </row>
    <row r="824" spans="1:30">
      <c r="A824" s="130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4"/>
    </row>
    <row r="825" spans="1:30">
      <c r="A825" s="130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  <c r="AB825" s="122"/>
      <c r="AC825" s="122"/>
      <c r="AD825" s="124"/>
    </row>
    <row r="826" spans="1:30">
      <c r="A826" s="130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  <c r="AB826" s="122"/>
      <c r="AC826" s="122"/>
      <c r="AD826" s="124"/>
    </row>
    <row r="827" spans="1:30">
      <c r="A827" s="130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  <c r="AB827" s="122"/>
      <c r="AC827" s="122"/>
      <c r="AD827" s="124"/>
    </row>
    <row r="828" spans="1:30">
      <c r="A828" s="130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  <c r="AB828" s="122"/>
      <c r="AC828" s="122"/>
      <c r="AD828" s="124"/>
    </row>
    <row r="829" spans="1:30">
      <c r="A829" s="130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  <c r="AB829" s="122"/>
      <c r="AC829" s="122"/>
      <c r="AD829" s="124"/>
    </row>
    <row r="830" spans="1:30">
      <c r="A830" s="130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  <c r="AB830" s="122"/>
      <c r="AC830" s="122"/>
      <c r="AD830" s="124"/>
    </row>
    <row r="831" spans="1:30">
      <c r="A831" s="130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4"/>
    </row>
    <row r="832" spans="1:30">
      <c r="A832" s="130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4"/>
    </row>
    <row r="833" spans="1:30">
      <c r="A833" s="130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  <c r="AB833" s="122"/>
      <c r="AC833" s="122"/>
      <c r="AD833" s="124"/>
    </row>
    <row r="834" spans="1:30">
      <c r="A834" s="130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  <c r="AB834" s="122"/>
      <c r="AC834" s="122"/>
      <c r="AD834" s="124"/>
    </row>
    <row r="835" spans="1:30">
      <c r="A835" s="130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  <c r="AB835" s="122"/>
      <c r="AC835" s="122"/>
      <c r="AD835" s="124"/>
    </row>
    <row r="836" spans="1:30">
      <c r="A836" s="130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  <c r="AB836" s="122"/>
      <c r="AC836" s="122"/>
      <c r="AD836" s="124"/>
    </row>
    <row r="837" spans="1:30">
      <c r="A837" s="130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  <c r="AB837" s="122"/>
      <c r="AC837" s="122"/>
      <c r="AD837" s="124"/>
    </row>
    <row r="838" spans="1:30">
      <c r="A838" s="130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  <c r="AB838" s="122"/>
      <c r="AC838" s="122"/>
      <c r="AD838" s="124"/>
    </row>
    <row r="839" spans="1:30">
      <c r="A839" s="130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  <c r="AB839" s="122"/>
      <c r="AC839" s="122"/>
      <c r="AD839" s="124"/>
    </row>
    <row r="840" spans="1:30">
      <c r="A840" s="130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  <c r="AB840" s="122"/>
      <c r="AC840" s="122"/>
      <c r="AD840" s="124"/>
    </row>
    <row r="841" spans="1:30">
      <c r="A841" s="130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  <c r="AB841" s="122"/>
      <c r="AC841" s="122"/>
      <c r="AD841" s="124"/>
    </row>
    <row r="842" spans="1:30">
      <c r="A842" s="130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  <c r="AB842" s="122"/>
      <c r="AC842" s="122"/>
      <c r="AD842" s="124"/>
    </row>
    <row r="843" spans="1:30">
      <c r="A843" s="130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  <c r="AB843" s="122"/>
      <c r="AC843" s="122"/>
      <c r="AD843" s="124"/>
    </row>
    <row r="844" spans="1:30">
      <c r="A844" s="130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4"/>
    </row>
    <row r="845" spans="1:30">
      <c r="A845" s="130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4"/>
    </row>
    <row r="846" spans="1:30">
      <c r="A846" s="130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4"/>
    </row>
    <row r="847" spans="1:30">
      <c r="A847" s="130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  <c r="AB847" s="122"/>
      <c r="AC847" s="122"/>
      <c r="AD847" s="124"/>
    </row>
    <row r="848" spans="1:30">
      <c r="A848" s="130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  <c r="AB848" s="122"/>
      <c r="AC848" s="122"/>
      <c r="AD848" s="124"/>
    </row>
    <row r="849" spans="1:30">
      <c r="A849" s="130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  <c r="AB849" s="122"/>
      <c r="AC849" s="122"/>
      <c r="AD849" s="124"/>
    </row>
    <row r="850" spans="1:30">
      <c r="A850" s="130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  <c r="AB850" s="122"/>
      <c r="AC850" s="122"/>
      <c r="AD850" s="124"/>
    </row>
    <row r="851" spans="1:30">
      <c r="A851" s="130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4"/>
    </row>
    <row r="852" spans="1:30">
      <c r="A852" s="130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  <c r="AB852" s="122"/>
      <c r="AC852" s="122"/>
      <c r="AD852" s="124"/>
    </row>
    <row r="853" spans="1:30">
      <c r="A853" s="130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  <c r="AB853" s="122"/>
      <c r="AC853" s="122"/>
      <c r="AD853" s="124"/>
    </row>
    <row r="854" spans="1:30">
      <c r="A854" s="130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  <c r="AB854" s="122"/>
      <c r="AC854" s="122"/>
      <c r="AD854" s="124"/>
    </row>
    <row r="855" spans="1:30">
      <c r="A855" s="130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  <c r="AB855" s="122"/>
      <c r="AC855" s="122"/>
      <c r="AD855" s="124"/>
    </row>
    <row r="856" spans="1:30">
      <c r="A856" s="130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  <c r="AB856" s="122"/>
      <c r="AC856" s="122"/>
      <c r="AD856" s="124"/>
    </row>
    <row r="857" spans="1:30">
      <c r="A857" s="130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4"/>
    </row>
    <row r="858" spans="1:30">
      <c r="A858" s="130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  <c r="AB858" s="122"/>
      <c r="AC858" s="122"/>
      <c r="AD858" s="124"/>
    </row>
    <row r="859" spans="1:30">
      <c r="A859" s="130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  <c r="AB859" s="122"/>
      <c r="AC859" s="122"/>
      <c r="AD859" s="124"/>
    </row>
    <row r="860" spans="1:30">
      <c r="A860" s="130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  <c r="AB860" s="122"/>
      <c r="AC860" s="122"/>
      <c r="AD860" s="124"/>
    </row>
    <row r="861" spans="1:30">
      <c r="A861" s="130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  <c r="AB861" s="122"/>
      <c r="AC861" s="122"/>
      <c r="AD861" s="124"/>
    </row>
    <row r="862" spans="1:30">
      <c r="A862" s="130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  <c r="AB862" s="122"/>
      <c r="AC862" s="122"/>
      <c r="AD862" s="124"/>
    </row>
    <row r="863" spans="1:30">
      <c r="A863" s="130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  <c r="AB863" s="122"/>
      <c r="AC863" s="122"/>
      <c r="AD863" s="124"/>
    </row>
    <row r="864" spans="1:30">
      <c r="A864" s="130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  <c r="AB864" s="122"/>
      <c r="AC864" s="122"/>
      <c r="AD864" s="124"/>
    </row>
    <row r="865" spans="1:30">
      <c r="A865" s="130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  <c r="AB865" s="122"/>
      <c r="AC865" s="122"/>
      <c r="AD865" s="124"/>
    </row>
    <row r="866" spans="1:30">
      <c r="A866" s="130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  <c r="AB866" s="122"/>
      <c r="AC866" s="122"/>
      <c r="AD866" s="124"/>
    </row>
    <row r="867" spans="1:30">
      <c r="A867" s="130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  <c r="AB867" s="122"/>
      <c r="AC867" s="122"/>
      <c r="AD867" s="124"/>
    </row>
    <row r="868" spans="1:30">
      <c r="A868" s="130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  <c r="AB868" s="122"/>
      <c r="AC868" s="122"/>
      <c r="AD868" s="124"/>
    </row>
    <row r="869" spans="1:30">
      <c r="A869" s="130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  <c r="AB869" s="122"/>
      <c r="AC869" s="122"/>
      <c r="AD869" s="124"/>
    </row>
    <row r="870" spans="1:30">
      <c r="A870" s="130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  <c r="AB870" s="122"/>
      <c r="AC870" s="122"/>
      <c r="AD870" s="124"/>
    </row>
    <row r="871" spans="1:30">
      <c r="A871" s="130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  <c r="AB871" s="122"/>
      <c r="AC871" s="122"/>
      <c r="AD871" s="124"/>
    </row>
    <row r="872" spans="1:30">
      <c r="A872" s="130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4"/>
    </row>
    <row r="873" spans="1:30">
      <c r="A873" s="130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  <c r="AB873" s="122"/>
      <c r="AC873" s="122"/>
      <c r="AD873" s="124"/>
    </row>
    <row r="874" spans="1:30">
      <c r="A874" s="130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  <c r="AB874" s="122"/>
      <c r="AC874" s="122"/>
      <c r="AD874" s="124"/>
    </row>
    <row r="875" spans="1:30">
      <c r="A875" s="130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  <c r="AB875" s="122"/>
      <c r="AC875" s="122"/>
      <c r="AD875" s="124"/>
    </row>
    <row r="876" spans="1:30">
      <c r="A876" s="130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  <c r="AB876" s="122"/>
      <c r="AC876" s="122"/>
      <c r="AD876" s="124"/>
    </row>
    <row r="877" spans="1:30">
      <c r="A877" s="130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  <c r="AB877" s="122"/>
      <c r="AC877" s="122"/>
      <c r="AD877" s="124"/>
    </row>
    <row r="878" spans="1:30">
      <c r="A878" s="130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  <c r="AB878" s="122"/>
      <c r="AC878" s="122"/>
      <c r="AD878" s="124"/>
    </row>
    <row r="879" spans="1:30">
      <c r="A879" s="130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  <c r="AB879" s="122"/>
      <c r="AC879" s="122"/>
      <c r="AD879" s="124"/>
    </row>
    <row r="880" spans="1:30">
      <c r="A880" s="130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  <c r="AB880" s="122"/>
      <c r="AC880" s="122"/>
      <c r="AD880" s="124"/>
    </row>
    <row r="881" spans="1:30">
      <c r="A881" s="130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  <c r="AB881" s="122"/>
      <c r="AC881" s="122"/>
      <c r="AD881" s="124"/>
    </row>
    <row r="882" spans="1:30">
      <c r="A882" s="130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4"/>
    </row>
    <row r="883" spans="1:30">
      <c r="A883" s="130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  <c r="AB883" s="122"/>
      <c r="AC883" s="122"/>
      <c r="AD883" s="124"/>
    </row>
    <row r="884" spans="1:30">
      <c r="A884" s="130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  <c r="AB884" s="122"/>
      <c r="AC884" s="122"/>
      <c r="AD884" s="124"/>
    </row>
    <row r="885" spans="1:30">
      <c r="A885" s="130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4"/>
    </row>
    <row r="886" spans="1:30">
      <c r="A886" s="130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4"/>
    </row>
    <row r="887" spans="1:30">
      <c r="A887" s="130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  <c r="AB887" s="122"/>
      <c r="AC887" s="122"/>
      <c r="AD887" s="124"/>
    </row>
    <row r="888" spans="1:30">
      <c r="A888" s="130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4"/>
    </row>
    <row r="889" spans="1:30">
      <c r="A889" s="130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  <c r="AB889" s="122"/>
      <c r="AC889" s="122"/>
      <c r="AD889" s="124"/>
    </row>
    <row r="890" spans="1:30">
      <c r="A890" s="130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  <c r="AB890" s="122"/>
      <c r="AC890" s="122"/>
      <c r="AD890" s="124"/>
    </row>
    <row r="891" spans="1:30">
      <c r="A891" s="130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4"/>
    </row>
    <row r="892" spans="1:30">
      <c r="A892" s="130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4"/>
    </row>
    <row r="893" spans="1:30">
      <c r="A893" s="130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  <c r="AB893" s="122"/>
      <c r="AC893" s="122"/>
      <c r="AD893" s="124"/>
    </row>
    <row r="894" spans="1:30">
      <c r="A894" s="130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  <c r="AB894" s="122"/>
      <c r="AC894" s="122"/>
      <c r="AD894" s="124"/>
    </row>
    <row r="895" spans="1:30">
      <c r="A895" s="130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  <c r="AB895" s="122"/>
      <c r="AC895" s="122"/>
      <c r="AD895" s="124"/>
    </row>
    <row r="896" spans="1:30">
      <c r="A896" s="130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  <c r="AB896" s="122"/>
      <c r="AC896" s="122"/>
      <c r="AD896" s="124"/>
    </row>
    <row r="897" spans="1:30">
      <c r="A897" s="130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  <c r="AB897" s="122"/>
      <c r="AC897" s="122"/>
      <c r="AD897" s="124"/>
    </row>
    <row r="898" spans="1:30">
      <c r="A898" s="130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4"/>
    </row>
    <row r="899" spans="1:30">
      <c r="A899" s="130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4"/>
    </row>
    <row r="900" spans="1:30">
      <c r="A900" s="130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  <c r="AB900" s="122"/>
      <c r="AC900" s="122"/>
      <c r="AD900" s="124"/>
    </row>
    <row r="901" spans="1:30">
      <c r="A901" s="130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  <c r="AB901" s="122"/>
      <c r="AC901" s="122"/>
      <c r="AD901" s="124"/>
    </row>
    <row r="902" spans="1:30">
      <c r="A902" s="130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  <c r="AB902" s="122"/>
      <c r="AC902" s="122"/>
      <c r="AD902" s="124"/>
    </row>
    <row r="903" spans="1:30">
      <c r="A903" s="130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  <c r="AB903" s="122"/>
      <c r="AC903" s="122"/>
      <c r="AD903" s="124"/>
    </row>
    <row r="904" spans="1:30">
      <c r="A904" s="130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  <c r="AB904" s="122"/>
      <c r="AC904" s="122"/>
      <c r="AD904" s="124"/>
    </row>
    <row r="905" spans="1:30">
      <c r="A905" s="130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  <c r="AB905" s="122"/>
      <c r="AC905" s="122"/>
      <c r="AD905" s="124"/>
    </row>
    <row r="906" spans="1:30">
      <c r="A906" s="130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  <c r="AB906" s="122"/>
      <c r="AC906" s="122"/>
      <c r="AD906" s="124"/>
    </row>
    <row r="907" spans="1:30">
      <c r="A907" s="130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  <c r="AB907" s="122"/>
      <c r="AC907" s="122"/>
      <c r="AD907" s="124"/>
    </row>
    <row r="908" spans="1:30">
      <c r="A908" s="130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  <c r="AB908" s="122"/>
      <c r="AC908" s="122"/>
      <c r="AD908" s="124"/>
    </row>
    <row r="909" spans="1:30">
      <c r="A909" s="130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  <c r="AB909" s="122"/>
      <c r="AC909" s="122"/>
      <c r="AD909" s="124"/>
    </row>
    <row r="910" spans="1:30">
      <c r="A910" s="130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  <c r="AB910" s="122"/>
      <c r="AC910" s="122"/>
      <c r="AD910" s="124"/>
    </row>
    <row r="911" spans="1:30">
      <c r="A911" s="130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  <c r="AB911" s="122"/>
      <c r="AC911" s="122"/>
      <c r="AD911" s="124"/>
    </row>
    <row r="912" spans="1:30">
      <c r="A912" s="130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  <c r="AB912" s="122"/>
      <c r="AC912" s="122"/>
      <c r="AD912" s="124"/>
    </row>
    <row r="913" spans="1:30">
      <c r="A913" s="130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4"/>
    </row>
    <row r="914" spans="1:30">
      <c r="A914" s="130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  <c r="AB914" s="122"/>
      <c r="AC914" s="122"/>
      <c r="AD914" s="124"/>
    </row>
    <row r="915" spans="1:30">
      <c r="A915" s="130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4"/>
    </row>
    <row r="916" spans="1:30">
      <c r="A916" s="130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  <c r="AB916" s="122"/>
      <c r="AC916" s="122"/>
      <c r="AD916" s="124"/>
    </row>
    <row r="917" spans="1:30">
      <c r="A917" s="130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  <c r="AB917" s="122"/>
      <c r="AC917" s="122"/>
      <c r="AD917" s="124"/>
    </row>
    <row r="918" spans="1:30">
      <c r="A918" s="130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  <c r="AB918" s="122"/>
      <c r="AC918" s="122"/>
      <c r="AD918" s="124"/>
    </row>
    <row r="919" spans="1:30">
      <c r="A919" s="130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4"/>
    </row>
    <row r="920" spans="1:30">
      <c r="A920" s="130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  <c r="AB920" s="122"/>
      <c r="AC920" s="122"/>
      <c r="AD920" s="124"/>
    </row>
    <row r="921" spans="1:30">
      <c r="A921" s="130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  <c r="AB921" s="122"/>
      <c r="AC921" s="122"/>
      <c r="AD921" s="124"/>
    </row>
    <row r="922" spans="1:30">
      <c r="A922" s="130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  <c r="AB922" s="122"/>
      <c r="AC922" s="122"/>
      <c r="AD922" s="124"/>
    </row>
    <row r="923" spans="1:30">
      <c r="A923" s="130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  <c r="AB923" s="122"/>
      <c r="AC923" s="122"/>
      <c r="AD923" s="124"/>
    </row>
    <row r="924" spans="1:30">
      <c r="A924" s="130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  <c r="AB924" s="122"/>
      <c r="AC924" s="122"/>
      <c r="AD924" s="124"/>
    </row>
    <row r="925" spans="1:30">
      <c r="A925" s="130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  <c r="AB925" s="122"/>
      <c r="AC925" s="122"/>
      <c r="AD925" s="124"/>
    </row>
    <row r="926" spans="1:30">
      <c r="A926" s="130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  <c r="AB926" s="122"/>
      <c r="AC926" s="122"/>
      <c r="AD926" s="124"/>
    </row>
    <row r="927" spans="1:30">
      <c r="A927" s="130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  <c r="AB927" s="122"/>
      <c r="AC927" s="122"/>
      <c r="AD927" s="124"/>
    </row>
    <row r="928" spans="1:30">
      <c r="A928" s="130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  <c r="AB928" s="122"/>
      <c r="AC928" s="122"/>
      <c r="AD928" s="124"/>
    </row>
    <row r="929" spans="1:30">
      <c r="A929" s="130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  <c r="AB929" s="122"/>
      <c r="AC929" s="122"/>
      <c r="AD929" s="124"/>
    </row>
    <row r="930" spans="1:30">
      <c r="A930" s="130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  <c r="AB930" s="122"/>
      <c r="AC930" s="122"/>
      <c r="AD930" s="124"/>
    </row>
    <row r="931" spans="1:30">
      <c r="A931" s="130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  <c r="AB931" s="122"/>
      <c r="AC931" s="122"/>
      <c r="AD931" s="124"/>
    </row>
    <row r="932" spans="1:30">
      <c r="A932" s="130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  <c r="AB932" s="122"/>
      <c r="AC932" s="122"/>
      <c r="AD932" s="124"/>
    </row>
    <row r="933" spans="1:30">
      <c r="A933" s="130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  <c r="AB933" s="122"/>
      <c r="AC933" s="122"/>
      <c r="AD933" s="124"/>
    </row>
    <row r="934" spans="1:30">
      <c r="A934" s="130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4"/>
    </row>
    <row r="935" spans="1:30">
      <c r="A935" s="130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  <c r="AB935" s="122"/>
      <c r="AC935" s="122"/>
      <c r="AD935" s="124"/>
    </row>
    <row r="936" spans="1:30">
      <c r="A936" s="130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  <c r="AB936" s="122"/>
      <c r="AC936" s="122"/>
      <c r="AD936" s="124"/>
    </row>
    <row r="937" spans="1:30">
      <c r="A937" s="130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  <c r="AB937" s="122"/>
      <c r="AC937" s="122"/>
      <c r="AD937" s="124"/>
    </row>
    <row r="938" spans="1:30">
      <c r="A938" s="130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  <c r="AB938" s="122"/>
      <c r="AC938" s="122"/>
      <c r="AD938" s="124"/>
    </row>
    <row r="939" spans="1:30">
      <c r="A939" s="130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  <c r="AB939" s="122"/>
      <c r="AC939" s="122"/>
      <c r="AD939" s="124"/>
    </row>
    <row r="940" spans="1:30">
      <c r="A940" s="130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  <c r="AB940" s="122"/>
      <c r="AC940" s="122"/>
      <c r="AD940" s="124"/>
    </row>
    <row r="941" spans="1:30">
      <c r="A941" s="130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  <c r="AB941" s="122"/>
      <c r="AC941" s="122"/>
      <c r="AD941" s="124"/>
    </row>
    <row r="942" spans="1:30">
      <c r="A942" s="130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  <c r="AB942" s="122"/>
      <c r="AC942" s="122"/>
      <c r="AD942" s="124"/>
    </row>
    <row r="943" spans="1:30">
      <c r="A943" s="130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  <c r="AB943" s="122"/>
      <c r="AC943" s="122"/>
      <c r="AD943" s="124"/>
    </row>
    <row r="944" spans="1:30">
      <c r="A944" s="130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4"/>
    </row>
    <row r="945" spans="1:30">
      <c r="A945" s="130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  <c r="AB945" s="122"/>
      <c r="AC945" s="122"/>
      <c r="AD945" s="124"/>
    </row>
    <row r="946" spans="1:30">
      <c r="A946" s="130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  <c r="AB946" s="122"/>
      <c r="AC946" s="122"/>
      <c r="AD946" s="124"/>
    </row>
    <row r="947" spans="1:30">
      <c r="A947" s="130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4"/>
    </row>
    <row r="948" spans="1:30">
      <c r="A948" s="130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  <c r="AB948" s="122"/>
      <c r="AC948" s="122"/>
      <c r="AD948" s="124"/>
    </row>
    <row r="949" spans="1:30">
      <c r="A949" s="130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  <c r="AB949" s="122"/>
      <c r="AC949" s="122"/>
      <c r="AD949" s="124"/>
    </row>
    <row r="950" spans="1:30">
      <c r="A950" s="130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  <c r="AB950" s="122"/>
      <c r="AC950" s="122"/>
      <c r="AD950" s="124"/>
    </row>
    <row r="951" spans="1:30">
      <c r="A951" s="130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  <c r="AB951" s="122"/>
      <c r="AC951" s="122"/>
      <c r="AD951" s="124"/>
    </row>
    <row r="952" spans="1:30">
      <c r="A952" s="130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  <c r="AB952" s="122"/>
      <c r="AC952" s="122"/>
      <c r="AD952" s="124"/>
    </row>
    <row r="953" spans="1:30">
      <c r="A953" s="130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  <c r="AB953" s="122"/>
      <c r="AC953" s="122"/>
      <c r="AD953" s="124"/>
    </row>
    <row r="954" spans="1:30">
      <c r="A954" s="130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  <c r="AB954" s="122"/>
      <c r="AC954" s="122"/>
      <c r="AD954" s="124"/>
    </row>
    <row r="955" spans="1:30">
      <c r="A955" s="130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  <c r="AB955" s="122"/>
      <c r="AC955" s="122"/>
      <c r="AD955" s="124"/>
    </row>
    <row r="956" spans="1:30">
      <c r="A956" s="130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  <c r="AB956" s="122"/>
      <c r="AC956" s="122"/>
      <c r="AD956" s="124"/>
    </row>
    <row r="957" spans="1:30">
      <c r="A957" s="130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4"/>
    </row>
    <row r="958" spans="1:30">
      <c r="A958" s="130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4"/>
    </row>
    <row r="959" spans="1:30">
      <c r="A959" s="130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  <c r="AB959" s="122"/>
      <c r="AC959" s="122"/>
      <c r="AD959" s="124"/>
    </row>
    <row r="960" spans="1:30">
      <c r="A960" s="130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  <c r="AB960" s="122"/>
      <c r="AC960" s="122"/>
      <c r="AD960" s="124"/>
    </row>
    <row r="961" spans="1:30">
      <c r="A961" s="130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  <c r="AB961" s="122"/>
      <c r="AC961" s="122"/>
      <c r="AD961" s="124"/>
    </row>
    <row r="962" spans="1:30">
      <c r="A962" s="130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  <c r="AB962" s="122"/>
      <c r="AC962" s="122"/>
      <c r="AD962" s="124"/>
    </row>
    <row r="963" spans="1:30">
      <c r="A963" s="130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  <c r="AB963" s="122"/>
      <c r="AC963" s="122"/>
      <c r="AD963" s="124"/>
    </row>
    <row r="964" spans="1:30">
      <c r="A964" s="130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  <c r="AB964" s="122"/>
      <c r="AC964" s="122"/>
      <c r="AD964" s="124"/>
    </row>
    <row r="965" spans="1:30">
      <c r="A965" s="130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  <c r="AB965" s="122"/>
      <c r="AC965" s="122"/>
      <c r="AD965" s="124"/>
    </row>
    <row r="966" spans="1:30">
      <c r="A966" s="130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  <c r="AB966" s="122"/>
      <c r="AC966" s="122"/>
      <c r="AD966" s="124"/>
    </row>
    <row r="967" spans="1:30">
      <c r="A967" s="130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4"/>
    </row>
    <row r="968" spans="1:30">
      <c r="A968" s="130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4"/>
    </row>
    <row r="969" spans="1:30">
      <c r="A969" s="130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  <c r="AB969" s="122"/>
      <c r="AC969" s="122"/>
      <c r="AD969" s="124"/>
    </row>
    <row r="970" spans="1:30">
      <c r="A970" s="130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  <c r="AB970" s="122"/>
      <c r="AC970" s="122"/>
      <c r="AD970" s="124"/>
    </row>
    <row r="971" spans="1:30">
      <c r="A971" s="130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  <c r="AB971" s="122"/>
      <c r="AC971" s="122"/>
      <c r="AD971" s="124"/>
    </row>
    <row r="972" spans="1:30">
      <c r="A972" s="130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  <c r="AB972" s="122"/>
      <c r="AC972" s="122"/>
      <c r="AD972" s="124"/>
    </row>
    <row r="973" spans="1:30">
      <c r="A973" s="130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  <c r="AB973" s="122"/>
      <c r="AC973" s="122"/>
      <c r="AD973" s="124"/>
    </row>
    <row r="974" spans="1:30">
      <c r="A974" s="130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  <c r="AB974" s="122"/>
      <c r="AC974" s="122"/>
      <c r="AD974" s="124"/>
    </row>
    <row r="975" spans="1:30">
      <c r="A975" s="130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  <c r="AB975" s="122"/>
      <c r="AC975" s="122"/>
      <c r="AD975" s="124"/>
    </row>
    <row r="976" spans="1:30">
      <c r="A976" s="130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  <c r="AB976" s="122"/>
      <c r="AC976" s="122"/>
      <c r="AD976" s="124"/>
    </row>
    <row r="977" spans="1:30">
      <c r="A977" s="130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  <c r="AB977" s="122"/>
      <c r="AC977" s="122"/>
      <c r="AD977" s="124"/>
    </row>
    <row r="978" spans="1:30">
      <c r="A978" s="130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  <c r="AB978" s="122"/>
      <c r="AC978" s="122"/>
      <c r="AD978" s="124"/>
    </row>
    <row r="979" spans="1:30">
      <c r="A979" s="130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  <c r="AB979" s="122"/>
      <c r="AC979" s="122"/>
      <c r="AD979" s="124"/>
    </row>
    <row r="980" spans="1:30">
      <c r="A980" s="130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  <c r="AB980" s="122"/>
      <c r="AC980" s="122"/>
      <c r="AD980" s="124"/>
    </row>
    <row r="981" spans="1:30">
      <c r="A981" s="130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4"/>
    </row>
    <row r="982" spans="1:30">
      <c r="A982" s="130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  <c r="AB982" s="122"/>
      <c r="AC982" s="122"/>
      <c r="AD982" s="124"/>
    </row>
    <row r="983" spans="1:30">
      <c r="A983" s="130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4"/>
    </row>
    <row r="984" spans="1:30">
      <c r="A984" s="130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4"/>
    </row>
    <row r="985" spans="1:30">
      <c r="A985" s="130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  <c r="AB985" s="122"/>
      <c r="AC985" s="122"/>
      <c r="AD985" s="124"/>
    </row>
    <row r="986" spans="1:30">
      <c r="A986" s="130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  <c r="AB986" s="122"/>
      <c r="AC986" s="122"/>
      <c r="AD986" s="124"/>
    </row>
    <row r="987" spans="1:30">
      <c r="A987" s="130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  <c r="AB987" s="122"/>
      <c r="AC987" s="122"/>
      <c r="AD987" s="124"/>
    </row>
    <row r="988" spans="1:30">
      <c r="A988" s="130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  <c r="AB988" s="122"/>
      <c r="AC988" s="122"/>
      <c r="AD988" s="124"/>
    </row>
    <row r="989" spans="1:30">
      <c r="A989" s="130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  <c r="AB989" s="122"/>
      <c r="AC989" s="122"/>
      <c r="AD989" s="124"/>
    </row>
    <row r="990" spans="1:30">
      <c r="A990" s="130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  <c r="AB990" s="122"/>
      <c r="AC990" s="122"/>
      <c r="AD990" s="124"/>
    </row>
    <row r="991" spans="1:30">
      <c r="A991" s="130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  <c r="AB991" s="122"/>
      <c r="AC991" s="122"/>
      <c r="AD991" s="124"/>
    </row>
    <row r="992" spans="1:30">
      <c r="A992" s="130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  <c r="AB992" s="122"/>
      <c r="AC992" s="122"/>
      <c r="AD992" s="124"/>
    </row>
    <row r="993" spans="1:30">
      <c r="A993" s="130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  <c r="AB993" s="122"/>
      <c r="AC993" s="122"/>
      <c r="AD993" s="124"/>
    </row>
    <row r="994" spans="1:30">
      <c r="A994" s="130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  <c r="AB994" s="122"/>
      <c r="AC994" s="122"/>
      <c r="AD994" s="124"/>
    </row>
    <row r="995" spans="1:30">
      <c r="A995" s="130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  <c r="AB995" s="122"/>
      <c r="AC995" s="122"/>
      <c r="AD995" s="124"/>
    </row>
    <row r="996" spans="1:30">
      <c r="A996" s="130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2"/>
      <c r="AB996" s="122"/>
      <c r="AC996" s="122"/>
      <c r="AD996" s="124"/>
    </row>
    <row r="997" spans="1:30">
      <c r="A997" s="130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2"/>
      <c r="AB997" s="122"/>
      <c r="AC997" s="122"/>
      <c r="AD997" s="124"/>
    </row>
    <row r="998" spans="1:30">
      <c r="A998" s="130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2"/>
      <c r="AB998" s="122"/>
      <c r="AC998" s="122"/>
      <c r="AD998" s="124"/>
    </row>
    <row r="999" spans="1:30">
      <c r="A999" s="130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2"/>
      <c r="AB999" s="122"/>
      <c r="AC999" s="122"/>
      <c r="AD999" s="124"/>
    </row>
    <row r="1000" spans="1:30">
      <c r="A1000" s="130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2"/>
      <c r="AB1000" s="122"/>
      <c r="AC1000" s="122"/>
      <c r="AD1000" s="124"/>
    </row>
    <row r="1001" spans="1:30">
      <c r="A1001" s="130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  <c r="AA1001" s="122"/>
      <c r="AB1001" s="122"/>
      <c r="AC1001" s="122"/>
      <c r="AD1001" s="124"/>
    </row>
    <row r="1002" spans="1:30">
      <c r="A1002" s="130"/>
      <c r="B1002" s="122"/>
      <c r="C1002" s="122"/>
      <c r="D1002" s="122"/>
      <c r="E1002" s="122"/>
      <c r="F1002" s="122"/>
      <c r="G1002" s="122"/>
      <c r="H1002" s="122"/>
      <c r="I1002" s="122"/>
      <c r="J1002" s="122"/>
      <c r="K1002" s="122"/>
      <c r="L1002" s="122"/>
      <c r="M1002" s="122"/>
      <c r="N1002" s="122"/>
      <c r="O1002" s="122"/>
      <c r="P1002" s="122"/>
      <c r="Q1002" s="122"/>
      <c r="R1002" s="122"/>
      <c r="S1002" s="122"/>
      <c r="T1002" s="122"/>
      <c r="U1002" s="122"/>
      <c r="V1002" s="122"/>
      <c r="W1002" s="122"/>
      <c r="X1002" s="122"/>
      <c r="Y1002" s="122"/>
      <c r="Z1002" s="122"/>
      <c r="AA1002" s="122"/>
      <c r="AB1002" s="122"/>
      <c r="AC1002" s="122"/>
      <c r="AD1002" s="124"/>
    </row>
    <row r="1003" spans="1:30">
      <c r="A1003" s="130"/>
      <c r="B1003" s="122"/>
      <c r="C1003" s="122"/>
      <c r="D1003" s="122"/>
      <c r="E1003" s="122"/>
      <c r="F1003" s="122"/>
      <c r="G1003" s="122"/>
      <c r="H1003" s="122"/>
      <c r="I1003" s="122"/>
      <c r="J1003" s="122"/>
      <c r="K1003" s="122"/>
      <c r="L1003" s="122"/>
      <c r="M1003" s="122"/>
      <c r="N1003" s="122"/>
      <c r="O1003" s="122"/>
      <c r="P1003" s="122"/>
      <c r="Q1003" s="122"/>
      <c r="R1003" s="122"/>
      <c r="S1003" s="122"/>
      <c r="T1003" s="122"/>
      <c r="U1003" s="122"/>
      <c r="V1003" s="122"/>
      <c r="W1003" s="122"/>
      <c r="X1003" s="122"/>
      <c r="Y1003" s="122"/>
      <c r="Z1003" s="122"/>
      <c r="AA1003" s="122"/>
      <c r="AB1003" s="122"/>
      <c r="AC1003" s="122"/>
      <c r="AD1003" s="124"/>
    </row>
    <row r="1004" spans="1:30">
      <c r="A1004" s="130"/>
      <c r="B1004" s="122"/>
      <c r="C1004" s="122"/>
      <c r="D1004" s="122"/>
      <c r="E1004" s="122"/>
      <c r="F1004" s="122"/>
      <c r="G1004" s="122"/>
      <c r="H1004" s="122"/>
      <c r="I1004" s="122"/>
      <c r="J1004" s="122"/>
      <c r="K1004" s="122"/>
      <c r="L1004" s="122"/>
      <c r="M1004" s="122"/>
      <c r="N1004" s="122"/>
      <c r="O1004" s="122"/>
      <c r="P1004" s="122"/>
      <c r="Q1004" s="122"/>
      <c r="R1004" s="122"/>
      <c r="S1004" s="122"/>
      <c r="T1004" s="122"/>
      <c r="U1004" s="122"/>
      <c r="V1004" s="122"/>
      <c r="W1004" s="122"/>
      <c r="X1004" s="122"/>
      <c r="Y1004" s="122"/>
      <c r="Z1004" s="122"/>
      <c r="AA1004" s="122"/>
      <c r="AB1004" s="122"/>
      <c r="AC1004" s="122"/>
      <c r="AD1004" s="124"/>
    </row>
    <row r="1005" spans="1:30">
      <c r="A1005" s="130"/>
      <c r="B1005" s="122"/>
      <c r="C1005" s="122"/>
      <c r="D1005" s="122"/>
      <c r="E1005" s="122"/>
      <c r="F1005" s="122"/>
      <c r="G1005" s="122"/>
      <c r="H1005" s="122"/>
      <c r="I1005" s="122"/>
      <c r="J1005" s="122"/>
      <c r="K1005" s="122"/>
      <c r="L1005" s="122"/>
      <c r="M1005" s="122"/>
      <c r="N1005" s="122"/>
      <c r="O1005" s="122"/>
      <c r="P1005" s="122"/>
      <c r="Q1005" s="122"/>
      <c r="R1005" s="122"/>
      <c r="S1005" s="122"/>
      <c r="T1005" s="122"/>
      <c r="U1005" s="122"/>
      <c r="V1005" s="122"/>
      <c r="W1005" s="122"/>
      <c r="X1005" s="122"/>
      <c r="Y1005" s="122"/>
      <c r="Z1005" s="122"/>
      <c r="AA1005" s="122"/>
      <c r="AB1005" s="122"/>
      <c r="AC1005" s="122"/>
      <c r="AD1005" s="124"/>
    </row>
    <row r="1006" spans="1:30">
      <c r="A1006" s="130"/>
      <c r="B1006" s="122"/>
      <c r="C1006" s="122"/>
      <c r="D1006" s="122"/>
      <c r="E1006" s="122"/>
      <c r="F1006" s="122"/>
      <c r="G1006" s="122"/>
      <c r="H1006" s="122"/>
      <c r="I1006" s="122"/>
      <c r="J1006" s="122"/>
      <c r="K1006" s="122"/>
      <c r="L1006" s="122"/>
      <c r="M1006" s="122"/>
      <c r="N1006" s="122"/>
      <c r="O1006" s="122"/>
      <c r="P1006" s="122"/>
      <c r="Q1006" s="122"/>
      <c r="R1006" s="122"/>
      <c r="S1006" s="122"/>
      <c r="T1006" s="122"/>
      <c r="U1006" s="122"/>
      <c r="V1006" s="122"/>
      <c r="W1006" s="122"/>
      <c r="X1006" s="122"/>
      <c r="Y1006" s="122"/>
      <c r="Z1006" s="122"/>
      <c r="AA1006" s="122"/>
      <c r="AB1006" s="122"/>
      <c r="AC1006" s="122"/>
      <c r="AD1006" s="124"/>
    </row>
    <row r="1007" spans="1:30">
      <c r="A1007" s="130"/>
      <c r="B1007" s="122"/>
      <c r="C1007" s="122"/>
      <c r="D1007" s="122"/>
      <c r="E1007" s="122"/>
      <c r="F1007" s="122"/>
      <c r="G1007" s="122"/>
      <c r="H1007" s="122"/>
      <c r="I1007" s="122"/>
      <c r="J1007" s="122"/>
      <c r="K1007" s="122"/>
      <c r="L1007" s="122"/>
      <c r="M1007" s="122"/>
      <c r="N1007" s="122"/>
      <c r="O1007" s="122"/>
      <c r="P1007" s="122"/>
      <c r="Q1007" s="122"/>
      <c r="R1007" s="122"/>
      <c r="S1007" s="122"/>
      <c r="T1007" s="122"/>
      <c r="U1007" s="122"/>
      <c r="V1007" s="122"/>
      <c r="W1007" s="122"/>
      <c r="X1007" s="122"/>
      <c r="Y1007" s="122"/>
      <c r="Z1007" s="122"/>
      <c r="AA1007" s="122"/>
      <c r="AB1007" s="122"/>
      <c r="AC1007" s="122"/>
      <c r="AD1007" s="124"/>
    </row>
    <row r="1008" spans="1:30">
      <c r="A1008" s="130"/>
      <c r="B1008" s="122"/>
      <c r="C1008" s="122"/>
      <c r="D1008" s="122"/>
      <c r="E1008" s="122"/>
      <c r="F1008" s="122"/>
      <c r="G1008" s="122"/>
      <c r="H1008" s="122"/>
      <c r="I1008" s="122"/>
      <c r="J1008" s="122"/>
      <c r="K1008" s="122"/>
      <c r="L1008" s="122"/>
      <c r="M1008" s="122"/>
      <c r="N1008" s="122"/>
      <c r="O1008" s="122"/>
      <c r="P1008" s="122"/>
      <c r="Q1008" s="122"/>
      <c r="R1008" s="122"/>
      <c r="S1008" s="122"/>
      <c r="T1008" s="122"/>
      <c r="U1008" s="122"/>
      <c r="V1008" s="122"/>
      <c r="W1008" s="122"/>
      <c r="X1008" s="122"/>
      <c r="Y1008" s="122"/>
      <c r="Z1008" s="122"/>
      <c r="AA1008" s="122"/>
      <c r="AB1008" s="122"/>
      <c r="AC1008" s="122"/>
      <c r="AD1008" s="124"/>
    </row>
    <row r="1009" spans="1:30">
      <c r="A1009" s="130"/>
      <c r="B1009" s="122"/>
      <c r="C1009" s="122"/>
      <c r="D1009" s="122"/>
      <c r="E1009" s="122"/>
      <c r="F1009" s="122"/>
      <c r="G1009" s="122"/>
      <c r="H1009" s="122"/>
      <c r="I1009" s="122"/>
      <c r="J1009" s="122"/>
      <c r="K1009" s="122"/>
      <c r="L1009" s="122"/>
      <c r="M1009" s="122"/>
      <c r="N1009" s="122"/>
      <c r="O1009" s="122"/>
      <c r="P1009" s="122"/>
      <c r="Q1009" s="122"/>
      <c r="R1009" s="122"/>
      <c r="S1009" s="122"/>
      <c r="T1009" s="122"/>
      <c r="U1009" s="122"/>
      <c r="V1009" s="122"/>
      <c r="W1009" s="122"/>
      <c r="X1009" s="122"/>
      <c r="Y1009" s="122"/>
      <c r="Z1009" s="122"/>
      <c r="AA1009" s="122"/>
      <c r="AB1009" s="122"/>
      <c r="AC1009" s="122"/>
      <c r="AD1009" s="124"/>
    </row>
    <row r="1010" spans="1:30">
      <c r="A1010" s="131"/>
      <c r="B1010" s="132"/>
      <c r="C1010" s="132"/>
      <c r="D1010" s="132"/>
      <c r="E1010" s="132"/>
      <c r="F1010" s="132"/>
      <c r="G1010" s="132"/>
      <c r="H1010" s="132"/>
      <c r="I1010" s="132"/>
      <c r="J1010" s="132"/>
      <c r="K1010" s="132"/>
      <c r="L1010" s="132"/>
      <c r="M1010" s="132"/>
      <c r="N1010" s="132"/>
      <c r="O1010" s="132"/>
      <c r="P1010" s="132"/>
      <c r="Q1010" s="132"/>
      <c r="R1010" s="132"/>
      <c r="S1010" s="132"/>
      <c r="T1010" s="132"/>
      <c r="U1010" s="132"/>
      <c r="V1010" s="132"/>
      <c r="W1010" s="132"/>
      <c r="X1010" s="132"/>
      <c r="Y1010" s="132"/>
      <c r="Z1010" s="132"/>
      <c r="AA1010" s="132"/>
      <c r="AB1010" s="132"/>
      <c r="AC1010" s="132"/>
      <c r="AD1010" s="126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Lapat Jitwongwai (Jitwongwai Lapat)</cp:lastModifiedBy>
  <cp:revision/>
  <dcterms:created xsi:type="dcterms:W3CDTF">2026-02-03T04:52:40Z</dcterms:created>
  <dcterms:modified xsi:type="dcterms:W3CDTF">2026-09-30T06:59:00Z</dcterms:modified>
  <cp:category/>
  <cp:contentStatus/>
</cp:coreProperties>
</file>