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249" documentId="8_{4185217D-4006-4629-AD3A-0737CE05813A}" xr6:coauthVersionLast="47" xr6:coauthVersionMax="47" xr10:uidLastSave="{39E69DCF-FB71-4A82-87CF-7DAD939BFC00}"/>
  <bookViews>
    <workbookView xWindow="-108" yWindow="-108" windowWidth="23256" windowHeight="12456" activeTab="3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Recruitment!$M$128:$M$128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2" l="1"/>
  <c r="B118" i="2"/>
  <c r="B119" i="2"/>
  <c r="B117" i="2"/>
  <c r="P119" i="2"/>
  <c r="Q119" i="2"/>
  <c r="N118" i="2"/>
  <c r="P118" i="2"/>
  <c r="Q118" i="2"/>
  <c r="P117" i="2"/>
  <c r="Q117" i="2" s="1"/>
  <c r="N117" i="2"/>
  <c r="B108" i="2"/>
  <c r="N108" i="2"/>
  <c r="P108" i="2"/>
  <c r="Q108" i="2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P4" i="2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6" i="2"/>
  <c r="Q4" i="2"/>
  <c r="Q14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หมด JDB, Form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M117" authorId="1" shapeId="0" xr:uid="{5A08EBA2-79DB-446F-82F3-697F602812C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Lapat):Memo เดิมใช้ของ Service creativity 11/6/2026 มีโยกย้ายและเปลี่ยนมาสรรหาตำแหน่งทีมพี่หน่องแทน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</commentList>
</comments>
</file>

<file path=xl/sharedStrings.xml><?xml version="1.0" encoding="utf-8"?>
<sst xmlns="http://schemas.openxmlformats.org/spreadsheetml/2006/main" count="1794" uniqueCount="590">
  <si>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</si>
  <si>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</si>
  <si>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</si>
  <si>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</si>
  <si>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</si>
  <si>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</si>
  <si>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</si>
  <si>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</si>
  <si>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</si>
  <si>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</si>
  <si>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</si>
  <si>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</si>
  <si>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</si>
  <si>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</si>
  <si>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</si>
  <si>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</si>
  <si>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</si>
  <si>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</si>
  <si>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</si>
  <si>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</si>
  <si>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</si>
  <si>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</si>
  <si>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</si>
  <si>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</si>
  <si>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</si>
  <si>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</si>
  <si>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</si>
  <si>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</si>
  <si>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</si>
  <si>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</si>
  <si>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</si>
  <si>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</si>
  <si>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</si>
  <si>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</si>
  <si>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Probation Tracking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</si>
  <si>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</si>
  <si>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</si>
  <si>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</si>
  <si>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</si>
  <si>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</si>
  <si>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</si>
  <si>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</si>
  <si>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</si>
  <si>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</si>
  <si>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</si>
  <si>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</si>
  <si>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</si>
  <si>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</si>
  <si>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</si>
  <si>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</si>
  <si>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</si>
  <si>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</si>
  <si>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</si>
  <si>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</si>
  <si>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</si>
  <si>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</si>
  <si>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</si>
  <si>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</si>
  <si>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</si>
  <si>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</si>
  <si>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</si>
  <si>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</si>
  <si>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</si>
  <si>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</si>
  <si>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</si>
  <si>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</si>
  <si>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</si>
  <si>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</si>
  <si>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</si>
  <si>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</si>
  <si>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</si>
  <si>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</si>
  <si>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</si>
  <si>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</si>
  <si>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</si>
  <si>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</si>
  <si>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</si>
  <si>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</si>
  <si>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</si>
  <si>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</si>
  <si>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</si>
  <si>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</si>
  <si>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</si>
  <si>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</si>
  <si>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</si>
  <si>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</si>
  <si>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</si>
  <si>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</si>
  <si>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</si>
  <si>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</si>
  <si>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</si>
  <si>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</si>
  <si>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</si>
  <si>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</si>
  <si>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</si>
  <si>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</si>
  <si>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</si>
  <si>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</si>
  <si>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</si>
  <si>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</si>
  <si>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</si>
  <si>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</si>
  <si>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</si>
  <si>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</si>
  <si>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</si>
  <si>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</si>
  <si>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</si>
  <si>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</si>
  <si>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</si>
  <si>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</si>
  <si>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</si>
  <si>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</si>
  <si>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</si>
  <si>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</si>
  <si>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</si>
  <si>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</si>
  <si>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</si>
  <si>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</si>
  <si>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</si>
  <si>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</si>
  <si>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</si>
  <si>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</si>
  <si>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</si>
  <si>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</si>
  <si>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</si>
  <si>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</si>
  <si>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</si>
  <si>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</si>
  <si>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</si>
  <si>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</si>
  <si>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</si>
  <si>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</si>
  <si>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</si>
  <si>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</si>
  <si>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</si>
  <si>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</si>
  <si>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</si>
  <si>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</si>
  <si>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</si>
  <si>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</si>
  <si>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</si>
  <si>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</si>
  <si>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</si>
  <si>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</si>
  <si>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</si>
  <si>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</si>
  <si>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</si>
  <si>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</si>
  <si>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</si>
  <si>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</si>
  <si>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</si>
  <si>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</si>
  <si>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</si>
  <si>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</si>
  <si>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</si>
  <si>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</si>
  <si>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</si>
  <si>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</si>
  <si>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</si>
  <si>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</si>
  <si>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</si>
  <si>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</si>
  <si>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</si>
  <si>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</si>
  <si>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</si>
  <si>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</si>
  <si>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</si>
  <si>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</si>
  <si>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</si>
  <si>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</si>
  <si>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</si>
  <si>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</si>
  <si>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</si>
  <si>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</si>
  <si>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</si>
  <si>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</si>
  <si>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</si>
  <si>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</si>
  <si>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</si>
  <si>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</si>
  <si>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</si>
  <si>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</si>
  <si>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</si>
  <si>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</si>
  <si>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</si>
  <si>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</si>
  <si>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</si>
  <si>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</si>
  <si>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</si>
  <si>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</si>
  <si>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</si>
  <si>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</si>
  <si>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</si>
  <si>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</si>
  <si>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</si>
  <si>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</si>
  <si>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</si>
  <si>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</si>
  <si>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</si>
  <si>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</si>
  <si>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</si>
  <si>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</si>
  <si>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</si>
  <si>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</si>
  <si>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</si>
  <si>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</si>
  <si>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</si>
  <si>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</si>
  <si>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</si>
  <si>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</si>
  <si>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</si>
  <si>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</si>
  <si>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</si>
  <si>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</si>
  <si>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</si>
  <si>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</si>
  <si>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</si>
  <si>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</si>
  <si>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</si>
  <si>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</si>
  <si>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</si>
  <si>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</si>
  <si>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</si>
  <si>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</si>
  <si>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</si>
  <si>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</si>
  <si>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</si>
  <si>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</si>
  <si>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</si>
  <si>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</si>
  <si>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</si>
  <si>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</si>
  <si>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</si>
  <si>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</si>
  <si>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</si>
  <si>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</si>
  <si>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</si>
  <si>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</si>
  <si>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</si>
  <si>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</si>
  <si>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</si>
  <si>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</si>
  <si>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</si>
  <si>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</si>
  <si>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</si>
  <si>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</si>
  <si>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</si>
  <si>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</si>
  <si>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</si>
  <si>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</si>
  <si>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</si>
  <si>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</si>
  <si>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</si>
  <si>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</si>
  <si>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</si>
  <si>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</si>
  <si>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</si>
  <si>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</si>
  <si>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</si>
  <si>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</si>
  <si>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</si>
  <si>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Software Developer</t>
  </si>
  <si>
    <t>Digital Enterprise System Department</t>
  </si>
  <si>
    <t>Manufacturing Software Development</t>
  </si>
  <si>
    <t>System Developer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</si>
  <si>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</si>
  <si>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</si>
  <si>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</si>
  <si>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</si>
  <si>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</si>
  <si>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</si>
  <si>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</si>
  <si>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</si>
  <si>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</si>
  <si>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</si>
  <si>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</si>
  <si>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</si>
  <si>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</si>
  <si>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</si>
  <si>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</si>
  <si>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</si>
  <si>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</si>
  <si>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</si>
  <si>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</si>
  <si>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</si>
  <si>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</si>
  <si>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</si>
  <si>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</si>
  <si>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</si>
  <si>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</si>
  <si>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</si>
  <si>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</si>
  <si>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</si>
  <si>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</si>
  <si>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</si>
  <si>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</si>
  <si>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</si>
  <si>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</si>
  <si>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</si>
  <si>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</si>
  <si>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</si>
  <si>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Resign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</si>
  <si>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</si>
  <si>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</si>
  <si>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</si>
  <si>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</si>
  <si>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</si>
  <si>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</si>
  <si>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</si>
  <si>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</si>
  <si>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</si>
  <si>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</si>
  <si>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</si>
  <si>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</si>
  <si>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</si>
  <si>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</si>
  <si>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</si>
  <si>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</si>
  <si>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</si>
  <si>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</si>
  <si>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</si>
  <si>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</si>
  <si>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</si>
  <si>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</si>
  <si>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</si>
  <si>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</si>
  <si>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</si>
  <si>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</si>
  <si>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</si>
  <si>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</si>
  <si>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</si>
  <si>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</si>
  <si>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</si>
  <si>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</si>
  <si>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</si>
  <si>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</si>
  <si>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</si>
  <si>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</si>
  <si>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</si>
  <si>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</si>
  <si>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</si>
  <si>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</si>
  <si>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</si>
  <si>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</si>
  <si>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</si>
  <si>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</si>
  <si>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</si>
  <si>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</si>
  <si>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</si>
  <si>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</si>
  <si>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Wait to Join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</si>
  <si>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</si>
  <si>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</si>
  <si>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</si>
  <si>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</si>
  <si>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</si>
  <si>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</si>
  <si>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</si>
  <si>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</si>
  <si>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</si>
  <si>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</si>
  <si>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</si>
  <si>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</si>
  <si>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</si>
  <si>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</si>
  <si>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Aug 16,2026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</si>
  <si>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</si>
  <si>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</si>
  <si>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</si>
  <si>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</si>
  <si>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</si>
  <si>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</si>
  <si>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</si>
  <si>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</si>
  <si>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</si>
  <si>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</si>
  <si>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</si>
  <si>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</si>
  <si>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</si>
  <si>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จะไปเปิดที่ทีมสื่อสารแทน - เอาแคนดิเดตที่เคยส่งตำแหน่งนี้ไป ไปสัมไฟนอล</t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</si>
  <si>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</si>
  <si>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จบใหม่ได้, เน้น TU CU, Eng ดีๆ เวลาร่างคอนแทรคต้องใช้ คุยเอเจนซี</t>
  </si>
  <si>
    <t>https://th.jobsdb.com/job/93127572</t>
  </si>
  <si>
    <t>Engineer (Strategic Parts Planning &amp; Localization)</t>
  </si>
  <si>
    <t>Strategic Parts Planning &amp; Localization</t>
  </si>
  <si>
    <t>Final Interview</t>
  </si>
  <si>
    <t>อภิชญา ปิยะปราโมทย์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</si>
  <si>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</si>
  <si>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</si>
  <si>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</si>
  <si>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</si>
  <si>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</si>
  <si>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</si>
  <si>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</si>
  <si>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</si>
  <si>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</si>
  <si>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</si>
  <si>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</si>
  <si>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</si>
  <si>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Pass</t>
  </si>
  <si>
    <t>Production Line - Assembling</t>
  </si>
  <si>
    <t>Second</t>
  </si>
  <si>
    <t>Not Pass</t>
  </si>
  <si>
    <t>On Process</t>
  </si>
  <si>
    <t>Production Line</t>
  </si>
  <si>
    <t>Under Review</t>
  </si>
  <si>
    <t>Scholarship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</si>
  <si>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</si>
  <si>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</si>
  <si>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</si>
  <si>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</si>
  <si>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</si>
  <si>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</si>
  <si>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</si>
  <si>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</si>
  <si>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</si>
  <si>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</si>
  <si>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</si>
  <si>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</si>
  <si>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</si>
  <si>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</si>
  <si>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</si>
  <si>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</si>
  <si>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</si>
  <si>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</si>
  <si>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</si>
  <si>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</si>
  <si>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</si>
  <si>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</si>
  <si>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</si>
  <si>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</si>
  <si>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</si>
  <si>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</si>
  <si>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</si>
  <si>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</si>
  <si>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</si>
  <si>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</si>
  <si>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</si>
  <si>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</si>
  <si>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</si>
  <si>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</si>
  <si>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</si>
  <si>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</si>
  <si>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</si>
  <si>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</si>
  <si>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</si>
  <si>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</si>
  <si>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</si>
  <si>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</si>
  <si>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</si>
  <si>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</si>
  <si>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</si>
  <si>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</si>
  <si>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</si>
  <si>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</si>
  <si>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</si>
  <si>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</si>
  <si>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</si>
  <si>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</si>
  <si>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</si>
  <si>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</si>
  <si>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</si>
  <si>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</si>
  <si>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</si>
  <si>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</si>
  <si>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</si>
  <si>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</si>
  <si>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</si>
  <si>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</si>
  <si>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</si>
  <si>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</si>
  <si>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</si>
  <si>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</si>
  <si>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</si>
  <si>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</si>
  <si>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</si>
  <si>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</si>
  <si>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</si>
  <si>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</si>
  <si>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</si>
  <si>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</si>
  <si>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</si>
  <si>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</si>
  <si>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</si>
  <si>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</si>
  <si>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</si>
  <si>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</si>
  <si>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</si>
  <si>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</si>
  <si>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</si>
  <si>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</si>
  <si>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</si>
  <si>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</si>
  <si>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</si>
  <si>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</si>
  <si>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</si>
  <si>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</si>
  <si>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</si>
  <si>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</si>
  <si>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</si>
  <si>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</si>
  <si>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</si>
  <si>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</si>
  <si>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</si>
  <si>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</si>
  <si>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</si>
  <si>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Human Resources Development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</si>
  <si>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</si>
  <si>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</si>
  <si>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</si>
  <si>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</si>
  <si>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</si>
  <si>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Overseas &amp; Service Operation Department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</si>
  <si>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</si>
  <si>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</si>
  <si>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</si>
  <si>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</si>
  <si>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</si>
  <si>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</si>
  <si>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service Creativity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</si>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</sst>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2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Aptos Display"/>
      <scheme val="major"/>
    </font>
    <font>
      <sz val="11"/>
      <name val="Aptos Display"/>
      <scheme val="major"/>
    </font>
    <font>
      <sz val="12"/>
      <color rgb="FF000000"/>
      <name val="Aptos Display"/>
      <scheme val="major"/>
    </font>
    <font>
      <sz val="12"/>
      <name val="Aptos Display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9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10" borderId="17" xfId="0" applyFont="1" applyFill="1" applyBorder="1" applyAlignment="1">
      <alignment readingOrder="1"/>
    </xf>
    <xf numFmtId="0" fontId="20" fillId="10" borderId="21" xfId="0" applyFont="1" applyFill="1" applyBorder="1" applyAlignment="1">
      <alignment readingOrder="1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10" borderId="19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0" fontId="20" fillId="0" borderId="16" xfId="0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theme="1"/>
      </font>
      <fill>
        <patternFill patternType="solid">
          <bgColor theme="3" tint="0.8999908444471571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J119" totalsRowShown="0" headerRowDxfId="54" dataDxfId="53" tableBorderDxfId="52">
  <autoFilter ref="A1:AJ119" xr:uid="{2A626EEB-FDFE-42FC-817A-963B6C771FE3}"/>
  <tableColumns count="36">
    <tableColumn id="1" xr3:uid="{FF1CE6B1-DB01-49DC-BA43-064CD949FF4D}" name="Year" dataDxfId="51"/>
    <tableColumn id="2" xr3:uid="{7F3A3465-03B1-4D22-80CE-2DF0F09BDF7E}" name="Month" dataDxfId="50">
      <calculatedColumnFormula>IF(M2="", "", TEXT(M2, "[$-en-US]mmmm"))</calculatedColumnFormula>
    </tableColumn>
    <tableColumn id="3" xr3:uid="{A2440747-CD3B-4669-ADF2-9F1CFEF7F3CD}" name="Location" dataDxfId="49"/>
    <tableColumn id="4" xr3:uid="{3A370C0B-3F07-4F40-9C8A-74B066E4B831}" name="Position_Request" dataDxfId="48"/>
    <tableColumn id="5" xr3:uid="{EB078B5D-0D69-4818-99C8-D6E68D752B4E}" name="Position_Announce" dataDxfId="47"/>
    <tableColumn id="6" xr3:uid="{3F127422-0ABD-4AAF-8809-8BBE66B85179}" name="Division" dataDxfId="46"/>
    <tableColumn id="7" xr3:uid="{E002CC14-16CD-4A5B-9C19-21F733EBD1E4}" name="Dept" dataDxfId="45"/>
    <tableColumn id="8" xr3:uid="{29F07533-A51F-4912-9E03-6F726DBCFC9C}" name="Work Unit" dataDxfId="44"/>
    <tableColumn id="9" xr3:uid="{32FCFA25-C37A-4783-A3B2-126CAC832954}" name="Type" dataDxfId="43"/>
    <tableColumn id="10" xr3:uid="{9AD246F5-95E1-4522-997B-12E3A0B09065}" name="Memo Status" dataDxfId="42"/>
    <tableColumn id="11" xr3:uid="{2AE93E46-B5B7-4299-B18C-93970D71B544}" name="Inter/Exter" dataDxfId="41"/>
    <tableColumn id="12" xr3:uid="{7C57089A-6E18-4556-9430-87C32D050DDB}" name="Recruitment Status" dataDxfId="40"/>
    <tableColumn id="13" xr3:uid="{C2F77F35-83CD-4E36-A33E-290B84C04D98}" name="Approved_Date" dataDxfId="39"/>
    <tableColumn id="14" xr3:uid="{52AE79A9-73D6-43D5-8E9F-760888E3DE25}" name="Target_Date" dataDxfId="38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7"/>
    <tableColumn id="16" xr3:uid="{AEF87AE4-B425-478E-B70E-5B935C739E8F}" name="Diff Date" dataDxfId="36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5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4"/>
    <tableColumn id="18" xr3:uid="{9C93B32A-3262-498B-8E32-2D7BC990E59A}" name="ID (Being Replaced)" dataDxfId="33"/>
    <tableColumn id="19" xr3:uid="{A61748A5-F711-42D2-BB1A-6DA213D2B3AD}" name="Name (being replaced)" dataDxfId="32"/>
    <tableColumn id="21" xr3:uid="{730663BB-D195-4833-B4DA-C7592858B43E}" name="ID New Employee" dataDxfId="31"/>
    <tableColumn id="22" xr3:uid="{D1F0078F-697F-4186-991F-F3A0FEE3C762}" name="Name New Employee" dataDxfId="30"/>
    <tableColumn id="34" xr3:uid="{9EC82B84-A07C-4040-A4C3-B6A5BEE858A1}" name="Join Date" dataDxfId="29"/>
    <tableColumn id="33" xr3:uid="{F69EB419-2824-4BC1-9AAF-FC48B485B353}" name="Probation Status" dataDxfId="28"/>
    <tableColumn id="24" xr3:uid="{0A660594-4051-4127-BD9E-2C601C5CC781}" name="Start Date" dataDxfId="27"/>
    <tableColumn id="25" xr3:uid="{93F5B910-1CF2-464B-8C92-806BA9BF0DE7}" name="Recruitment Channel" dataDxfId="26"/>
    <tableColumn id="26" xr3:uid="{ADFCA5A2-EA66-4841-AA3C-3470C585FA51}" name="Remark" dataDxfId="25"/>
    <tableColumn id="28" xr3:uid="{4EA54873-5BBE-4914-8C9A-B48E9C4983D5}" name="Notes Qualification" dataDxfId="24"/>
    <tableColumn id="30" xr3:uid="{4D08EC1B-0A3A-4A94-B31A-24A8052CFC9F}" name="Applied Profile" dataDxfId="23" dataCellStyle="Comma"/>
    <tableColumn id="31" xr3:uid="{7446C0AF-09AA-4A23-82C1-17EF8B161C36}" name="First" dataDxfId="22" dataCellStyle="Comma"/>
    <tableColumn id="32" xr3:uid="{038EFFC9-6E6F-41CB-8C8A-F6B0D0F714F0}" name="Final" dataDxfId="21" dataCellStyle="Comma"/>
    <tableColumn id="38" xr3:uid="{28E86828-3972-47EE-AB17-9FE941222406}" name="Offer" dataDxfId="20" dataCellStyle="Comma"/>
    <tableColumn id="39" xr3:uid="{C672E10F-6CBC-4EBA-BFE1-BFDADEAA1116}" name="Reject Offer" dataDxfId="19" dataCellStyle="Comma"/>
    <tableColumn id="35" xr3:uid="{531E9309-515F-44A6-A2FD-1822E3AF3610}" name="hired" dataDxfId="18"/>
    <tableColumn id="36" xr3:uid="{21CF1173-55F3-413D-AFAF-EB91CA039B79}" name="Probation Tracking" dataDxfId="17" dataCellStyle="Comma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J119"/>
  <sheetViews>
    <sheetView workbookViewId="0">
      <pane xSplit="4" ySplit="1" topLeftCell="E112" activePane="bottomRight" state="frozen"/>
      <selection pane="bottomRight" activeCell="A119" sqref="A119:XFD119"/>
      <selection pane="bottomLeft" activeCell="A2" sqref="A2"/>
      <selection pane="topRight" activeCell="E1" sqref="E1"/>
    </sheetView>
  </sheetViews>
  <sheetFormatPr defaultColWidth="14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bestFit="1" customWidth="1"/>
    <col min="7" max="7" width="81.375" style="50" customWidth="1"/>
    <col min="8" max="8" width="48.125" style="50" bestFit="1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1.125" style="50" customWidth="1"/>
    <col min="19" max="19" width="19.25" style="50" bestFit="1" customWidth="1"/>
    <col min="20" max="20" width="21.75" style="50" bestFit="1" customWidth="1"/>
    <col min="21" max="21" width="17.625" style="50" bestFit="1" customWidth="1"/>
    <col min="22" max="22" width="20.25" style="117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11.75" style="50" bestFit="1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24.75" style="50" bestFit="1" customWidth="1"/>
    <col min="36" max="36" width="40.25" style="51" customWidth="1"/>
    <col min="37" max="16384" width="14" style="52"/>
  </cols>
  <sheetData>
    <row r="1" spans="1:36" s="91" customFormat="1" ht="20.25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1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89" t="s">
        <v>34</v>
      </c>
      <c r="AJ1" s="90" t="s">
        <v>35</v>
      </c>
    </row>
    <row r="2" spans="1:36" s="9" customFormat="1" ht="41.45" customHeight="1">
      <c r="A2" s="19">
        <v>2024</v>
      </c>
      <c r="B2" s="19" t="str">
        <f>IF(M2="",   "",   TEXT(M2,   "[$-en-US]mmm"))</f>
        <v>Feb</v>
      </c>
      <c r="C2" s="19" t="s">
        <v>36</v>
      </c>
      <c r="D2" s="19" t="s">
        <v>37</v>
      </c>
      <c r="E2" s="13" t="s">
        <v>38</v>
      </c>
      <c r="F2" s="13" t="s">
        <v>39</v>
      </c>
      <c r="G2" s="13" t="s">
        <v>40</v>
      </c>
      <c r="H2" s="13" t="s">
        <v>41</v>
      </c>
      <c r="I2" s="12" t="s">
        <v>42</v>
      </c>
      <c r="J2" s="12" t="s">
        <v>43</v>
      </c>
      <c r="K2" s="12"/>
      <c r="L2" s="12" t="s">
        <v>44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ca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45</v>
      </c>
      <c r="AA2" s="12"/>
      <c r="AB2" s="12"/>
      <c r="AC2" s="12"/>
      <c r="AD2" s="12"/>
      <c r="AE2" s="12"/>
      <c r="AF2" s="12"/>
      <c r="AG2" s="12"/>
      <c r="AH2" s="12"/>
      <c r="AI2" s="15"/>
      <c r="AJ2" s="8"/>
    </row>
    <row r="3" spans="1:36" s="9" customFormat="1" ht="41.45" customHeight="1">
      <c r="A3" s="19">
        <v>2024</v>
      </c>
      <c r="B3" s="19" t="str">
        <f>IF(M3="",   "",   TEXT(M3,   "[$-en-US]mmm"))</f>
        <v>Apr</v>
      </c>
      <c r="C3" s="19" t="s">
        <v>46</v>
      </c>
      <c r="D3" s="19" t="s">
        <v>47</v>
      </c>
      <c r="E3" s="13" t="s">
        <v>48</v>
      </c>
      <c r="F3" s="13" t="s">
        <v>49</v>
      </c>
      <c r="G3" s="13" t="s">
        <v>50</v>
      </c>
      <c r="H3" s="13" t="s">
        <v>51</v>
      </c>
      <c r="I3" s="12" t="s">
        <v>52</v>
      </c>
      <c r="J3" s="12" t="s">
        <v>43</v>
      </c>
      <c r="K3" s="12" t="s">
        <v>53</v>
      </c>
      <c r="L3" s="12" t="s">
        <v>44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ca="1">IF(P3="",                                                                                                                                                                                                   "",
   IF(OR(I3="O-General",                                                                                                                                                                                                   I3="S-General"),
      IF(P3&lt;=30,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IF(I3="S-Special",
         IF(P3&lt;=45,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54</v>
      </c>
      <c r="AA3" s="12"/>
      <c r="AB3" s="12"/>
      <c r="AC3" s="12"/>
      <c r="AD3" s="12"/>
      <c r="AE3" s="12"/>
      <c r="AF3" s="12"/>
      <c r="AG3" s="12"/>
      <c r="AH3" s="12"/>
      <c r="AI3" s="15"/>
      <c r="AJ3" s="8"/>
    </row>
    <row r="4" spans="1:36" s="9" customFormat="1" ht="41.45" customHeight="1">
      <c r="A4" s="19">
        <v>2024</v>
      </c>
      <c r="B4" s="19" t="str">
        <f>IF(M4="",   "",   TEXT(M4,   "[$-en-US]mmm"))</f>
        <v>Aug</v>
      </c>
      <c r="C4" s="19" t="s">
        <v>55</v>
      </c>
      <c r="D4" s="19" t="s">
        <v>56</v>
      </c>
      <c r="E4" s="13" t="s">
        <v>57</v>
      </c>
      <c r="F4" s="13" t="s">
        <v>55</v>
      </c>
      <c r="G4" s="13" t="s">
        <v>58</v>
      </c>
      <c r="H4" s="13" t="s">
        <v>59</v>
      </c>
      <c r="I4" s="12" t="s">
        <v>52</v>
      </c>
      <c r="J4" s="12" t="s">
        <v>43</v>
      </c>
      <c r="K4" s="12"/>
      <c r="L4" s="12" t="s">
        <v>44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ca="1">IF(P4="",                                                                                                                                                                                                   "",
   IF(OR(I4="O-General",                                                                                                                                                                                                   I4="S-General"),
      IF(P4&lt;=30,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IF(I4="S-Special",
         IF(P4&lt;=45,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" s="13"/>
      <c r="S4" s="12"/>
      <c r="T4" s="12"/>
      <c r="U4" s="12"/>
      <c r="V4" s="12"/>
      <c r="W4" s="10"/>
      <c r="X4" s="12"/>
      <c r="Y4" s="12"/>
      <c r="Z4" s="29" t="s">
        <v>54</v>
      </c>
      <c r="AA4" s="12"/>
      <c r="AB4" s="12"/>
      <c r="AC4" s="12"/>
      <c r="AD4" s="12"/>
      <c r="AE4" s="12"/>
      <c r="AF4" s="12"/>
      <c r="AG4" s="12"/>
      <c r="AH4" s="12"/>
      <c r="AI4" s="15"/>
      <c r="AJ4" s="8"/>
    </row>
    <row r="5" spans="1:36" s="9" customFormat="1" ht="41.45" customHeight="1">
      <c r="A5" s="19">
        <v>2024</v>
      </c>
      <c r="B5" s="19" t="str">
        <f>IF(M5="",   "",   TEXT(M5,   "[$-en-US]mmm"))</f>
        <v>Aug</v>
      </c>
      <c r="C5" s="19" t="s">
        <v>36</v>
      </c>
      <c r="D5" s="19" t="s">
        <v>60</v>
      </c>
      <c r="E5" s="13" t="s">
        <v>61</v>
      </c>
      <c r="F5" s="13" t="s">
        <v>62</v>
      </c>
      <c r="G5" s="13" t="s">
        <v>63</v>
      </c>
      <c r="H5" s="13" t="s">
        <v>64</v>
      </c>
      <c r="I5" s="12" t="s">
        <v>42</v>
      </c>
      <c r="J5" s="12" t="s">
        <v>43</v>
      </c>
      <c r="K5" s="12"/>
      <c r="L5" s="12" t="s">
        <v>44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ca="1">IF(P5="",                                                                                                                                                                                                   "",
   IF(OR(I5="O-General",                                                                                                                                                                                                   I5="S-General"),
      IF(P5&lt;=30,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IF(I5="S-Special",
         IF(P5&lt;=45,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54</v>
      </c>
      <c r="AA5" s="12"/>
      <c r="AB5" s="12"/>
      <c r="AC5" s="12"/>
      <c r="AD5" s="12"/>
      <c r="AE5" s="12"/>
      <c r="AF5" s="12"/>
      <c r="AG5" s="12"/>
      <c r="AH5" s="12"/>
      <c r="AI5" s="15"/>
      <c r="AJ5" s="8"/>
    </row>
    <row r="6" spans="1:36" s="9" customFormat="1" ht="41.45" customHeight="1">
      <c r="A6" s="19">
        <v>2024</v>
      </c>
      <c r="B6" s="19" t="str">
        <f>IF(M6="",   "",   TEXT(M6,   "[$-en-US]mmm"))</f>
        <v>Aug</v>
      </c>
      <c r="C6" s="19" t="s">
        <v>36</v>
      </c>
      <c r="D6" s="19" t="s">
        <v>65</v>
      </c>
      <c r="E6" s="13" t="s">
        <v>66</v>
      </c>
      <c r="F6" s="13" t="s">
        <v>67</v>
      </c>
      <c r="G6" s="13" t="s">
        <v>68</v>
      </c>
      <c r="H6" s="13" t="s">
        <v>69</v>
      </c>
      <c r="I6" s="12" t="s">
        <v>42</v>
      </c>
      <c r="J6" s="12" t="s">
        <v>43</v>
      </c>
      <c r="K6" s="12"/>
      <c r="L6" s="12" t="s">
        <v>44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ca="1">IF(P6="",                                                                                                                                                                                                   "",
   IF(OR(I6="O-General",                                                                                                                                                                                                   I6="S-General"),
      IF(P6&lt;=30,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IF(I6="S-Special",
         IF(P6&lt;=45,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" s="13"/>
      <c r="S6" s="12"/>
      <c r="T6" s="12"/>
      <c r="U6" s="12"/>
      <c r="V6" s="12"/>
      <c r="W6" s="10"/>
      <c r="X6" s="12"/>
      <c r="Y6" s="12"/>
      <c r="Z6" s="28" t="s">
        <v>54</v>
      </c>
      <c r="AA6" s="12"/>
      <c r="AB6" s="12"/>
      <c r="AC6" s="12"/>
      <c r="AD6" s="12"/>
      <c r="AE6" s="12"/>
      <c r="AF6" s="12"/>
      <c r="AG6" s="12"/>
      <c r="AH6" s="12"/>
      <c r="AI6" s="15"/>
      <c r="AJ6" s="8"/>
    </row>
    <row r="7" spans="1:36" s="9" customFormat="1" ht="41.45" customHeight="1">
      <c r="A7" s="19">
        <v>2024</v>
      </c>
      <c r="B7" s="19" t="str">
        <f>IF(M7="",   "",   TEXT(M7,   "[$-en-US]mmm"))</f>
        <v>Sep</v>
      </c>
      <c r="C7" s="19" t="s">
        <v>55</v>
      </c>
      <c r="D7" s="19" t="s">
        <v>70</v>
      </c>
      <c r="E7" s="13" t="s">
        <v>70</v>
      </c>
      <c r="F7" s="13" t="s">
        <v>55</v>
      </c>
      <c r="G7" s="13" t="s">
        <v>71</v>
      </c>
      <c r="H7" s="13" t="s">
        <v>72</v>
      </c>
      <c r="I7" s="12" t="s">
        <v>42</v>
      </c>
      <c r="J7" s="12" t="s">
        <v>43</v>
      </c>
      <c r="K7" s="12"/>
      <c r="L7" s="12" t="s">
        <v>44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ca="1">IF(P7="",                                                                                                                                                                                                   "",
   IF(OR(I7="O-General",                                                                                                                                                                                                   I7="S-General"),
      IF(P7&lt;=30,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IF(I7="S-Special",
         IF(P7&lt;=45,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" s="13"/>
      <c r="S7" s="12"/>
      <c r="T7" s="12"/>
      <c r="U7" s="12"/>
      <c r="V7" s="12"/>
      <c r="W7" s="10"/>
      <c r="X7" s="12"/>
      <c r="Y7" s="12"/>
      <c r="Z7" s="28" t="s">
        <v>73</v>
      </c>
      <c r="AA7" s="12"/>
      <c r="AB7" s="12"/>
      <c r="AC7" s="12"/>
      <c r="AD7" s="12"/>
      <c r="AE7" s="12"/>
      <c r="AF7" s="12"/>
      <c r="AG7" s="12"/>
      <c r="AH7" s="12"/>
      <c r="AI7" s="15"/>
      <c r="AJ7" s="8"/>
    </row>
    <row r="8" spans="1:36" s="9" customFormat="1" ht="41.45" customHeight="1">
      <c r="A8" s="19">
        <v>2024</v>
      </c>
      <c r="B8" s="19" t="str">
        <f>IF(M8="",   "",   TEXT(M8,   "[$-en-US]mmm"))</f>
        <v>Sep</v>
      </c>
      <c r="C8" s="19" t="s">
        <v>36</v>
      </c>
      <c r="D8" s="19" t="s">
        <v>74</v>
      </c>
      <c r="E8" s="13" t="s">
        <v>75</v>
      </c>
      <c r="F8" s="13" t="s">
        <v>76</v>
      </c>
      <c r="G8" s="13" t="s">
        <v>77</v>
      </c>
      <c r="H8" s="13" t="s">
        <v>75</v>
      </c>
      <c r="I8" s="12" t="s">
        <v>42</v>
      </c>
      <c r="J8" s="12" t="s">
        <v>43</v>
      </c>
      <c r="K8" s="12" t="s">
        <v>53</v>
      </c>
      <c r="L8" s="12" t="s">
        <v>44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ca="1">IF(P8="",                                                                                                                                                                                                   "",
   IF(OR(I8="O-General",                                                                                                                                                                                                   I8="S-General"),
      IF(P8&lt;=30,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IF(I8="S-Special",
         IF(P8&lt;=45,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45</v>
      </c>
      <c r="AA8" s="12"/>
      <c r="AB8" s="12"/>
      <c r="AC8" s="12"/>
      <c r="AD8" s="12"/>
      <c r="AE8" s="12"/>
      <c r="AF8" s="12"/>
      <c r="AG8" s="12"/>
      <c r="AH8" s="12"/>
      <c r="AI8" s="15"/>
      <c r="AJ8" s="8"/>
    </row>
    <row r="9" spans="1:36" s="9" customFormat="1" ht="41.45" customHeight="1">
      <c r="A9" s="19">
        <v>2024</v>
      </c>
      <c r="B9" s="19" t="str">
        <f>IF(M9="",   "",   TEXT(M9,   "[$-en-US]mmm"))</f>
        <v>Sep</v>
      </c>
      <c r="C9" s="19" t="s">
        <v>36</v>
      </c>
      <c r="D9" s="19" t="s">
        <v>78</v>
      </c>
      <c r="E9" s="13" t="s">
        <v>79</v>
      </c>
      <c r="F9" s="13" t="s">
        <v>80</v>
      </c>
      <c r="G9" s="13" t="s">
        <v>81</v>
      </c>
      <c r="H9" s="13" t="s">
        <v>82</v>
      </c>
      <c r="I9" s="12" t="s">
        <v>83</v>
      </c>
      <c r="J9" s="12" t="s">
        <v>84</v>
      </c>
      <c r="K9" s="12"/>
      <c r="L9" s="12" t="s">
        <v>85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ca="1">IF(P9="",                                                                                                                                                                                                   "",
   IF(OR(I9="O-General",                                                                                                                                                                                                   I9="S-General"),
      IF(P9&lt;=30,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IF(I9="S-Special",
         IF(P9&lt;=45,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15"/>
      <c r="AJ9" s="8"/>
    </row>
    <row r="10" spans="1:36" s="9" customFormat="1" ht="41.45" customHeight="1">
      <c r="A10" s="19">
        <v>2024</v>
      </c>
      <c r="B10" s="19" t="str">
        <f>IF(M10="",   "",   TEXT(M10,   "[$-en-US]mmm"))</f>
        <v>Sep</v>
      </c>
      <c r="C10" s="19" t="s">
        <v>36</v>
      </c>
      <c r="D10" s="19" t="s">
        <v>86</v>
      </c>
      <c r="E10" s="13" t="s">
        <v>87</v>
      </c>
      <c r="F10" s="13" t="s">
        <v>88</v>
      </c>
      <c r="G10" s="13"/>
      <c r="H10" s="13" t="s">
        <v>89</v>
      </c>
      <c r="I10" s="12" t="s">
        <v>83</v>
      </c>
      <c r="J10" s="12" t="s">
        <v>43</v>
      </c>
      <c r="K10" s="12"/>
      <c r="L10" s="12" t="s">
        <v>44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ca="1">IF(P10="",                                                                                                                                                                                                   "",
   IF(OR(I10="O-General",                                                                                                                                                                                                   I10="S-General"),
      IF(P10&lt;=30,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IF(I10="S-Special",
         IF(P10&lt;=45,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45</v>
      </c>
      <c r="AA10" s="12"/>
      <c r="AB10" s="12"/>
      <c r="AC10" s="12"/>
      <c r="AD10" s="12"/>
      <c r="AE10" s="12"/>
      <c r="AF10" s="12"/>
      <c r="AG10" s="12"/>
      <c r="AH10" s="12"/>
      <c r="AI10" s="15"/>
      <c r="AJ10" s="8"/>
    </row>
    <row r="11" spans="1:36" s="9" customFormat="1" ht="41.45" customHeight="1">
      <c r="A11" s="19">
        <v>2024</v>
      </c>
      <c r="B11" s="19" t="str">
        <f>IF(M11="",   "",   TEXT(M11,   "[$-en-US]mmm"))</f>
        <v>Oct</v>
      </c>
      <c r="C11" s="19" t="s">
        <v>36</v>
      </c>
      <c r="D11" s="19" t="s">
        <v>47</v>
      </c>
      <c r="E11" s="13" t="s">
        <v>90</v>
      </c>
      <c r="F11" s="13" t="s">
        <v>91</v>
      </c>
      <c r="G11" s="13" t="s">
        <v>92</v>
      </c>
      <c r="H11" s="13" t="s">
        <v>93</v>
      </c>
      <c r="I11" s="12" t="s">
        <v>42</v>
      </c>
      <c r="J11" s="12" t="s">
        <v>43</v>
      </c>
      <c r="K11" s="12"/>
      <c r="L11" s="12" t="s">
        <v>44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ca="1">IF(P11="",                                                                                                                                                                                                   "",
   IF(OR(I11="O-General",                                                                                                                                                                                                   I11="S-General"),
      IF(P11&lt;=30,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IF(I11="S-Special",
         IF(P11&lt;=45,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54</v>
      </c>
      <c r="AA11" s="12"/>
      <c r="AB11" s="12"/>
      <c r="AC11" s="12"/>
      <c r="AD11" s="12"/>
      <c r="AE11" s="12"/>
      <c r="AF11" s="12"/>
      <c r="AG11" s="12"/>
      <c r="AH11" s="12"/>
      <c r="AI11" s="15"/>
      <c r="AJ11" s="8"/>
    </row>
    <row r="12" spans="1:36" s="9" customFormat="1" ht="41.45" customHeight="1">
      <c r="A12" s="19">
        <v>2024</v>
      </c>
      <c r="B12" s="19" t="str">
        <f>IF(M12="",   "",   TEXT(M12,   "[$-en-US]mmm"))</f>
        <v>Oct</v>
      </c>
      <c r="C12" s="19" t="s">
        <v>36</v>
      </c>
      <c r="D12" s="19" t="s">
        <v>60</v>
      </c>
      <c r="E12" s="13" t="s">
        <v>60</v>
      </c>
      <c r="F12" s="13" t="s">
        <v>62</v>
      </c>
      <c r="G12" s="13" t="s">
        <v>63</v>
      </c>
      <c r="H12" s="13" t="s">
        <v>64</v>
      </c>
      <c r="I12" s="12" t="s">
        <v>42</v>
      </c>
      <c r="J12" s="12" t="s">
        <v>43</v>
      </c>
      <c r="K12" s="12"/>
      <c r="L12" s="12" t="s">
        <v>44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ca="1">IF(P12="",                                                                                                                                                                                                   "",
   IF(OR(I12="O-General",                                                                                                                                                                                                   I12="S-General"),
      IF(P12&lt;=30,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IF(I12="S-Special",
         IF(P12&lt;=45,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54</v>
      </c>
      <c r="AA12" s="12"/>
      <c r="AB12" s="12"/>
      <c r="AC12" s="12"/>
      <c r="AD12" s="12"/>
      <c r="AE12" s="12"/>
      <c r="AF12" s="12"/>
      <c r="AG12" s="12"/>
      <c r="AH12" s="12"/>
      <c r="AI12" s="15"/>
      <c r="AJ12" s="8"/>
    </row>
    <row r="13" spans="1:36" s="9" customFormat="1" ht="41.45" customHeight="1">
      <c r="A13" s="19">
        <v>2024</v>
      </c>
      <c r="B13" s="19" t="str">
        <f>IF(M13="",   "",   TEXT(M13,   "[$-en-US]mmm"))</f>
        <v>Oct</v>
      </c>
      <c r="C13" s="19" t="s">
        <v>36</v>
      </c>
      <c r="D13" s="19" t="s">
        <v>47</v>
      </c>
      <c r="E13" s="13" t="s">
        <v>94</v>
      </c>
      <c r="F13" s="13" t="s">
        <v>62</v>
      </c>
      <c r="G13" s="13" t="s">
        <v>95</v>
      </c>
      <c r="H13" s="13" t="s">
        <v>96</v>
      </c>
      <c r="I13" s="12" t="s">
        <v>42</v>
      </c>
      <c r="J13" s="12" t="s">
        <v>43</v>
      </c>
      <c r="K13" s="12"/>
      <c r="L13" s="12" t="s">
        <v>44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ca="1">IF(P13="",                                                                                                                                                                                                   "",
   IF(OR(I13="O-General",                                                                                                                                                                                                   I13="S-General"),
      IF(P13&lt;=30,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IF(I13="S-Special",
         IF(P13&lt;=45,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54</v>
      </c>
      <c r="AA13" s="12"/>
      <c r="AB13" s="12"/>
      <c r="AC13" s="12"/>
      <c r="AD13" s="12"/>
      <c r="AE13" s="12"/>
      <c r="AF13" s="12"/>
      <c r="AG13" s="12"/>
      <c r="AH13" s="12"/>
      <c r="AI13" s="15"/>
      <c r="AJ13" s="8"/>
    </row>
    <row r="14" spans="1:36" s="9" customFormat="1" ht="41.45" customHeight="1">
      <c r="A14" s="19">
        <v>2024</v>
      </c>
      <c r="B14" s="19" t="str">
        <f>IF(M14="",   "",   TEXT(M14,   "[$-en-US]mmm"))</f>
        <v>Nov</v>
      </c>
      <c r="C14" s="19" t="s">
        <v>36</v>
      </c>
      <c r="D14" s="19" t="s">
        <v>97</v>
      </c>
      <c r="E14" s="13" t="s">
        <v>97</v>
      </c>
      <c r="F14" s="13" t="s">
        <v>49</v>
      </c>
      <c r="G14" s="13" t="s">
        <v>98</v>
      </c>
      <c r="H14" s="13" t="s">
        <v>99</v>
      </c>
      <c r="I14" s="12" t="s">
        <v>52</v>
      </c>
      <c r="J14" s="12" t="s">
        <v>43</v>
      </c>
      <c r="K14" s="12"/>
      <c r="L14" s="12" t="s">
        <v>44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ca="1">IF(P14="",                                                                                                                                                                                                   "",
   IF(OR(I14="O-General",                                                                                                                                                                                                   I14="S-General"),
      IF(P14&lt;=30,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IF(I14="S-Special",
         IF(P14&lt;=45,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54</v>
      </c>
      <c r="AA14" s="12"/>
      <c r="AB14" s="12"/>
      <c r="AC14" s="12"/>
      <c r="AD14" s="12"/>
      <c r="AE14" s="12"/>
      <c r="AF14" s="12"/>
      <c r="AG14" s="12"/>
      <c r="AH14" s="12"/>
      <c r="AI14" s="15"/>
      <c r="AJ14" s="8"/>
    </row>
    <row r="15" spans="1:36" s="9" customFormat="1" ht="41.45" customHeight="1">
      <c r="A15" s="19">
        <v>2024</v>
      </c>
      <c r="B15" s="19" t="str">
        <f>IF(M15="",   "",   TEXT(M15,   "[$-en-US]mmm"))</f>
        <v>Nov</v>
      </c>
      <c r="C15" s="19" t="s">
        <v>36</v>
      </c>
      <c r="D15" s="19" t="s">
        <v>86</v>
      </c>
      <c r="E15" s="13" t="s">
        <v>87</v>
      </c>
      <c r="F15" s="13" t="s">
        <v>88</v>
      </c>
      <c r="G15" s="13" t="s">
        <v>100</v>
      </c>
      <c r="H15" s="13"/>
      <c r="I15" s="12" t="s">
        <v>42</v>
      </c>
      <c r="J15" s="12" t="s">
        <v>43</v>
      </c>
      <c r="K15" s="12"/>
      <c r="L15" s="12" t="s">
        <v>44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ca="1">IF(P15="",                                                                                                                                                                                                   "",
   IF(OR(I15="O-General",                                                                                                                                                                                                   I15="S-General"),
      IF(P15&lt;=30,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IF(I15="S-Special",
         IF(P15&lt;=45,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54</v>
      </c>
      <c r="AA15" s="12"/>
      <c r="AB15" s="12"/>
      <c r="AC15" s="12"/>
      <c r="AD15" s="12"/>
      <c r="AE15" s="12"/>
      <c r="AF15" s="12"/>
      <c r="AG15" s="12"/>
      <c r="AH15" s="12"/>
      <c r="AI15" s="15"/>
      <c r="AJ15" s="8"/>
    </row>
    <row r="16" spans="1:36" s="9" customFormat="1" ht="41.45" customHeight="1">
      <c r="A16" s="19">
        <v>2024</v>
      </c>
      <c r="B16" s="19" t="str">
        <f>IF(M16="",   "",   TEXT(M16,   "[$-en-US]mmm"))</f>
        <v>Dec</v>
      </c>
      <c r="C16" s="19" t="s">
        <v>36</v>
      </c>
      <c r="D16" s="19" t="s">
        <v>47</v>
      </c>
      <c r="E16" s="13" t="s">
        <v>101</v>
      </c>
      <c r="F16" s="13" t="s">
        <v>39</v>
      </c>
      <c r="G16" s="13" t="s">
        <v>102</v>
      </c>
      <c r="H16" s="13" t="s">
        <v>103</v>
      </c>
      <c r="I16" s="12" t="s">
        <v>42</v>
      </c>
      <c r="J16" s="12" t="s">
        <v>43</v>
      </c>
      <c r="K16" s="12" t="s">
        <v>53</v>
      </c>
      <c r="L16" s="12" t="s">
        <v>44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ca="1">IF(P16="",                                                                                                                                                                                                   "",
   IF(OR(I16="O-General",                                                                                                                                                                                                   I16="S-General"),
      IF(P16&lt;=30,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IF(I16="S-Special",
         IF(P16&lt;=45,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54</v>
      </c>
      <c r="AA16" s="12"/>
      <c r="AB16" s="12"/>
      <c r="AC16" s="12"/>
      <c r="AD16" s="12"/>
      <c r="AE16" s="12"/>
      <c r="AF16" s="12"/>
      <c r="AG16" s="12"/>
      <c r="AH16" s="12"/>
      <c r="AI16" s="15"/>
      <c r="AJ16" s="8"/>
    </row>
    <row r="17" spans="1:36" s="9" customFormat="1" ht="41.45" customHeight="1">
      <c r="A17" s="19">
        <v>2024</v>
      </c>
      <c r="B17" s="19" t="str">
        <f>IF(M17="",   "",   TEXT(M17,   "[$-en-US]mmm"))</f>
        <v>Dec</v>
      </c>
      <c r="C17" s="19" t="s">
        <v>36</v>
      </c>
      <c r="D17" s="19" t="s">
        <v>104</v>
      </c>
      <c r="E17" s="13" t="s">
        <v>104</v>
      </c>
      <c r="F17" s="13" t="s">
        <v>62</v>
      </c>
      <c r="G17" s="13" t="s">
        <v>105</v>
      </c>
      <c r="H17" s="13"/>
      <c r="I17" s="12" t="s">
        <v>42</v>
      </c>
      <c r="J17" s="12" t="s">
        <v>43</v>
      </c>
      <c r="K17" s="12"/>
      <c r="L17" s="12" t="s">
        <v>44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ca="1">IF(P17="",                                                                                                                                                                                                   "",
   IF(OR(I17="O-General",                                                                                                                                                                                                   I17="S-General"),
      IF(P17&lt;=30,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IF(I17="S-Special",
         IF(P17&lt;=45,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54</v>
      </c>
      <c r="AA17" s="12"/>
      <c r="AB17" s="12"/>
      <c r="AC17" s="12"/>
      <c r="AD17" s="12"/>
      <c r="AE17" s="12"/>
      <c r="AF17" s="12"/>
      <c r="AG17" s="12"/>
      <c r="AH17" s="12"/>
      <c r="AI17" s="15"/>
      <c r="AJ17" s="8"/>
    </row>
    <row r="18" spans="1:36" s="9" customFormat="1" ht="41.45" customHeight="1">
      <c r="A18" s="19">
        <v>2024</v>
      </c>
      <c r="B18" s="19" t="str">
        <f>IF(M18="",   "",   TEXT(M18,   "[$-en-US]mmm"))</f>
        <v>Dec</v>
      </c>
      <c r="C18" s="19" t="s">
        <v>36</v>
      </c>
      <c r="D18" s="19" t="s">
        <v>47</v>
      </c>
      <c r="E18" s="13" t="s">
        <v>106</v>
      </c>
      <c r="F18" s="13" t="s">
        <v>88</v>
      </c>
      <c r="G18" s="13" t="s">
        <v>107</v>
      </c>
      <c r="H18" s="13" t="s">
        <v>108</v>
      </c>
      <c r="I18" s="12" t="s">
        <v>42</v>
      </c>
      <c r="J18" s="12" t="s">
        <v>43</v>
      </c>
      <c r="K18" s="12" t="s">
        <v>53</v>
      </c>
      <c r="L18" s="12" t="s">
        <v>44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ca="1">IF(P18="",                                                                                                                                                                                                   "",
   IF(OR(I18="O-General",                                                                                                                                                                                                   I18="S-General"),
      IF(P18&lt;=30,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IF(I18="S-Special",
         IF(P18&lt;=45,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73</v>
      </c>
      <c r="AA18" s="12"/>
      <c r="AB18" s="12"/>
      <c r="AC18" s="12"/>
      <c r="AD18" s="12"/>
      <c r="AE18" s="12"/>
      <c r="AF18" s="12"/>
      <c r="AG18" s="12"/>
      <c r="AH18" s="12"/>
      <c r="AI18" s="15"/>
      <c r="AJ18" s="8"/>
    </row>
    <row r="19" spans="1:36" s="9" customFormat="1" ht="41.45" customHeight="1">
      <c r="A19" s="19">
        <v>2024</v>
      </c>
      <c r="B19" s="19" t="str">
        <f>IF(M19="",   "",   TEXT(M19,   "[$-en-US]mmm"))</f>
        <v>Dec</v>
      </c>
      <c r="C19" s="19" t="s">
        <v>36</v>
      </c>
      <c r="D19" s="19" t="s">
        <v>47</v>
      </c>
      <c r="E19" s="13" t="s">
        <v>109</v>
      </c>
      <c r="F19" s="13" t="s">
        <v>88</v>
      </c>
      <c r="G19" s="13" t="s">
        <v>100</v>
      </c>
      <c r="H19" s="13"/>
      <c r="I19" s="12" t="s">
        <v>42</v>
      </c>
      <c r="J19" s="12" t="s">
        <v>43</v>
      </c>
      <c r="K19" s="12" t="s">
        <v>53</v>
      </c>
      <c r="L19" s="12" t="s">
        <v>44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ca="1">IF(P19="",                                                                                                                                                                                                   "",
   IF(OR(I19="O-General",                                                                                                                                                                                                   I19="S-General"),
      IF(P19&lt;=30,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IF(I19="S-Special",
         IF(P19&lt;=45,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54</v>
      </c>
      <c r="AA19" s="12"/>
      <c r="AB19" s="12"/>
      <c r="AC19" s="12"/>
      <c r="AD19" s="12"/>
      <c r="AE19" s="12"/>
      <c r="AF19" s="12"/>
      <c r="AG19" s="12"/>
      <c r="AH19" s="12"/>
      <c r="AI19" s="15"/>
      <c r="AJ19" s="8"/>
    </row>
    <row r="20" spans="1:36" s="9" customFormat="1" ht="41.45" customHeight="1">
      <c r="A20" s="19">
        <v>2024</v>
      </c>
      <c r="B20" s="19" t="str">
        <f>IF(M20="",   "",   TEXT(M20,   "[$-en-US]mmm"))</f>
        <v>Dec</v>
      </c>
      <c r="C20" s="19" t="s">
        <v>36</v>
      </c>
      <c r="D20" s="19" t="s">
        <v>110</v>
      </c>
      <c r="E20" s="13" t="s">
        <v>111</v>
      </c>
      <c r="F20" s="13" t="s">
        <v>112</v>
      </c>
      <c r="G20" s="13" t="s">
        <v>113</v>
      </c>
      <c r="H20" s="13" t="s">
        <v>114</v>
      </c>
      <c r="I20" s="12" t="s">
        <v>52</v>
      </c>
      <c r="J20" s="12" t="s">
        <v>43</v>
      </c>
      <c r="K20" s="12" t="s">
        <v>115</v>
      </c>
      <c r="L20" s="12" t="s">
        <v>44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ca="1">IF(P20="",                                                                                                                                                                                                   "",
   IF(OR(I20="O-General",                                                                                                                                                                                                   I20="S-General"),
      IF(P20&lt;=30,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IF(I20="S-Special",
         IF(P20&lt;=45,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45</v>
      </c>
      <c r="AA20" s="12"/>
      <c r="AB20" s="12"/>
      <c r="AC20" s="12"/>
      <c r="AD20" s="12"/>
      <c r="AE20" s="12"/>
      <c r="AF20" s="12"/>
      <c r="AG20" s="12"/>
      <c r="AH20" s="12"/>
      <c r="AI20" s="15"/>
      <c r="AJ20" s="8"/>
    </row>
    <row r="21" spans="1:36" s="9" customFormat="1" ht="41.45" customHeight="1">
      <c r="A21" s="46">
        <v>2025</v>
      </c>
      <c r="B21" s="19" t="str">
        <f>IF(M21="",   "",   TEXT(M21,   "[$-en-US]mmm"))</f>
        <v>Jan</v>
      </c>
      <c r="C21" s="19" t="s">
        <v>55</v>
      </c>
      <c r="D21" s="19" t="s">
        <v>116</v>
      </c>
      <c r="E21" s="13" t="s">
        <v>117</v>
      </c>
      <c r="F21" s="13" t="s">
        <v>55</v>
      </c>
      <c r="G21" s="13" t="s">
        <v>71</v>
      </c>
      <c r="H21" s="13" t="s">
        <v>118</v>
      </c>
      <c r="I21" s="12" t="s">
        <v>83</v>
      </c>
      <c r="J21" s="12" t="s">
        <v>43</v>
      </c>
      <c r="K21" s="12" t="s">
        <v>53</v>
      </c>
      <c r="L21" s="12" t="s">
        <v>44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ca="1">IF(P21="",                                                                                                                                                                                                   "",
   IF(OR(I21="O-General",                                                                                                                                                                                                   I21="S-General"),
      IF(P21&lt;=30,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IF(I21="S-Special",
         IF(P21&lt;=45,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1" s="13"/>
      <c r="S21" s="12"/>
      <c r="T21" s="12"/>
      <c r="U21" s="12"/>
      <c r="V21" s="12"/>
      <c r="W21" s="10"/>
      <c r="X21" s="12"/>
      <c r="Y21" s="12"/>
      <c r="Z21" s="28" t="s">
        <v>73</v>
      </c>
      <c r="AA21" s="12"/>
      <c r="AB21" s="12"/>
      <c r="AC21" s="12"/>
      <c r="AD21" s="12"/>
      <c r="AE21" s="12"/>
      <c r="AF21" s="12"/>
      <c r="AG21" s="12"/>
      <c r="AH21" s="12"/>
      <c r="AI21" s="15"/>
      <c r="AJ21" s="8"/>
    </row>
    <row r="22" spans="1:36" s="9" customFormat="1" ht="41.45" customHeight="1">
      <c r="A22" s="46">
        <v>2025</v>
      </c>
      <c r="B22" s="19" t="str">
        <f>IF(M22="",   "",   TEXT(M22,   "[$-en-US]mmm"))</f>
        <v>Jan</v>
      </c>
      <c r="C22" s="19" t="s">
        <v>46</v>
      </c>
      <c r="D22" s="19" t="s">
        <v>47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42</v>
      </c>
      <c r="J22" s="12" t="s">
        <v>43</v>
      </c>
      <c r="K22" s="12" t="s">
        <v>53</v>
      </c>
      <c r="L22" s="12" t="s">
        <v>44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ca="1">IF(P22="",                                                                                                                                                                                                   "",
   IF(OR(I22="O-General",                                                                                                                                                                                                   I22="S-General"),
      IF(P22&lt;=30,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IF(I22="S-Special",
         IF(P22&lt;=45,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73</v>
      </c>
      <c r="AA22" s="12"/>
      <c r="AB22" s="12"/>
      <c r="AC22" s="12"/>
      <c r="AD22" s="12"/>
      <c r="AE22" s="12"/>
      <c r="AF22" s="12"/>
      <c r="AG22" s="12"/>
      <c r="AH22" s="12"/>
      <c r="AI22" s="15"/>
      <c r="AJ22" s="8"/>
    </row>
    <row r="23" spans="1:36" s="9" customFormat="1" ht="41.45" customHeight="1">
      <c r="A23" s="46">
        <v>2025</v>
      </c>
      <c r="B23" s="19" t="str">
        <f>IF(M23="",   "",   TEXT(M23,   "[$-en-US]mmm"))</f>
        <v>Jan</v>
      </c>
      <c r="C23" s="19" t="s">
        <v>46</v>
      </c>
      <c r="D23" s="19" t="s">
        <v>47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42</v>
      </c>
      <c r="J23" s="12" t="s">
        <v>43</v>
      </c>
      <c r="K23" s="12" t="s">
        <v>53</v>
      </c>
      <c r="L23" s="12" t="s">
        <v>44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ca="1">IF(P23="",                                                                                                                                                                                                   "",
   IF(OR(I23="O-General",                                                                                                                                                                                                   I23="S-General"),
      IF(P23&lt;=30,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IF(I23="S-Special",
         IF(P23&lt;=45,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54</v>
      </c>
      <c r="AA23" s="12"/>
      <c r="AB23" s="12"/>
      <c r="AC23" s="12"/>
      <c r="AD23" s="12"/>
      <c r="AE23" s="12"/>
      <c r="AF23" s="12"/>
      <c r="AG23" s="12"/>
      <c r="AH23" s="12"/>
      <c r="AI23" s="15"/>
      <c r="AJ23" s="8"/>
    </row>
    <row r="24" spans="1:36" s="9" customFormat="1" ht="41.45" customHeight="1">
      <c r="A24" s="46">
        <v>2025</v>
      </c>
      <c r="B24" s="19" t="str">
        <f>IF(M24="",   "",   TEXT(M24,   "[$-en-US]mmm"))</f>
        <v>Jan</v>
      </c>
      <c r="C24" s="19" t="s">
        <v>46</v>
      </c>
      <c r="D24" s="19" t="s">
        <v>47</v>
      </c>
      <c r="E24" s="13" t="s">
        <v>127</v>
      </c>
      <c r="F24" s="13" t="s">
        <v>128</v>
      </c>
      <c r="G24" s="13" t="s">
        <v>129</v>
      </c>
      <c r="H24" s="13" t="s">
        <v>82</v>
      </c>
      <c r="I24" s="12" t="s">
        <v>42</v>
      </c>
      <c r="J24" s="12" t="s">
        <v>43</v>
      </c>
      <c r="K24" s="12" t="s">
        <v>53</v>
      </c>
      <c r="L24" s="12" t="s">
        <v>44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ca="1">IF(P24="",                                                                                                                                                                                                   "",
   IF(OR(I24="O-General",                                                                                                                                                                                                   I24="S-General"),
      IF(P24&lt;=30,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IF(I24="S-Special",
         IF(P24&lt;=45,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73</v>
      </c>
      <c r="AA24" s="12"/>
      <c r="AB24" s="12"/>
      <c r="AC24" s="12"/>
      <c r="AD24" s="12"/>
      <c r="AE24" s="12"/>
      <c r="AF24" s="12"/>
      <c r="AG24" s="12"/>
      <c r="AH24" s="12"/>
      <c r="AI24" s="15"/>
      <c r="AJ24" s="8"/>
    </row>
    <row r="25" spans="1:36" s="9" customFormat="1" ht="41.45" customHeight="1">
      <c r="A25" s="46">
        <v>2025</v>
      </c>
      <c r="B25" s="19" t="str">
        <f>IF(M25="",   "",   TEXT(M25,   "[$-en-US]mmm"))</f>
        <v>Jan</v>
      </c>
      <c r="C25" s="19" t="s">
        <v>46</v>
      </c>
      <c r="D25" s="19" t="s">
        <v>47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42</v>
      </c>
      <c r="J25" s="12" t="s">
        <v>43</v>
      </c>
      <c r="K25" s="12" t="s">
        <v>115</v>
      </c>
      <c r="L25" s="12" t="s">
        <v>44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ca="1">IF(P25="",                                                                                                                                                                                                   "",
   IF(OR(I25="O-General",                                                                                                                                                                                                   I25="S-General"),
      IF(P25&lt;=30,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IF(I25="S-Special",
         IF(P25&lt;=45,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54</v>
      </c>
      <c r="AA25" s="12"/>
      <c r="AB25" s="12"/>
      <c r="AC25" s="12"/>
      <c r="AD25" s="12"/>
      <c r="AE25" s="12"/>
      <c r="AF25" s="12"/>
      <c r="AG25" s="12"/>
      <c r="AH25" s="12"/>
      <c r="AI25" s="15"/>
      <c r="AJ25" s="8"/>
    </row>
    <row r="26" spans="1:36" s="9" customFormat="1" ht="41.45" customHeight="1">
      <c r="A26" s="46">
        <v>2025</v>
      </c>
      <c r="B26" s="19" t="str">
        <f>IF(M26="",   "",   TEXT(M26,   "[$-en-US]mmm"))</f>
        <v>Jan</v>
      </c>
      <c r="C26" s="19" t="s">
        <v>46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83</v>
      </c>
      <c r="J26" s="12" t="s">
        <v>43</v>
      </c>
      <c r="K26" s="12" t="s">
        <v>115</v>
      </c>
      <c r="L26" s="12" t="s">
        <v>44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ca="1">IF(P26="",                                                                                                                                                                                                   "",
   IF(OR(I26="O-General",                                                                                                                                                                                                   I26="S-General"),
      IF(P26&lt;=30,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IF(I26="S-Special",
         IF(P26&lt;=45,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54</v>
      </c>
      <c r="AA26" s="12"/>
      <c r="AB26" s="12"/>
      <c r="AC26" s="12"/>
      <c r="AD26" s="12"/>
      <c r="AE26" s="12"/>
      <c r="AF26" s="12"/>
      <c r="AG26" s="12"/>
      <c r="AH26" s="12"/>
      <c r="AI26" s="15"/>
      <c r="AJ26" s="8"/>
    </row>
    <row r="27" spans="1:36" s="9" customFormat="1" ht="41.45" customHeight="1">
      <c r="A27" s="46">
        <v>2025</v>
      </c>
      <c r="B27" s="19" t="str">
        <f>IF(M27="",   "",   TEXT(M27,   "[$-en-US]mmm"))</f>
        <v>Jan</v>
      </c>
      <c r="C27" s="19" t="s">
        <v>36</v>
      </c>
      <c r="D27" s="19" t="s">
        <v>135</v>
      </c>
      <c r="E27" s="13" t="s">
        <v>136</v>
      </c>
      <c r="F27" s="13" t="s">
        <v>39</v>
      </c>
      <c r="G27" s="13" t="s">
        <v>137</v>
      </c>
      <c r="H27" s="13" t="s">
        <v>138</v>
      </c>
      <c r="I27" s="12" t="s">
        <v>83</v>
      </c>
      <c r="J27" s="12" t="s">
        <v>43</v>
      </c>
      <c r="K27" s="12" t="s">
        <v>53</v>
      </c>
      <c r="L27" s="12" t="s">
        <v>44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ca="1">IF(P27="",                                                                                                                                                                                                   "",
   IF(OR(I27="O-General",                                                                                                                                                                                                   I27="S-General"),
      IF(P27&lt;=30,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IF(I27="S-Special",
         IF(P27&lt;=45,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7" s="13"/>
      <c r="S27" s="12"/>
      <c r="T27" s="12"/>
      <c r="U27" s="12"/>
      <c r="V27" s="12"/>
      <c r="W27" s="10"/>
      <c r="X27" s="12"/>
      <c r="Y27" s="12"/>
      <c r="Z27" s="29" t="s">
        <v>73</v>
      </c>
      <c r="AA27" s="12"/>
      <c r="AB27" s="12"/>
      <c r="AC27" s="12"/>
      <c r="AD27" s="12"/>
      <c r="AE27" s="12"/>
      <c r="AF27" s="12"/>
      <c r="AG27" s="12"/>
      <c r="AH27" s="12"/>
      <c r="AI27" s="15"/>
      <c r="AJ27" s="8"/>
    </row>
    <row r="28" spans="1:36" s="9" customFormat="1" ht="41.45" customHeight="1">
      <c r="A28" s="46">
        <v>2025</v>
      </c>
      <c r="B28" s="19" t="str">
        <f>IF(M28="",   "",   TEXT(M28,   "[$-en-US]mmm"))</f>
        <v>Jan</v>
      </c>
      <c r="C28" s="19" t="s">
        <v>36</v>
      </c>
      <c r="D28" s="19" t="s">
        <v>139</v>
      </c>
      <c r="E28" s="13" t="s">
        <v>139</v>
      </c>
      <c r="F28" s="13" t="s">
        <v>67</v>
      </c>
      <c r="G28" s="13" t="s">
        <v>140</v>
      </c>
      <c r="H28" s="13" t="s">
        <v>141</v>
      </c>
      <c r="I28" s="12" t="s">
        <v>42</v>
      </c>
      <c r="J28" s="12" t="s">
        <v>43</v>
      </c>
      <c r="K28" s="12" t="s">
        <v>53</v>
      </c>
      <c r="L28" s="12" t="s">
        <v>44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ca="1">IF(P28="",                                                                                                                                                                                                   "",
   IF(OR(I28="O-General",                                                                                                                                                                                                   I28="S-General"),
      IF(P28&lt;=30,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IF(I28="S-Special",
         IF(P28&lt;=45,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8" s="13"/>
      <c r="S28" s="12"/>
      <c r="T28" s="12"/>
      <c r="U28" s="12"/>
      <c r="V28" s="12"/>
      <c r="W28" s="10">
        <v>45809</v>
      </c>
      <c r="X28" s="12"/>
      <c r="Y28" s="12"/>
      <c r="Z28" s="28" t="s">
        <v>73</v>
      </c>
      <c r="AA28" s="12"/>
      <c r="AB28" s="12"/>
      <c r="AC28" s="12"/>
      <c r="AD28" s="12"/>
      <c r="AE28" s="12"/>
      <c r="AF28" s="12"/>
      <c r="AG28" s="12"/>
      <c r="AH28" s="12"/>
      <c r="AI28" s="15"/>
      <c r="AJ28" s="8"/>
    </row>
    <row r="29" spans="1:36" s="9" customFormat="1" ht="41.45" customHeight="1">
      <c r="A29" s="46">
        <v>2025</v>
      </c>
      <c r="B29" s="19" t="str">
        <f>IF(M29="",   "",   TEXT(M29,   "[$-en-US]mmm"))</f>
        <v>Jan</v>
      </c>
      <c r="C29" s="19" t="s">
        <v>36</v>
      </c>
      <c r="D29" s="19" t="s">
        <v>142</v>
      </c>
      <c r="E29" s="13" t="s">
        <v>142</v>
      </c>
      <c r="F29" s="13" t="s">
        <v>39</v>
      </c>
      <c r="G29" s="13" t="s">
        <v>143</v>
      </c>
      <c r="H29" s="13" t="s">
        <v>144</v>
      </c>
      <c r="I29" s="12" t="s">
        <v>83</v>
      </c>
      <c r="J29" s="12" t="s">
        <v>43</v>
      </c>
      <c r="K29" s="12" t="s">
        <v>73</v>
      </c>
      <c r="L29" s="12" t="s">
        <v>44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ca="1">IF(P29="",                                                                                                                                                                                                   "",
   IF(OR(I29="O-General",                                                                                                                                                                                                   I29="S-General"),
      IF(P29&lt;=30,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IF(I29="S-Special",
         IF(P29&lt;=45,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9" s="13"/>
      <c r="S29" s="12"/>
      <c r="T29" s="12"/>
      <c r="U29" s="12"/>
      <c r="V29" s="12"/>
      <c r="W29" s="10"/>
      <c r="X29" s="12"/>
      <c r="Y29" s="12"/>
      <c r="Z29" s="28" t="s">
        <v>73</v>
      </c>
      <c r="AA29" s="12"/>
      <c r="AB29" s="12"/>
      <c r="AC29" s="12"/>
      <c r="AD29" s="12"/>
      <c r="AE29" s="12"/>
      <c r="AF29" s="12"/>
      <c r="AG29" s="12"/>
      <c r="AH29" s="12"/>
      <c r="AI29" s="15"/>
      <c r="AJ29" s="8"/>
    </row>
    <row r="30" spans="1:36" s="9" customFormat="1" ht="41.45" customHeight="1">
      <c r="A30" s="46">
        <v>2025</v>
      </c>
      <c r="B30" s="19" t="str">
        <f>IF(M30="",   "",   TEXT(M30,   "[$-en-US]mmm"))</f>
        <v>Jan</v>
      </c>
      <c r="C30" s="19" t="s">
        <v>36</v>
      </c>
      <c r="D30" s="19" t="s">
        <v>47</v>
      </c>
      <c r="E30" s="13" t="s">
        <v>145</v>
      </c>
      <c r="F30" s="13" t="s">
        <v>146</v>
      </c>
      <c r="G30" s="13" t="s">
        <v>147</v>
      </c>
      <c r="H30" s="13" t="s">
        <v>148</v>
      </c>
      <c r="I30" s="12" t="s">
        <v>42</v>
      </c>
      <c r="J30" s="12" t="s">
        <v>43</v>
      </c>
      <c r="K30" s="12" t="s">
        <v>53</v>
      </c>
      <c r="L30" s="12" t="s">
        <v>44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ca="1">IF(P30="",                                                                                                                                                                                                   "",
   IF(OR(I30="O-General",                                                                                                                                                                                                   I30="S-General"),
      IF(P30&lt;=30,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IF(I30="S-Special",
         IF(P30&lt;=45,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0" s="13"/>
      <c r="S30" s="12"/>
      <c r="T30" s="12"/>
      <c r="U30" s="12"/>
      <c r="V30" s="12"/>
      <c r="W30" s="10">
        <v>45778</v>
      </c>
      <c r="X30" s="12"/>
      <c r="Y30" s="12"/>
      <c r="Z30" s="29" t="s">
        <v>54</v>
      </c>
      <c r="AA30" s="12"/>
      <c r="AB30" s="12"/>
      <c r="AC30" s="12"/>
      <c r="AD30" s="12"/>
      <c r="AE30" s="12"/>
      <c r="AF30" s="12"/>
      <c r="AG30" s="12"/>
      <c r="AH30" s="12"/>
      <c r="AI30" s="15"/>
      <c r="AJ30" s="8"/>
    </row>
    <row r="31" spans="1:36" s="9" customFormat="1" ht="41.45" customHeight="1">
      <c r="A31" s="46">
        <v>2025</v>
      </c>
      <c r="B31" s="19" t="str">
        <f>IF(M31="",   "",   TEXT(M31,   "[$-en-US]mmm"))</f>
        <v>Jan</v>
      </c>
      <c r="C31" s="19" t="s">
        <v>36</v>
      </c>
      <c r="D31" s="19" t="s">
        <v>47</v>
      </c>
      <c r="E31" s="13" t="s">
        <v>145</v>
      </c>
      <c r="F31" s="13" t="s">
        <v>146</v>
      </c>
      <c r="G31" s="13" t="s">
        <v>147</v>
      </c>
      <c r="H31" s="13" t="s">
        <v>148</v>
      </c>
      <c r="I31" s="12" t="s">
        <v>42</v>
      </c>
      <c r="J31" s="12" t="s">
        <v>43</v>
      </c>
      <c r="K31" s="12" t="s">
        <v>53</v>
      </c>
      <c r="L31" s="12" t="s">
        <v>44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ca="1">IF(P31="",                                                                                                                                                                                                   "",
   IF(OR(I31="O-General",                                                                                                                                                                                                   I31="S-General"),
      IF(P31&lt;=30,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IF(I31="S-Special",
         IF(P31&lt;=45,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1" s="13"/>
      <c r="S31" s="12"/>
      <c r="T31" s="12"/>
      <c r="U31" s="12"/>
      <c r="V31" s="12"/>
      <c r="W31" s="10">
        <v>45658</v>
      </c>
      <c r="X31" s="12"/>
      <c r="Y31" s="12"/>
      <c r="Z31" s="29" t="s">
        <v>54</v>
      </c>
      <c r="AA31" s="12"/>
      <c r="AB31" s="12"/>
      <c r="AC31" s="12"/>
      <c r="AD31" s="12"/>
      <c r="AE31" s="12"/>
      <c r="AF31" s="12"/>
      <c r="AG31" s="12"/>
      <c r="AH31" s="12"/>
      <c r="AI31" s="15"/>
      <c r="AJ31" s="8"/>
    </row>
    <row r="32" spans="1:36" s="9" customFormat="1" ht="41.45" customHeight="1">
      <c r="A32" s="46">
        <v>2025</v>
      </c>
      <c r="B32" s="19" t="str">
        <f>IF(M32="",   "",   TEXT(M32,   "[$-en-US]mmm"))</f>
        <v>Jan</v>
      </c>
      <c r="C32" s="19" t="s">
        <v>36</v>
      </c>
      <c r="D32" s="19" t="s">
        <v>149</v>
      </c>
      <c r="E32" s="13" t="s">
        <v>149</v>
      </c>
      <c r="F32" s="13" t="s">
        <v>150</v>
      </c>
      <c r="G32" s="13" t="s">
        <v>151</v>
      </c>
      <c r="H32" s="13" t="s">
        <v>70</v>
      </c>
      <c r="I32" s="12" t="s">
        <v>42</v>
      </c>
      <c r="J32" s="12" t="s">
        <v>43</v>
      </c>
      <c r="K32" s="12" t="s">
        <v>53</v>
      </c>
      <c r="L32" s="12" t="s">
        <v>44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ca="1">IF(P32="",                                                                                                                                                                                                   "",
   IF(OR(I32="O-General",                                                                                                                                                                                                   I32="S-General"),
      IF(P32&lt;=30,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IF(I32="S-Special",
         IF(P32&lt;=45,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2" s="13"/>
      <c r="S32" s="12"/>
      <c r="T32" s="12"/>
      <c r="U32" s="12"/>
      <c r="V32" s="12"/>
      <c r="W32" s="10">
        <v>45870</v>
      </c>
      <c r="X32" s="12"/>
      <c r="Y32" s="12"/>
      <c r="Z32" s="29" t="s">
        <v>73</v>
      </c>
      <c r="AA32" s="12"/>
      <c r="AB32" s="12"/>
      <c r="AC32" s="12"/>
      <c r="AD32" s="12"/>
      <c r="AE32" s="12"/>
      <c r="AF32" s="12"/>
      <c r="AG32" s="12"/>
      <c r="AH32" s="12"/>
      <c r="AI32" s="15"/>
      <c r="AJ32" s="8"/>
    </row>
    <row r="33" spans="1:36" s="9" customFormat="1" ht="41.45" customHeight="1">
      <c r="A33" s="46">
        <v>2025</v>
      </c>
      <c r="B33" s="19" t="str">
        <f>IF(M33="",   "",   TEXT(M33,   "[$-en-US]mmm"))</f>
        <v>Jan</v>
      </c>
      <c r="C33" s="19" t="s">
        <v>36</v>
      </c>
      <c r="D33" s="19" t="s">
        <v>152</v>
      </c>
      <c r="E33" s="13" t="s">
        <v>153</v>
      </c>
      <c r="F33" s="13" t="s">
        <v>67</v>
      </c>
      <c r="G33" s="13" t="s">
        <v>140</v>
      </c>
      <c r="H33" s="13" t="s">
        <v>154</v>
      </c>
      <c r="I33" s="12" t="s">
        <v>42</v>
      </c>
      <c r="J33" s="12" t="s">
        <v>43</v>
      </c>
      <c r="K33" s="12" t="s">
        <v>53</v>
      </c>
      <c r="L33" s="12" t="s">
        <v>44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ca="1">IF(P33="",                                                                                                                                                                                                   "",
   IF(OR(I33="O-General",                                                                                                                                                                                                   I33="S-General"),
      IF(P33&lt;=30,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IF(I33="S-Special",
         IF(P33&lt;=45,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3" s="13"/>
      <c r="S33" s="12"/>
      <c r="T33" s="12"/>
      <c r="U33" s="12"/>
      <c r="V33" s="12"/>
      <c r="W33" s="10"/>
      <c r="X33" s="12"/>
      <c r="Y33" s="12"/>
      <c r="Z33" s="28" t="s">
        <v>45</v>
      </c>
      <c r="AA33" s="12"/>
      <c r="AB33" s="12"/>
      <c r="AC33" s="12"/>
      <c r="AD33" s="12"/>
      <c r="AE33" s="12"/>
      <c r="AF33" s="12"/>
      <c r="AG33" s="12"/>
      <c r="AH33" s="12"/>
      <c r="AI33" s="15"/>
      <c r="AJ33" s="8"/>
    </row>
    <row r="34" spans="1:36" s="9" customFormat="1" ht="41.45" customHeight="1">
      <c r="A34" s="46">
        <v>2025</v>
      </c>
      <c r="B34" s="19" t="str">
        <f>IF(M34="",   "",   TEXT(M34,   "[$-en-US]mmm"))</f>
        <v>Jan</v>
      </c>
      <c r="C34" s="19" t="s">
        <v>36</v>
      </c>
      <c r="D34" s="19" t="s">
        <v>155</v>
      </c>
      <c r="E34" s="13" t="s">
        <v>156</v>
      </c>
      <c r="F34" s="13" t="s">
        <v>91</v>
      </c>
      <c r="G34" s="13" t="s">
        <v>157</v>
      </c>
      <c r="H34" s="13" t="s">
        <v>158</v>
      </c>
      <c r="I34" s="12" t="s">
        <v>52</v>
      </c>
      <c r="J34" s="12" t="s">
        <v>43</v>
      </c>
      <c r="K34" s="12" t="s">
        <v>115</v>
      </c>
      <c r="L34" s="12" t="s">
        <v>44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ca="1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/>
      <c r="Y34" s="12"/>
      <c r="Z34" s="28" t="s">
        <v>54</v>
      </c>
      <c r="AA34" s="12"/>
      <c r="AB34" s="12"/>
      <c r="AC34" s="12"/>
      <c r="AD34" s="12"/>
      <c r="AE34" s="12"/>
      <c r="AF34" s="12"/>
      <c r="AG34" s="12"/>
      <c r="AH34" s="12"/>
      <c r="AI34" s="15"/>
      <c r="AJ34" s="8"/>
    </row>
    <row r="35" spans="1:36" s="9" customFormat="1" ht="41.45" customHeight="1">
      <c r="A35" s="46">
        <v>2025</v>
      </c>
      <c r="B35" s="19" t="str">
        <f>IF(M35="",   "",   TEXT(M35,   "[$-en-US]mmm"))</f>
        <v>Jan</v>
      </c>
      <c r="C35" s="19" t="s">
        <v>36</v>
      </c>
      <c r="D35" s="19" t="s">
        <v>159</v>
      </c>
      <c r="E35" s="13" t="s">
        <v>159</v>
      </c>
      <c r="F35" s="13" t="s">
        <v>49</v>
      </c>
      <c r="G35" s="13" t="s">
        <v>98</v>
      </c>
      <c r="H35" s="13" t="s">
        <v>160</v>
      </c>
      <c r="I35" s="12" t="s">
        <v>52</v>
      </c>
      <c r="J35" s="12" t="s">
        <v>43</v>
      </c>
      <c r="K35" s="12" t="s">
        <v>115</v>
      </c>
      <c r="L35" s="12" t="s">
        <v>44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ca="1">IF(P35="",                                                                                                                                                                                                   "",
   IF(OR(I35="O-General",                                                                                                                                                                                                   I35="S-General"),
      IF(P35&lt;=30,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IF(I35="S-Special",
         IF(P35&lt;=45,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5" s="13"/>
      <c r="S35" s="12"/>
      <c r="T35" s="12"/>
      <c r="U35" s="12"/>
      <c r="V35" s="12"/>
      <c r="W35" s="10">
        <v>46023</v>
      </c>
      <c r="X35" s="12"/>
      <c r="Y35" s="12"/>
      <c r="Z35" s="29" t="s">
        <v>161</v>
      </c>
      <c r="AA35" s="12"/>
      <c r="AB35" s="12"/>
      <c r="AC35" s="12"/>
      <c r="AD35" s="12"/>
      <c r="AE35" s="12"/>
      <c r="AF35" s="12"/>
      <c r="AG35" s="12"/>
      <c r="AH35" s="12"/>
      <c r="AI35" s="15"/>
      <c r="AJ35" s="8"/>
    </row>
    <row r="36" spans="1:36" s="9" customFormat="1" ht="41.45" customHeight="1">
      <c r="A36" s="46">
        <v>2025</v>
      </c>
      <c r="B36" s="19" t="str">
        <f>IF(M36="",   "",   TEXT(M36,   "[$-en-US]mmm"))</f>
        <v>Jan</v>
      </c>
      <c r="C36" s="19" t="s">
        <v>36</v>
      </c>
      <c r="D36" s="19" t="s">
        <v>162</v>
      </c>
      <c r="E36" s="13" t="s">
        <v>163</v>
      </c>
      <c r="F36" s="13" t="s">
        <v>39</v>
      </c>
      <c r="G36" s="13" t="s">
        <v>143</v>
      </c>
      <c r="H36" s="13" t="s">
        <v>164</v>
      </c>
      <c r="I36" s="12" t="s">
        <v>83</v>
      </c>
      <c r="J36" s="12" t="s">
        <v>43</v>
      </c>
      <c r="K36" s="12" t="s">
        <v>115</v>
      </c>
      <c r="L36" s="12" t="s">
        <v>44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ca="1">IF(P36="",                                                                                                                                                                                                   "",
   IF(OR(I36="O-General",                                                                                                                                                                                                   I36="S-General"),
      IF(P36&lt;=30,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IF(I36="S-Special",
         IF(P36&lt;=45,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6" s="13"/>
      <c r="S36" s="12"/>
      <c r="T36" s="12"/>
      <c r="U36" s="12"/>
      <c r="V36" s="12"/>
      <c r="W36" s="10">
        <v>45748</v>
      </c>
      <c r="X36" s="12"/>
      <c r="Y36" s="12"/>
      <c r="Z36" s="29" t="s">
        <v>54</v>
      </c>
      <c r="AA36" s="12"/>
      <c r="AB36" s="12"/>
      <c r="AC36" s="12"/>
      <c r="AD36" s="12"/>
      <c r="AE36" s="12"/>
      <c r="AF36" s="12"/>
      <c r="AG36" s="12"/>
      <c r="AH36" s="12"/>
      <c r="AI36" s="15"/>
      <c r="AJ36" s="8"/>
    </row>
    <row r="37" spans="1:36" s="9" customFormat="1" ht="41.45" customHeight="1">
      <c r="A37" s="46">
        <v>2025</v>
      </c>
      <c r="B37" s="19" t="str">
        <f>IF(M37="",   "",   TEXT(M37,   "[$-en-US]mmm"))</f>
        <v>Feb</v>
      </c>
      <c r="C37" s="19" t="s">
        <v>55</v>
      </c>
      <c r="D37" s="19" t="s">
        <v>165</v>
      </c>
      <c r="E37" s="13" t="s">
        <v>166</v>
      </c>
      <c r="F37" s="13" t="s">
        <v>55</v>
      </c>
      <c r="G37" s="13" t="s">
        <v>58</v>
      </c>
      <c r="H37" s="13"/>
      <c r="I37" s="12" t="s">
        <v>52</v>
      </c>
      <c r="J37" s="12" t="s">
        <v>84</v>
      </c>
      <c r="K37" s="12" t="s">
        <v>115</v>
      </c>
      <c r="L37" s="12" t="s">
        <v>85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357</v>
      </c>
      <c r="Q37" s="13" t="str">
        <f ca="1">IF(P37="",                                                                                                                                                                                                   "",
   IF(OR(I37="O-General",                                                                                                                                                                                                   I37="S-General"),
      IF(P37&lt;=30,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IF(I37="S-Special",
         IF(P37&lt;=45,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15"/>
      <c r="AJ37" s="8"/>
    </row>
    <row r="38" spans="1:36" s="9" customFormat="1" ht="41.45" customHeight="1">
      <c r="A38" s="46">
        <v>2025</v>
      </c>
      <c r="B38" s="19" t="str">
        <f>IF(M38="",   "",   TEXT(M38,   "[$-en-US]mmm"))</f>
        <v>Feb</v>
      </c>
      <c r="C38" s="19" t="s">
        <v>46</v>
      </c>
      <c r="D38" s="19" t="s">
        <v>167</v>
      </c>
      <c r="E38" s="13" t="s">
        <v>167</v>
      </c>
      <c r="F38" s="13" t="s">
        <v>112</v>
      </c>
      <c r="G38" s="13" t="s">
        <v>168</v>
      </c>
      <c r="H38" s="13" t="s">
        <v>169</v>
      </c>
      <c r="I38" s="12" t="s">
        <v>52</v>
      </c>
      <c r="J38" s="12" t="s">
        <v>43</v>
      </c>
      <c r="K38" s="12" t="s">
        <v>115</v>
      </c>
      <c r="L38" s="12" t="s">
        <v>44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ca="1">IF(P38="",                                                                                                                                                                                                   "",
   IF(OR(I38="O-General",                                                                                                                                                                                                   I38="S-General"),
      IF(P38&lt;=30,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IF(I38="S-Special",
         IF(P38&lt;=45,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54</v>
      </c>
      <c r="AA38" s="12"/>
      <c r="AB38" s="12"/>
      <c r="AC38" s="12"/>
      <c r="AD38" s="12"/>
      <c r="AE38" s="12"/>
      <c r="AF38" s="12"/>
      <c r="AG38" s="12"/>
      <c r="AH38" s="12"/>
      <c r="AI38" s="15"/>
      <c r="AJ38" s="8"/>
    </row>
    <row r="39" spans="1:36" s="9" customFormat="1" ht="41.45" customHeight="1">
      <c r="A39" s="46">
        <v>2025</v>
      </c>
      <c r="B39" s="19" t="str">
        <f>IF(M39="",   "",   TEXT(M39,   "[$-en-US]mmm"))</f>
        <v>Feb</v>
      </c>
      <c r="C39" s="19" t="s">
        <v>46</v>
      </c>
      <c r="D39" s="19" t="s">
        <v>47</v>
      </c>
      <c r="E39" s="13" t="s">
        <v>170</v>
      </c>
      <c r="F39" s="13" t="s">
        <v>171</v>
      </c>
      <c r="G39" s="13" t="s">
        <v>172</v>
      </c>
      <c r="H39" s="13" t="s">
        <v>82</v>
      </c>
      <c r="I39" s="12" t="s">
        <v>42</v>
      </c>
      <c r="J39" s="12" t="s">
        <v>43</v>
      </c>
      <c r="K39" s="12" t="s">
        <v>53</v>
      </c>
      <c r="L39" s="12" t="s">
        <v>44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ca="1">IF(P39="",                                                                                                                                                                                                   "",
   IF(OR(I39="O-General",                                                                                                                                                                                                   I39="S-General"),
      IF(P39&lt;=30,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IF(I39="S-Special",
         IF(P39&lt;=45,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173</v>
      </c>
      <c r="AA39" s="12"/>
      <c r="AB39" s="12"/>
      <c r="AC39" s="12"/>
      <c r="AD39" s="12"/>
      <c r="AE39" s="12"/>
      <c r="AF39" s="12"/>
      <c r="AG39" s="12"/>
      <c r="AH39" s="12"/>
      <c r="AI39" s="15"/>
      <c r="AJ39" s="8"/>
    </row>
    <row r="40" spans="1:36" s="9" customFormat="1" ht="41.45" customHeight="1">
      <c r="A40" s="46">
        <v>2025</v>
      </c>
      <c r="B40" s="19" t="str">
        <f>IF(M40="",   "",   TEXT(M40,   "[$-en-US]mmm"))</f>
        <v>Feb</v>
      </c>
      <c r="C40" s="19" t="s">
        <v>46</v>
      </c>
      <c r="D40" s="19" t="s">
        <v>174</v>
      </c>
      <c r="E40" s="13" t="s">
        <v>174</v>
      </c>
      <c r="F40" s="13" t="s">
        <v>175</v>
      </c>
      <c r="G40" s="13" t="s">
        <v>176</v>
      </c>
      <c r="H40" s="13" t="s">
        <v>177</v>
      </c>
      <c r="I40" s="12" t="s">
        <v>83</v>
      </c>
      <c r="J40" s="12" t="s">
        <v>43</v>
      </c>
      <c r="K40" s="12" t="s">
        <v>115</v>
      </c>
      <c r="L40" s="12" t="s">
        <v>44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ca="1">IF(P40="",                                                                                                                                                                                                   "",
   IF(OR(I40="O-General",                                                                                                                                                                                                   I40="S-General"),
      IF(P40&lt;=30,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IF(I40="S-Special",
         IF(P40&lt;=45,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54</v>
      </c>
      <c r="AA40" s="12"/>
      <c r="AB40" s="12"/>
      <c r="AC40" s="12"/>
      <c r="AD40" s="12"/>
      <c r="AE40" s="12"/>
      <c r="AF40" s="12"/>
      <c r="AG40" s="12"/>
      <c r="AH40" s="12"/>
      <c r="AI40" s="15"/>
      <c r="AJ40" s="8"/>
    </row>
    <row r="41" spans="1:36" s="9" customFormat="1" ht="41.45" customHeight="1">
      <c r="A41" s="46">
        <v>2025</v>
      </c>
      <c r="B41" s="19" t="str">
        <f>IF(M41="",   "",   TEXT(M41,   "[$-en-US]mmm"))</f>
        <v>Feb</v>
      </c>
      <c r="C41" s="19" t="s">
        <v>46</v>
      </c>
      <c r="D41" s="19" t="s">
        <v>47</v>
      </c>
      <c r="E41" s="13" t="s">
        <v>119</v>
      </c>
      <c r="F41" s="13" t="s">
        <v>178</v>
      </c>
      <c r="G41" s="13" t="s">
        <v>179</v>
      </c>
      <c r="H41" s="13" t="s">
        <v>180</v>
      </c>
      <c r="I41" s="12" t="s">
        <v>42</v>
      </c>
      <c r="J41" s="12" t="s">
        <v>43</v>
      </c>
      <c r="K41" s="12" t="s">
        <v>53</v>
      </c>
      <c r="L41" s="12" t="s">
        <v>44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ca="1">IF(P41="",                                                                                                                                                                                                   "",
   IF(OR(I41="O-General",                                                                                                                                                                                                   I41="S-General"),
      IF(P41&lt;=30,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IF(I41="S-Special",
         IF(P41&lt;=45,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173</v>
      </c>
      <c r="AA41" s="12"/>
      <c r="AB41" s="12"/>
      <c r="AC41" s="12"/>
      <c r="AD41" s="12"/>
      <c r="AE41" s="12"/>
      <c r="AF41" s="12"/>
      <c r="AG41" s="12"/>
      <c r="AH41" s="12"/>
      <c r="AI41" s="15"/>
      <c r="AJ41" s="8"/>
    </row>
    <row r="42" spans="1:36" s="9" customFormat="1" ht="41.45" customHeight="1">
      <c r="A42" s="46">
        <v>2025</v>
      </c>
      <c r="B42" s="19" t="str">
        <f>IF(M42="",   "",   TEXT(M42,   "[$-en-US]mmm"))</f>
        <v>Feb</v>
      </c>
      <c r="C42" s="19" t="s">
        <v>46</v>
      </c>
      <c r="D42" s="19" t="s">
        <v>181</v>
      </c>
      <c r="E42" s="13" t="s">
        <v>182</v>
      </c>
      <c r="F42" s="13" t="s">
        <v>183</v>
      </c>
      <c r="G42" s="13" t="s">
        <v>184</v>
      </c>
      <c r="H42" s="13" t="s">
        <v>185</v>
      </c>
      <c r="I42" s="12" t="s">
        <v>42</v>
      </c>
      <c r="J42" s="12" t="s">
        <v>43</v>
      </c>
      <c r="K42" s="12" t="s">
        <v>53</v>
      </c>
      <c r="L42" s="12" t="s">
        <v>44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ca="1">IF(P42="",                                                                                                                                                                                                   "",
   IF(OR(I42="O-General",                                                                                                                                                                                                   I42="S-General"),
      IF(P42&lt;=30,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IF(I42="S-Special",
         IF(P42&lt;=45,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54</v>
      </c>
      <c r="AA42" s="12"/>
      <c r="AB42" s="12"/>
      <c r="AC42" s="12"/>
      <c r="AD42" s="12"/>
      <c r="AE42" s="12"/>
      <c r="AF42" s="12"/>
      <c r="AG42" s="12"/>
      <c r="AH42" s="12"/>
      <c r="AI42" s="15"/>
      <c r="AJ42" s="8"/>
    </row>
    <row r="43" spans="1:36" s="9" customFormat="1" ht="41.45" customHeight="1">
      <c r="A43" s="46">
        <v>2025</v>
      </c>
      <c r="B43" s="19" t="str">
        <f>IF(M43="",   "",   TEXT(M43,   "[$-en-US]mmm"))</f>
        <v>Feb</v>
      </c>
      <c r="C43" s="19" t="s">
        <v>36</v>
      </c>
      <c r="D43" s="19" t="s">
        <v>186</v>
      </c>
      <c r="E43" s="13" t="s">
        <v>187</v>
      </c>
      <c r="F43" s="13" t="s">
        <v>67</v>
      </c>
      <c r="G43" s="13" t="s">
        <v>140</v>
      </c>
      <c r="H43" s="13" t="s">
        <v>141</v>
      </c>
      <c r="I43" s="12" t="s">
        <v>42</v>
      </c>
      <c r="J43" s="12" t="s">
        <v>43</v>
      </c>
      <c r="K43" s="12" t="s">
        <v>53</v>
      </c>
      <c r="L43" s="12" t="s">
        <v>44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ca="1">IF(P43="",                                                                                                                                                                                                   "",
   IF(OR(I43="O-General",                                                                                                                                                                                                   I43="S-General"),
      IF(P43&lt;=30,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IF(I43="S-Special",
         IF(P43&lt;=45,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3" s="13"/>
      <c r="S43" s="12"/>
      <c r="T43" s="12"/>
      <c r="U43" s="12"/>
      <c r="V43" s="12"/>
      <c r="W43" s="10"/>
      <c r="X43" s="12"/>
      <c r="Y43" s="12"/>
      <c r="Z43" s="28" t="s">
        <v>54</v>
      </c>
      <c r="AA43" s="12"/>
      <c r="AB43" s="12"/>
      <c r="AC43" s="12"/>
      <c r="AD43" s="12"/>
      <c r="AE43" s="12"/>
      <c r="AF43" s="12"/>
      <c r="AG43" s="12"/>
      <c r="AH43" s="12"/>
      <c r="AI43" s="15"/>
      <c r="AJ43" s="8"/>
    </row>
    <row r="44" spans="1:36" s="9" customFormat="1" ht="41.45" customHeight="1">
      <c r="A44" s="46">
        <v>2025</v>
      </c>
      <c r="B44" s="19" t="str">
        <f>IF(M44="",   "",   TEXT(M44,   "[$-en-US]mmm"))</f>
        <v>Feb</v>
      </c>
      <c r="C44" s="19" t="s">
        <v>36</v>
      </c>
      <c r="D44" s="19" t="s">
        <v>188</v>
      </c>
      <c r="E44" s="13" t="s">
        <v>188</v>
      </c>
      <c r="F44" s="13" t="s">
        <v>112</v>
      </c>
      <c r="G44" s="13" t="s">
        <v>189</v>
      </c>
      <c r="H44" s="13" t="s">
        <v>190</v>
      </c>
      <c r="I44" s="12" t="s">
        <v>52</v>
      </c>
      <c r="J44" s="12" t="s">
        <v>43</v>
      </c>
      <c r="K44" s="12" t="s">
        <v>53</v>
      </c>
      <c r="L44" s="12" t="s">
        <v>44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ca="1">IF(P44="",                                                                                                                                                                                                   "",
   IF(OR(I44="O-General",                                                                                                                                                                                                   I44="S-General"),
      IF(P44&lt;=30,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IF(I44="S-Special",
         IF(P44&lt;=45,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4" s="13"/>
      <c r="S44" s="12"/>
      <c r="T44" s="12"/>
      <c r="U44" s="12"/>
      <c r="V44" s="12"/>
      <c r="W44" s="10"/>
      <c r="X44" s="12"/>
      <c r="Y44" s="12"/>
      <c r="Z44" s="29" t="s">
        <v>73</v>
      </c>
      <c r="AA44" s="12"/>
      <c r="AB44" s="12"/>
      <c r="AC44" s="12"/>
      <c r="AD44" s="12"/>
      <c r="AE44" s="12"/>
      <c r="AF44" s="12"/>
      <c r="AG44" s="12"/>
      <c r="AH44" s="12"/>
      <c r="AI44" s="15"/>
      <c r="AJ44" s="8"/>
    </row>
    <row r="45" spans="1:36" s="9" customFormat="1" ht="41.45" customHeight="1">
      <c r="A45" s="46">
        <v>2025</v>
      </c>
      <c r="B45" s="19" t="str">
        <f>IF(M45="",   "",   TEXT(M45,   "[$-en-US]mmm"))</f>
        <v>Feb</v>
      </c>
      <c r="C45" s="19" t="s">
        <v>36</v>
      </c>
      <c r="D45" s="19" t="s">
        <v>47</v>
      </c>
      <c r="E45" s="13" t="s">
        <v>191</v>
      </c>
      <c r="F45" s="13" t="s">
        <v>88</v>
      </c>
      <c r="G45" s="13"/>
      <c r="H45" s="13" t="s">
        <v>192</v>
      </c>
      <c r="I45" s="12" t="s">
        <v>42</v>
      </c>
      <c r="J45" s="12" t="s">
        <v>43</v>
      </c>
      <c r="K45" s="12" t="s">
        <v>115</v>
      </c>
      <c r="L45" s="12" t="s">
        <v>44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ca="1">IF(P45="",                                                                                                                                                                                                   "",
   IF(OR(I45="O-General",                                                                                                                                                                                                   I45="S-General"),
      IF(P45&lt;=30,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IF(I45="S-Special",
         IF(P45&lt;=45,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5" s="13"/>
      <c r="S45" s="12"/>
      <c r="T45" s="12"/>
      <c r="U45" s="12"/>
      <c r="V45" s="12"/>
      <c r="W45" s="10">
        <v>45931</v>
      </c>
      <c r="X45" s="12"/>
      <c r="Y45" s="12"/>
      <c r="Z45" s="29" t="s">
        <v>54</v>
      </c>
      <c r="AA45" s="12"/>
      <c r="AB45" s="12"/>
      <c r="AC45" s="12"/>
      <c r="AD45" s="12"/>
      <c r="AE45" s="12"/>
      <c r="AF45" s="12"/>
      <c r="AG45" s="12"/>
      <c r="AH45" s="12"/>
      <c r="AI45" s="15"/>
      <c r="AJ45" s="8"/>
    </row>
    <row r="46" spans="1:36" s="9" customFormat="1" ht="41.45" customHeight="1">
      <c r="A46" s="46">
        <v>2025</v>
      </c>
      <c r="B46" s="19" t="str">
        <f>IF(M46="",   "",   TEXT(M46,   "[$-en-US]mmm"))</f>
        <v>Feb</v>
      </c>
      <c r="C46" s="19" t="s">
        <v>36</v>
      </c>
      <c r="D46" s="19" t="s">
        <v>181</v>
      </c>
      <c r="E46" s="13" t="s">
        <v>193</v>
      </c>
      <c r="F46" s="13" t="s">
        <v>88</v>
      </c>
      <c r="G46" s="13" t="s">
        <v>194</v>
      </c>
      <c r="H46" s="13" t="s">
        <v>195</v>
      </c>
      <c r="I46" s="12" t="s">
        <v>42</v>
      </c>
      <c r="J46" s="12" t="s">
        <v>43</v>
      </c>
      <c r="K46" s="12" t="s">
        <v>53</v>
      </c>
      <c r="L46" s="12" t="s">
        <v>44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ca="1">IF(P46="",                                                                                                                                                                                                   "",
   IF(OR(I46="O-General",                                                                                                                                                                                                   I46="S-General"),
      IF(P46&lt;=30,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IF(I46="S-Special",
         IF(P46&lt;=45,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6" s="13"/>
      <c r="S46" s="12"/>
      <c r="T46" s="12"/>
      <c r="U46" s="12"/>
      <c r="V46" s="12"/>
      <c r="W46" s="10"/>
      <c r="X46" s="12"/>
      <c r="Y46" s="12"/>
      <c r="Z46" s="28" t="s">
        <v>54</v>
      </c>
      <c r="AA46" s="12"/>
      <c r="AB46" s="12"/>
      <c r="AC46" s="12"/>
      <c r="AD46" s="12"/>
      <c r="AE46" s="12"/>
      <c r="AF46" s="12"/>
      <c r="AG46" s="12"/>
      <c r="AH46" s="12"/>
      <c r="AI46" s="15"/>
      <c r="AJ46" s="8"/>
    </row>
    <row r="47" spans="1:36" s="9" customFormat="1" ht="41.45" customHeight="1">
      <c r="A47" s="46">
        <v>2025</v>
      </c>
      <c r="B47" s="19" t="str">
        <f>IF(M47="",   "",   TEXT(M47,   "[$-en-US]mmm"))</f>
        <v>Feb</v>
      </c>
      <c r="C47" s="19" t="s">
        <v>36</v>
      </c>
      <c r="D47" s="19" t="s">
        <v>196</v>
      </c>
      <c r="E47" s="13" t="s">
        <v>196</v>
      </c>
      <c r="F47" s="13" t="s">
        <v>183</v>
      </c>
      <c r="G47" s="13" t="s">
        <v>184</v>
      </c>
      <c r="H47" s="13" t="s">
        <v>197</v>
      </c>
      <c r="I47" s="12" t="s">
        <v>83</v>
      </c>
      <c r="J47" s="12" t="s">
        <v>84</v>
      </c>
      <c r="K47" s="12" t="s">
        <v>115</v>
      </c>
      <c r="L47" s="12" t="s">
        <v>85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ca="1">IF(P47="",                                                                                                                                                                                                   "",
   IF(OR(I47="O-General",                                                                                                                                                                                                   I47="S-General"),
      IF(P47&lt;=30,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IF(I47="S-Special",
         IF(P47&lt;=45,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15"/>
      <c r="AJ47" s="8"/>
    </row>
    <row r="48" spans="1:36" s="9" customFormat="1" ht="41.45" customHeight="1">
      <c r="A48" s="46">
        <v>2025</v>
      </c>
      <c r="B48" s="19" t="str">
        <f>IF(M48="",   "",   TEXT(M48,   "[$-en-US]mmm"))</f>
        <v>Feb</v>
      </c>
      <c r="C48" s="19" t="s">
        <v>36</v>
      </c>
      <c r="D48" s="19" t="s">
        <v>196</v>
      </c>
      <c r="E48" s="13" t="s">
        <v>196</v>
      </c>
      <c r="F48" s="13" t="s">
        <v>183</v>
      </c>
      <c r="G48" s="13" t="s">
        <v>184</v>
      </c>
      <c r="H48" s="13" t="s">
        <v>198</v>
      </c>
      <c r="I48" s="12" t="s">
        <v>83</v>
      </c>
      <c r="J48" s="12" t="s">
        <v>43</v>
      </c>
      <c r="K48" s="12" t="s">
        <v>115</v>
      </c>
      <c r="L48" s="12" t="s">
        <v>44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ca="1">IF(P48="",                                                                                                                                                                                                   "",
   IF(OR(I48="O-General",                                                                                                                                                                                                   I48="S-General"),
      IF(P48&lt;=30,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IF(I48="S-Special",
         IF(P48&lt;=45,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8" s="13"/>
      <c r="S48" s="12"/>
      <c r="T48" s="12"/>
      <c r="U48" s="12"/>
      <c r="V48" s="12"/>
      <c r="W48" s="10">
        <v>46143</v>
      </c>
      <c r="X48" s="12"/>
      <c r="Y48" s="12"/>
      <c r="Z48" s="28" t="s">
        <v>161</v>
      </c>
      <c r="AA48" s="12"/>
      <c r="AB48" s="12"/>
      <c r="AC48" s="12"/>
      <c r="AD48" s="12"/>
      <c r="AE48" s="12"/>
      <c r="AF48" s="12"/>
      <c r="AG48" s="12"/>
      <c r="AH48" s="12"/>
      <c r="AI48" s="15"/>
      <c r="AJ48" s="8"/>
    </row>
    <row r="49" spans="1:36" s="9" customFormat="1" ht="41.45" customHeight="1">
      <c r="A49" s="46">
        <v>2025</v>
      </c>
      <c r="B49" s="19" t="str">
        <f>IF(M49="",   "",   TEXT(M49,   "[$-en-US]mmm"))</f>
        <v>Feb</v>
      </c>
      <c r="C49" s="19" t="s">
        <v>36</v>
      </c>
      <c r="D49" s="19" t="s">
        <v>199</v>
      </c>
      <c r="E49" s="13" t="s">
        <v>200</v>
      </c>
      <c r="F49" s="13" t="s">
        <v>76</v>
      </c>
      <c r="G49" s="13" t="s">
        <v>77</v>
      </c>
      <c r="H49" s="13" t="s">
        <v>201</v>
      </c>
      <c r="I49" s="12" t="s">
        <v>42</v>
      </c>
      <c r="J49" s="12" t="s">
        <v>43</v>
      </c>
      <c r="K49" s="12" t="s">
        <v>53</v>
      </c>
      <c r="L49" s="12" t="s">
        <v>44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ca="1">IF(P49="",                                                                                                                                                                                                   "",
   IF(OR(I49="O-General",                                                                                                                                                                                                   I49="S-General"),
      IF(P49&lt;=30,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IF(I49="S-Special",
         IF(P49&lt;=45,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9" s="13"/>
      <c r="S49" s="12"/>
      <c r="T49" s="12"/>
      <c r="U49" s="12"/>
      <c r="V49" s="12"/>
      <c r="W49" s="10">
        <v>45824</v>
      </c>
      <c r="X49" s="12"/>
      <c r="Y49" s="12"/>
      <c r="Z49" s="29" t="s">
        <v>45</v>
      </c>
      <c r="AA49" s="12"/>
      <c r="AB49" s="12"/>
      <c r="AC49" s="12"/>
      <c r="AD49" s="12"/>
      <c r="AE49" s="12"/>
      <c r="AF49" s="12"/>
      <c r="AG49" s="12"/>
      <c r="AH49" s="12"/>
      <c r="AI49" s="15"/>
      <c r="AJ49" s="8"/>
    </row>
    <row r="50" spans="1:36" s="9" customFormat="1" ht="41.45" customHeight="1">
      <c r="A50" s="46">
        <v>2025</v>
      </c>
      <c r="B50" s="19" t="str">
        <f>IF(M50="",   "",   TEXT(M50,   "[$-en-US]mmm"))</f>
        <v>Feb</v>
      </c>
      <c r="C50" s="19" t="s">
        <v>36</v>
      </c>
      <c r="D50" s="19" t="s">
        <v>181</v>
      </c>
      <c r="E50" s="13" t="s">
        <v>182</v>
      </c>
      <c r="F50" s="13" t="s">
        <v>183</v>
      </c>
      <c r="G50" s="13" t="s">
        <v>184</v>
      </c>
      <c r="H50" s="13" t="s">
        <v>198</v>
      </c>
      <c r="I50" s="12" t="s">
        <v>42</v>
      </c>
      <c r="J50" s="12" t="s">
        <v>43</v>
      </c>
      <c r="K50" s="12" t="s">
        <v>53</v>
      </c>
      <c r="L50" s="12" t="s">
        <v>44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ca="1">IF(P50="",                                                                                                                                                                                                   "",
   IF(OR(I50="O-General",                                                                                                                                                                                                   I50="S-General"),
      IF(P50&lt;=30,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IF(I50="S-Special",
         IF(P50&lt;=45,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0" s="13"/>
      <c r="S50" s="12"/>
      <c r="T50" s="12"/>
      <c r="U50" s="12"/>
      <c r="V50" s="12"/>
      <c r="W50" s="10"/>
      <c r="X50" s="12"/>
      <c r="Y50" s="12"/>
      <c r="Z50" s="29" t="s">
        <v>73</v>
      </c>
      <c r="AA50" s="12"/>
      <c r="AB50" s="12"/>
      <c r="AC50" s="12"/>
      <c r="AD50" s="12"/>
      <c r="AE50" s="12"/>
      <c r="AF50" s="12"/>
      <c r="AG50" s="12"/>
      <c r="AH50" s="12"/>
      <c r="AI50" s="15"/>
      <c r="AJ50" s="8"/>
    </row>
    <row r="51" spans="1:36" s="9" customFormat="1" ht="41.45" customHeight="1">
      <c r="A51" s="46">
        <v>2025</v>
      </c>
      <c r="B51" s="19" t="str">
        <f>IF(M51="",   "",   TEXT(M51,   "[$-en-US]mmm"))</f>
        <v>Feb</v>
      </c>
      <c r="C51" s="19" t="s">
        <v>36</v>
      </c>
      <c r="D51" s="19" t="s">
        <v>202</v>
      </c>
      <c r="E51" s="13" t="s">
        <v>202</v>
      </c>
      <c r="F51" s="13" t="s">
        <v>39</v>
      </c>
      <c r="G51" s="13" t="s">
        <v>203</v>
      </c>
      <c r="H51" s="13" t="s">
        <v>204</v>
      </c>
      <c r="I51" s="12" t="s">
        <v>42</v>
      </c>
      <c r="J51" s="12" t="s">
        <v>43</v>
      </c>
      <c r="K51" s="12" t="s">
        <v>53</v>
      </c>
      <c r="L51" s="12" t="s">
        <v>44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ca="1">IF(P51="",                                                                                                                                                                                                   "",
   IF(OR(I51="O-General",                                                                                                                                                                                                   I51="S-General"),
      IF(P51&lt;=30,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IF(I51="S-Special",
         IF(P51&lt;=45,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1" s="13"/>
      <c r="S51" s="12"/>
      <c r="T51" s="12"/>
      <c r="U51" s="12"/>
      <c r="V51" s="12"/>
      <c r="W51" s="10"/>
      <c r="X51" s="12"/>
      <c r="Y51" s="12"/>
      <c r="Z51" s="29" t="s">
        <v>54</v>
      </c>
      <c r="AA51" s="12"/>
      <c r="AB51" s="12"/>
      <c r="AC51" s="12"/>
      <c r="AD51" s="12"/>
      <c r="AE51" s="12"/>
      <c r="AF51" s="12"/>
      <c r="AG51" s="12"/>
      <c r="AH51" s="12"/>
      <c r="AI51" s="15"/>
      <c r="AJ51" s="8"/>
    </row>
    <row r="52" spans="1:36" s="9" customFormat="1" ht="41.45" customHeight="1">
      <c r="A52" s="46">
        <v>2025</v>
      </c>
      <c r="B52" s="19" t="str">
        <f>IF(M52="",   "",   TEXT(M52,   "[$-en-US]mmm"))</f>
        <v>Feb</v>
      </c>
      <c r="C52" s="19" t="s">
        <v>36</v>
      </c>
      <c r="D52" s="19" t="s">
        <v>205</v>
      </c>
      <c r="E52" s="13" t="s">
        <v>206</v>
      </c>
      <c r="F52" s="13" t="s">
        <v>62</v>
      </c>
      <c r="G52" s="13" t="s">
        <v>95</v>
      </c>
      <c r="H52" s="13" t="s">
        <v>207</v>
      </c>
      <c r="I52" s="12" t="s">
        <v>83</v>
      </c>
      <c r="J52" s="12" t="s">
        <v>43</v>
      </c>
      <c r="K52" s="12" t="s">
        <v>53</v>
      </c>
      <c r="L52" s="12" t="s">
        <v>44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ca="1">IF(P52="",                                                                                                                                                                                                   "",
   IF(OR(I52="O-General",                                                                                                                                                                                                   I52="S-General"),
      IF(P52&lt;=30,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IF(I52="S-Special",
         IF(P52&lt;=45,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2" s="13"/>
      <c r="S52" s="12"/>
      <c r="T52" s="12"/>
      <c r="U52" s="12"/>
      <c r="V52" s="12"/>
      <c r="W52" s="10"/>
      <c r="X52" s="12"/>
      <c r="Y52" s="12"/>
      <c r="Z52" s="29" t="s">
        <v>73</v>
      </c>
      <c r="AA52" s="12"/>
      <c r="AB52" s="12"/>
      <c r="AC52" s="12"/>
      <c r="AD52" s="12"/>
      <c r="AE52" s="12"/>
      <c r="AF52" s="12"/>
      <c r="AG52" s="12"/>
      <c r="AH52" s="12"/>
      <c r="AI52" s="15"/>
      <c r="AJ52" s="8"/>
    </row>
    <row r="53" spans="1:36" s="9" customFormat="1" ht="41.45" customHeight="1">
      <c r="A53" s="46">
        <v>2025</v>
      </c>
      <c r="B53" s="19" t="str">
        <f>IF(M53="",   "",   TEXT(M53,   "[$-en-US]mmm"))</f>
        <v>Feb</v>
      </c>
      <c r="C53" s="19" t="s">
        <v>36</v>
      </c>
      <c r="D53" s="19" t="s">
        <v>208</v>
      </c>
      <c r="E53" s="13" t="s">
        <v>208</v>
      </c>
      <c r="F53" s="13" t="s">
        <v>209</v>
      </c>
      <c r="G53" s="13" t="s">
        <v>210</v>
      </c>
      <c r="H53" s="13" t="s">
        <v>211</v>
      </c>
      <c r="I53" s="12" t="s">
        <v>83</v>
      </c>
      <c r="J53" s="12" t="s">
        <v>84</v>
      </c>
      <c r="K53" s="12" t="s">
        <v>53</v>
      </c>
      <c r="L53" s="12" t="s">
        <v>85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ca="1">IF(P53="",                                                                                                                                                                                                   "",
   IF(OR(I53="O-General",                                                                                                                                                                                                   I53="S-General"),
      IF(P53&lt;=30,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IF(I53="S-Special",
         IF(P53&lt;=45,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3" s="13"/>
      <c r="S53" s="12"/>
      <c r="T53" s="12"/>
      <c r="U53" s="12"/>
      <c r="V53" s="12"/>
      <c r="W53" s="10"/>
      <c r="X53" s="12"/>
      <c r="Y53" s="12"/>
      <c r="Z53" s="29" t="s">
        <v>73</v>
      </c>
      <c r="AA53" s="12"/>
      <c r="AB53" s="12"/>
      <c r="AC53" s="12"/>
      <c r="AD53" s="12"/>
      <c r="AE53" s="12"/>
      <c r="AF53" s="12"/>
      <c r="AG53" s="12"/>
      <c r="AH53" s="12"/>
      <c r="AI53" s="15"/>
      <c r="AJ53" s="8"/>
    </row>
    <row r="54" spans="1:36" s="9" customFormat="1" ht="41.45" customHeight="1">
      <c r="A54" s="46">
        <v>2025</v>
      </c>
      <c r="B54" s="19" t="str">
        <f>IF(M54="",   "",   TEXT(M54,   "[$-en-US]mmm"))</f>
        <v>Mar</v>
      </c>
      <c r="C54" s="19" t="s">
        <v>46</v>
      </c>
      <c r="D54" s="19" t="s">
        <v>47</v>
      </c>
      <c r="E54" s="13" t="s">
        <v>127</v>
      </c>
      <c r="F54" s="13" t="s">
        <v>128</v>
      </c>
      <c r="G54" s="13" t="s">
        <v>129</v>
      </c>
      <c r="H54" s="13" t="s">
        <v>212</v>
      </c>
      <c r="I54" s="12" t="s">
        <v>42</v>
      </c>
      <c r="J54" s="12" t="s">
        <v>43</v>
      </c>
      <c r="K54" s="12" t="s">
        <v>53</v>
      </c>
      <c r="L54" s="12" t="s">
        <v>44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ca="1">IF(P54="",                                                                                                                                                                                                   "",
   IF(OR(I54="O-General",                                                                                                                                                                                                   I54="S-General"),
      IF(P54&lt;=30,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IF(I54="S-Special",
         IF(P54&lt;=45,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173</v>
      </c>
      <c r="AA54" s="12"/>
      <c r="AB54" s="12"/>
      <c r="AC54" s="12"/>
      <c r="AD54" s="12"/>
      <c r="AE54" s="12"/>
      <c r="AF54" s="12"/>
      <c r="AG54" s="12"/>
      <c r="AH54" s="12"/>
      <c r="AI54" s="15"/>
      <c r="AJ54" s="8"/>
    </row>
    <row r="55" spans="1:36" s="9" customFormat="1" ht="41.45" customHeight="1">
      <c r="A55" s="46">
        <v>2025</v>
      </c>
      <c r="B55" s="19" t="str">
        <f>IF(M55="",   "",   TEXT(M55,   "[$-en-US]mmm"))</f>
        <v>Mar</v>
      </c>
      <c r="C55" s="19" t="s">
        <v>46</v>
      </c>
      <c r="D55" s="19" t="s">
        <v>47</v>
      </c>
      <c r="E55" s="13" t="s">
        <v>130</v>
      </c>
      <c r="F55" s="13" t="s">
        <v>128</v>
      </c>
      <c r="G55" s="13" t="s">
        <v>213</v>
      </c>
      <c r="H55" s="13" t="s">
        <v>214</v>
      </c>
      <c r="I55" s="12" t="s">
        <v>42</v>
      </c>
      <c r="J55" s="12" t="s">
        <v>43</v>
      </c>
      <c r="K55" s="12" t="s">
        <v>115</v>
      </c>
      <c r="L55" s="12" t="s">
        <v>44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ca="1">IF(P55="",                                                                                                                                                                                                   "",
   IF(OR(I55="O-General",                                                                                                                                                                                                   I55="S-General"),
      IF(P55&lt;=30,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IF(I55="S-Special",
         IF(P55&lt;=45,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173</v>
      </c>
      <c r="AA55" s="12"/>
      <c r="AB55" s="12"/>
      <c r="AC55" s="12"/>
      <c r="AD55" s="12"/>
      <c r="AE55" s="12"/>
      <c r="AF55" s="12"/>
      <c r="AG55" s="12"/>
      <c r="AH55" s="12"/>
      <c r="AI55" s="15"/>
      <c r="AJ55" s="8"/>
    </row>
    <row r="56" spans="1:36" s="9" customFormat="1" ht="41.45" customHeight="1">
      <c r="A56" s="46">
        <v>2025</v>
      </c>
      <c r="B56" s="19" t="str">
        <f>IF(M56="",   "",   TEXT(M56,   "[$-en-US]mmm"))</f>
        <v>Mar</v>
      </c>
      <c r="C56" s="19" t="s">
        <v>36</v>
      </c>
      <c r="D56" s="19" t="s">
        <v>215</v>
      </c>
      <c r="E56" s="13" t="s">
        <v>139</v>
      </c>
      <c r="F56" s="13" t="s">
        <v>62</v>
      </c>
      <c r="G56" s="13" t="s">
        <v>105</v>
      </c>
      <c r="H56" s="13"/>
      <c r="I56" s="12" t="s">
        <v>42</v>
      </c>
      <c r="J56" s="12" t="s">
        <v>43</v>
      </c>
      <c r="K56" s="12"/>
      <c r="L56" s="12" t="s">
        <v>44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ca="1">IF(P56="",                                                                                                                                                                                                   "",
   IF(OR(I56="O-General",                                                                                                                                                                                                   I56="S-General"),
      IF(P56&lt;=30,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IF(I56="S-Special",
         IF(P56&lt;=45,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6" s="13"/>
      <c r="S56" s="12"/>
      <c r="T56" s="12"/>
      <c r="U56" s="12"/>
      <c r="V56" s="12"/>
      <c r="W56" s="10"/>
      <c r="X56" s="12"/>
      <c r="Y56" s="12"/>
      <c r="Z56" s="29" t="s">
        <v>216</v>
      </c>
      <c r="AA56" s="12"/>
      <c r="AB56" s="12"/>
      <c r="AC56" s="12"/>
      <c r="AD56" s="12"/>
      <c r="AE56" s="12"/>
      <c r="AF56" s="12"/>
      <c r="AG56" s="12"/>
      <c r="AH56" s="12"/>
      <c r="AI56" s="15"/>
      <c r="AJ56" s="8"/>
    </row>
    <row r="57" spans="1:36" s="9" customFormat="1" ht="41.45" customHeight="1">
      <c r="A57" s="46">
        <v>2025</v>
      </c>
      <c r="B57" s="19" t="str">
        <f>IF(M57="",   "",   TEXT(M57,   "[$-en-US]mmm"))</f>
        <v>Mar</v>
      </c>
      <c r="C57" s="19" t="s">
        <v>36</v>
      </c>
      <c r="D57" s="19" t="s">
        <v>196</v>
      </c>
      <c r="E57" s="13" t="s">
        <v>196</v>
      </c>
      <c r="F57" s="13" t="s">
        <v>80</v>
      </c>
      <c r="G57" s="13" t="s">
        <v>81</v>
      </c>
      <c r="H57" s="13" t="s">
        <v>217</v>
      </c>
      <c r="I57" s="12" t="s">
        <v>83</v>
      </c>
      <c r="J57" s="12" t="s">
        <v>84</v>
      </c>
      <c r="K57" s="12" t="s">
        <v>115</v>
      </c>
      <c r="L57" s="12" t="s">
        <v>85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ca="1">IF(P57="",                                                                                                                                                                                                   "",
   IF(OR(I57="O-General",                                                                                                                                                                                                   I57="S-General"),
      IF(P57&lt;=30,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IF(I57="S-Special",
         IF(P57&lt;=45,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15"/>
      <c r="AJ57" s="8"/>
    </row>
    <row r="58" spans="1:36" s="9" customFormat="1" ht="41.45" customHeight="1">
      <c r="A58" s="46">
        <v>2025</v>
      </c>
      <c r="B58" s="19" t="str">
        <f>IF(M58="",   "",   TEXT(M58,   "[$-en-US]mmm"))</f>
        <v>Mar</v>
      </c>
      <c r="C58" s="19" t="s">
        <v>36</v>
      </c>
      <c r="D58" s="19" t="s">
        <v>196</v>
      </c>
      <c r="E58" s="13" t="s">
        <v>196</v>
      </c>
      <c r="F58" s="13" t="s">
        <v>80</v>
      </c>
      <c r="G58" s="13" t="s">
        <v>218</v>
      </c>
      <c r="H58" s="13" t="s">
        <v>219</v>
      </c>
      <c r="I58" s="12" t="s">
        <v>83</v>
      </c>
      <c r="J58" s="12" t="s">
        <v>43</v>
      </c>
      <c r="K58" s="12" t="s">
        <v>115</v>
      </c>
      <c r="L58" s="12" t="s">
        <v>44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ca="1">IF(P58="",                                                                                                                                                                                                   "",
   IF(OR(I58="O-General",                                                                                                                                                                                                   I58="S-General"),
      IF(P58&lt;=30,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IF(I58="S-Special",
         IF(P58&lt;=45,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8" s="13"/>
      <c r="S58" s="12"/>
      <c r="T58" s="12"/>
      <c r="U58" s="12"/>
      <c r="V58" s="12"/>
      <c r="W58" s="10"/>
      <c r="X58" s="12"/>
      <c r="Y58" s="12"/>
      <c r="Z58" s="30" t="s">
        <v>220</v>
      </c>
      <c r="AA58" s="12"/>
      <c r="AB58" s="12"/>
      <c r="AC58" s="12"/>
      <c r="AD58" s="12"/>
      <c r="AE58" s="12"/>
      <c r="AF58" s="12"/>
      <c r="AG58" s="12"/>
      <c r="AH58" s="12"/>
      <c r="AI58" s="15"/>
      <c r="AJ58" s="8"/>
    </row>
    <row r="59" spans="1:36" s="9" customFormat="1" ht="41.45" customHeight="1">
      <c r="A59" s="46">
        <v>2025</v>
      </c>
      <c r="B59" s="19" t="str">
        <f>IF(M59="",   "",   TEXT(M59,   "[$-en-US]mmm"))</f>
        <v>Mar</v>
      </c>
      <c r="C59" s="19" t="s">
        <v>36</v>
      </c>
      <c r="D59" s="19" t="s">
        <v>110</v>
      </c>
      <c r="E59" s="13" t="s">
        <v>110</v>
      </c>
      <c r="F59" s="13" t="s">
        <v>112</v>
      </c>
      <c r="G59" s="13" t="s">
        <v>113</v>
      </c>
      <c r="H59" s="13" t="s">
        <v>221</v>
      </c>
      <c r="I59" s="12" t="s">
        <v>52</v>
      </c>
      <c r="J59" s="12" t="s">
        <v>43</v>
      </c>
      <c r="K59" s="12" t="s">
        <v>53</v>
      </c>
      <c r="L59" s="12" t="s">
        <v>44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ca="1">IF(P59="",                                                                                                                                                                                                   "",
   IF(OR(I59="O-General",                                                                                                                                                                                                   I59="S-General"),
      IF(P59&lt;=30,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IF(I59="S-Special",
         IF(P59&lt;=45,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9" s="13"/>
      <c r="S59" s="12"/>
      <c r="T59" s="12"/>
      <c r="U59" s="12"/>
      <c r="V59" s="12"/>
      <c r="W59" s="10">
        <v>45977</v>
      </c>
      <c r="X59" s="12"/>
      <c r="Y59" s="8"/>
      <c r="Z59" s="31" t="s">
        <v>216</v>
      </c>
      <c r="AA59" s="23"/>
      <c r="AB59" s="12"/>
      <c r="AC59" s="12"/>
      <c r="AD59" s="12"/>
      <c r="AE59" s="12"/>
      <c r="AF59" s="12"/>
      <c r="AG59" s="12"/>
      <c r="AH59" s="12"/>
      <c r="AI59" s="15"/>
      <c r="AJ59" s="8"/>
    </row>
    <row r="60" spans="1:36" s="9" customFormat="1" ht="41.45" customHeight="1">
      <c r="A60" s="46">
        <v>2025</v>
      </c>
      <c r="B60" s="19" t="str">
        <f>IF(M60="",   "",   TEXT(M60,   "[$-en-US]mmm"))</f>
        <v>Mar</v>
      </c>
      <c r="C60" s="19" t="s">
        <v>36</v>
      </c>
      <c r="D60" s="19" t="s">
        <v>163</v>
      </c>
      <c r="E60" s="13" t="s">
        <v>222</v>
      </c>
      <c r="F60" s="13" t="s">
        <v>88</v>
      </c>
      <c r="G60" s="13" t="s">
        <v>100</v>
      </c>
      <c r="H60" s="13" t="s">
        <v>223</v>
      </c>
      <c r="I60" s="12" t="s">
        <v>83</v>
      </c>
      <c r="J60" s="12" t="s">
        <v>43</v>
      </c>
      <c r="K60" s="12" t="s">
        <v>53</v>
      </c>
      <c r="L60" s="12" t="s">
        <v>44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ca="1">IF(P60="",                                                                                                                                                                                                   "",
   IF(OR(I60="O-General",                                                                                                                                                                                                   I60="S-General"),
      IF(P60&lt;=30,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IF(I60="S-Special",
         IF(P60&lt;=45,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0" s="13"/>
      <c r="S60" s="12"/>
      <c r="T60" s="12"/>
      <c r="U60" s="12"/>
      <c r="V60" s="12"/>
      <c r="W60" s="10">
        <v>45854</v>
      </c>
      <c r="X60" s="12"/>
      <c r="Y60" s="8"/>
      <c r="Z60" s="31" t="s">
        <v>216</v>
      </c>
      <c r="AA60" s="23"/>
      <c r="AB60" s="12"/>
      <c r="AC60" s="12"/>
      <c r="AD60" s="12"/>
      <c r="AE60" s="12"/>
      <c r="AF60" s="12"/>
      <c r="AG60" s="12"/>
      <c r="AH60" s="12"/>
      <c r="AI60" s="15"/>
      <c r="AJ60" s="8"/>
    </row>
    <row r="61" spans="1:36" s="9" customFormat="1" ht="41.45" customHeight="1">
      <c r="A61" s="46">
        <v>2025</v>
      </c>
      <c r="B61" s="19" t="str">
        <f>IF(M61="",   "",   TEXT(M61,   "[$-en-US]mmm"))</f>
        <v>Apr</v>
      </c>
      <c r="C61" s="19" t="s">
        <v>46</v>
      </c>
      <c r="D61" s="19" t="s">
        <v>47</v>
      </c>
      <c r="E61" s="13" t="s">
        <v>224</v>
      </c>
      <c r="F61" s="13" t="s">
        <v>128</v>
      </c>
      <c r="G61" s="13" t="s">
        <v>225</v>
      </c>
      <c r="H61" s="13" t="s">
        <v>226</v>
      </c>
      <c r="I61" s="12" t="s">
        <v>42</v>
      </c>
      <c r="J61" s="12" t="s">
        <v>43</v>
      </c>
      <c r="K61" s="12" t="s">
        <v>53</v>
      </c>
      <c r="L61" s="12" t="s">
        <v>44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ca="1">IF(P61="",                                                                                                                                                                                                   "",
   IF(OR(I61="O-General",                                                                                                                                                                                                   I61="S-General"),
      IF(P61&lt;=30,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IF(I61="S-Special",
         IF(P61&lt;=45,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45</v>
      </c>
      <c r="AA61" s="23"/>
      <c r="AB61" s="12"/>
      <c r="AC61" s="12"/>
      <c r="AD61" s="12"/>
      <c r="AE61" s="12"/>
      <c r="AF61" s="12"/>
      <c r="AG61" s="12"/>
      <c r="AH61" s="12"/>
      <c r="AI61" s="15"/>
      <c r="AJ61" s="8"/>
    </row>
    <row r="62" spans="1:36" s="9" customFormat="1" ht="41.45" customHeight="1">
      <c r="A62" s="46">
        <v>2025</v>
      </c>
      <c r="B62" s="19" t="str">
        <f>IF(M62="",   "",   TEXT(M62,   "[$-en-US]mmm"))</f>
        <v>Apr</v>
      </c>
      <c r="C62" s="19" t="s">
        <v>46</v>
      </c>
      <c r="D62" s="19" t="s">
        <v>47</v>
      </c>
      <c r="E62" s="13" t="s">
        <v>119</v>
      </c>
      <c r="F62" s="13" t="s">
        <v>120</v>
      </c>
      <c r="G62" s="13" t="s">
        <v>121</v>
      </c>
      <c r="H62" s="13" t="s">
        <v>227</v>
      </c>
      <c r="I62" s="12" t="s">
        <v>42</v>
      </c>
      <c r="J62" s="12" t="s">
        <v>43</v>
      </c>
      <c r="K62" s="12" t="s">
        <v>53</v>
      </c>
      <c r="L62" s="12" t="s">
        <v>44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ca="1">IF(P62="",                                                                                                                                                                                                   "",
   IF(OR(I62="O-General",                                                                                                                                                                                                   I62="S-General"),
      IF(P62&lt;=30,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IF(I62="S-Special",
         IF(P62&lt;=45,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73</v>
      </c>
      <c r="AA62" s="12"/>
      <c r="AB62" s="12"/>
      <c r="AC62" s="12"/>
      <c r="AD62" s="12"/>
      <c r="AE62" s="12"/>
      <c r="AF62" s="12"/>
      <c r="AG62" s="12"/>
      <c r="AH62" s="12"/>
      <c r="AI62" s="15"/>
      <c r="AJ62" s="8"/>
    </row>
    <row r="63" spans="1:36" s="9" customFormat="1" ht="41.45" customHeight="1">
      <c r="A63" s="46">
        <v>2025</v>
      </c>
      <c r="B63" s="19" t="str">
        <f>IF(M63="",   "",   TEXT(M63,   "[$-en-US]mmm"))</f>
        <v>Apr</v>
      </c>
      <c r="C63" s="19" t="s">
        <v>46</v>
      </c>
      <c r="D63" s="19" t="s">
        <v>228</v>
      </c>
      <c r="E63" s="13" t="s">
        <v>228</v>
      </c>
      <c r="F63" s="13" t="s">
        <v>171</v>
      </c>
      <c r="G63" s="13" t="s">
        <v>229</v>
      </c>
      <c r="H63" s="13" t="s">
        <v>230</v>
      </c>
      <c r="I63" s="12" t="s">
        <v>42</v>
      </c>
      <c r="J63" s="12" t="s">
        <v>43</v>
      </c>
      <c r="K63" s="12" t="s">
        <v>115</v>
      </c>
      <c r="L63" s="12" t="s">
        <v>44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ca="1">IF(P63="",                                                                                                                                                                                                   "",
   IF(OR(I63="O-General",                                                                                                                                                                                                   I63="S-General"),
      IF(P63&lt;=30,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IF(I63="S-Special",
         IF(P63&lt;=45,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54</v>
      </c>
      <c r="AA63" s="12"/>
      <c r="AB63" s="12"/>
      <c r="AC63" s="12"/>
      <c r="AD63" s="12"/>
      <c r="AE63" s="12"/>
      <c r="AF63" s="12"/>
      <c r="AG63" s="12"/>
      <c r="AH63" s="12"/>
      <c r="AI63" s="15"/>
      <c r="AJ63" s="8"/>
    </row>
    <row r="64" spans="1:36" s="9" customFormat="1" ht="41.45" customHeight="1">
      <c r="A64" s="46">
        <v>2025</v>
      </c>
      <c r="B64" s="19" t="str">
        <f>IF(M64="",   "",   TEXT(M64,   "[$-en-US]mmm"))</f>
        <v>Apr</v>
      </c>
      <c r="C64" s="19" t="s">
        <v>36</v>
      </c>
      <c r="D64" s="19" t="s">
        <v>231</v>
      </c>
      <c r="E64" s="13" t="s">
        <v>232</v>
      </c>
      <c r="F64" s="13" t="s">
        <v>88</v>
      </c>
      <c r="G64" s="13" t="s">
        <v>233</v>
      </c>
      <c r="H64" s="13" t="s">
        <v>234</v>
      </c>
      <c r="I64" s="12" t="s">
        <v>42</v>
      </c>
      <c r="J64" s="12" t="s">
        <v>43</v>
      </c>
      <c r="K64" s="12" t="s">
        <v>53</v>
      </c>
      <c r="L64" s="12" t="s">
        <v>44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ca="1">IF(P64="",                                                                                                                                                                                                   "",
   IF(OR(I64="O-General",                                                                                                                                                                                                   I64="S-General"),
      IF(P64&lt;=30,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IF(I64="S-Special",
         IF(P64&lt;=45,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4" s="13"/>
      <c r="S64" s="12"/>
      <c r="T64" s="12"/>
      <c r="U64" s="12"/>
      <c r="V64" s="12"/>
      <c r="W64" s="10">
        <v>45839</v>
      </c>
      <c r="X64" s="12"/>
      <c r="Y64" s="12"/>
      <c r="Z64" s="29" t="s">
        <v>73</v>
      </c>
      <c r="AA64" s="12"/>
      <c r="AB64" s="12"/>
      <c r="AC64" s="12"/>
      <c r="AD64" s="12"/>
      <c r="AE64" s="12"/>
      <c r="AF64" s="12"/>
      <c r="AG64" s="12"/>
      <c r="AH64" s="12"/>
      <c r="AI64" s="15"/>
      <c r="AJ64" s="8"/>
    </row>
    <row r="65" spans="1:36" s="9" customFormat="1" ht="41.45" customHeight="1">
      <c r="A65" s="46">
        <v>2025</v>
      </c>
      <c r="B65" s="19" t="str">
        <f>IF(M65="",   "",   TEXT(M65,   "[$-en-US]mmm"))</f>
        <v>Apr</v>
      </c>
      <c r="C65" s="19" t="s">
        <v>36</v>
      </c>
      <c r="D65" s="19" t="s">
        <v>235</v>
      </c>
      <c r="E65" s="13" t="s">
        <v>236</v>
      </c>
      <c r="F65" s="13" t="s">
        <v>62</v>
      </c>
      <c r="G65" s="13" t="s">
        <v>237</v>
      </c>
      <c r="H65" s="13" t="s">
        <v>223</v>
      </c>
      <c r="I65" s="12" t="s">
        <v>42</v>
      </c>
      <c r="J65" s="12" t="s">
        <v>43</v>
      </c>
      <c r="K65" s="12" t="s">
        <v>53</v>
      </c>
      <c r="L65" s="12" t="s">
        <v>44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ca="1">IF(P65="",                                                                                                                                                                                                   "",
   IF(OR(I65="O-General",                                                                                                                                                                                                   I65="S-General"),
      IF(P65&lt;=30,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IF(I65="S-Special",
         IF(P65&lt;=45,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5" s="13"/>
      <c r="S65" s="12"/>
      <c r="T65" s="12"/>
      <c r="U65" s="12"/>
      <c r="V65" s="12"/>
      <c r="W65" s="10">
        <v>45931</v>
      </c>
      <c r="X65" s="12"/>
      <c r="Y65" s="12"/>
      <c r="Z65" s="28" t="s">
        <v>54</v>
      </c>
      <c r="AA65" s="12"/>
      <c r="AB65" s="12"/>
      <c r="AC65" s="12"/>
      <c r="AD65" s="12"/>
      <c r="AE65" s="12"/>
      <c r="AF65" s="12"/>
      <c r="AG65" s="12"/>
      <c r="AH65" s="12"/>
      <c r="AI65" s="15"/>
      <c r="AJ65" s="8"/>
    </row>
    <row r="66" spans="1:36" s="9" customFormat="1" ht="41.45" customHeight="1">
      <c r="A66" s="46">
        <v>2025</v>
      </c>
      <c r="B66" s="19" t="str">
        <f>IF(M66="",   "",   TEXT(M66,   "[$-en-US]mmm"))</f>
        <v>Apr</v>
      </c>
      <c r="C66" s="19" t="s">
        <v>36</v>
      </c>
      <c r="D66" s="19" t="s">
        <v>238</v>
      </c>
      <c r="E66" s="13" t="s">
        <v>238</v>
      </c>
      <c r="F66" s="13" t="s">
        <v>49</v>
      </c>
      <c r="G66" s="13" t="s">
        <v>98</v>
      </c>
      <c r="H66" s="13" t="s">
        <v>239</v>
      </c>
      <c r="I66" s="12" t="s">
        <v>52</v>
      </c>
      <c r="J66" s="12" t="s">
        <v>43</v>
      </c>
      <c r="K66" s="12" t="s">
        <v>53</v>
      </c>
      <c r="L66" s="12" t="s">
        <v>44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ca="1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/>
      <c r="Y66" s="12"/>
      <c r="Z66" s="29" t="s">
        <v>54</v>
      </c>
      <c r="AA66" s="12"/>
      <c r="AB66" s="12"/>
      <c r="AC66" s="12"/>
      <c r="AD66" s="12"/>
      <c r="AE66" s="12"/>
      <c r="AF66" s="12"/>
      <c r="AG66" s="12"/>
      <c r="AH66" s="12"/>
      <c r="AI66" s="15"/>
      <c r="AJ66" s="8"/>
    </row>
    <row r="67" spans="1:36" s="9" customFormat="1" ht="41.45" customHeight="1">
      <c r="A67" s="46">
        <v>2025</v>
      </c>
      <c r="B67" s="19" t="str">
        <f>IF(M67="",   "",   TEXT(M67,   "[$-en-US]mmm"))</f>
        <v>Apr</v>
      </c>
      <c r="C67" s="19" t="s">
        <v>36</v>
      </c>
      <c r="D67" s="19" t="s">
        <v>240</v>
      </c>
      <c r="E67" s="13" t="s">
        <v>241</v>
      </c>
      <c r="F67" s="13" t="s">
        <v>88</v>
      </c>
      <c r="G67" s="13" t="s">
        <v>100</v>
      </c>
      <c r="H67" s="13" t="s">
        <v>223</v>
      </c>
      <c r="I67" s="12" t="s">
        <v>83</v>
      </c>
      <c r="J67" s="12" t="s">
        <v>43</v>
      </c>
      <c r="K67" s="12" t="s">
        <v>53</v>
      </c>
      <c r="L67" s="12" t="s">
        <v>44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ca="1">IF(P67="",                                                                                                                                                                                                   "",
   IF(OR(I67="O-General",                                                                                                                                                                                                   I67="S-General"),
      IF(P67&lt;=30,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IF(I67="S-Special",
         IF(P67&lt;=45,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7" s="13"/>
      <c r="S67" s="12"/>
      <c r="T67" s="12"/>
      <c r="U67" s="12"/>
      <c r="V67" s="12"/>
      <c r="W67" s="10"/>
      <c r="X67" s="12"/>
      <c r="Y67" s="12"/>
      <c r="Z67" s="28" t="s">
        <v>73</v>
      </c>
      <c r="AA67" s="12"/>
      <c r="AB67" s="12"/>
      <c r="AC67" s="12"/>
      <c r="AD67" s="12"/>
      <c r="AE67" s="12"/>
      <c r="AF67" s="12"/>
      <c r="AG67" s="12"/>
      <c r="AH67" s="12"/>
      <c r="AI67" s="15"/>
      <c r="AJ67" s="8"/>
    </row>
    <row r="68" spans="1:36" s="9" customFormat="1" ht="41.45" customHeight="1">
      <c r="A68" s="46">
        <v>2025</v>
      </c>
      <c r="B68" s="19" t="str">
        <f>IF(M68="",   "",   TEXT(M68,   "[$-en-US]mmm"))</f>
        <v>Apr</v>
      </c>
      <c r="C68" s="19" t="s">
        <v>36</v>
      </c>
      <c r="D68" s="19" t="s">
        <v>242</v>
      </c>
      <c r="E68" s="13" t="s">
        <v>243</v>
      </c>
      <c r="F68" s="13" t="s">
        <v>62</v>
      </c>
      <c r="G68" s="13" t="s">
        <v>95</v>
      </c>
      <c r="H68" s="13" t="s">
        <v>244</v>
      </c>
      <c r="I68" s="12" t="s">
        <v>83</v>
      </c>
      <c r="J68" s="12" t="s">
        <v>43</v>
      </c>
      <c r="K68" s="12" t="s">
        <v>53</v>
      </c>
      <c r="L68" s="12" t="s">
        <v>44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ca="1">IF(P68="",                                                                                                                                                                                                   "",
   IF(OR(I68="O-General",                                                                                                                                                                                                   I68="S-General"),
      IF(P68&lt;=30,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IF(I68="S-Special",
         IF(P68&lt;=45,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8" s="13"/>
      <c r="S68" s="12"/>
      <c r="T68" s="12"/>
      <c r="U68" s="12"/>
      <c r="V68" s="12"/>
      <c r="W68" s="10"/>
      <c r="X68" s="12"/>
      <c r="Y68" s="12"/>
      <c r="Z68" s="29" t="s">
        <v>73</v>
      </c>
      <c r="AA68" s="12"/>
      <c r="AB68" s="12"/>
      <c r="AC68" s="12"/>
      <c r="AD68" s="12"/>
      <c r="AE68" s="12"/>
      <c r="AF68" s="12"/>
      <c r="AG68" s="12"/>
      <c r="AH68" s="12"/>
      <c r="AI68" s="15"/>
      <c r="AJ68" s="8"/>
    </row>
    <row r="69" spans="1:36" s="9" customFormat="1" ht="41.45" customHeight="1">
      <c r="A69" s="46">
        <v>2025</v>
      </c>
      <c r="B69" s="19" t="str">
        <f>IF(M69="",   "",   TEXT(M69,   "[$-en-US]mmm"))</f>
        <v>May</v>
      </c>
      <c r="C69" s="19" t="s">
        <v>46</v>
      </c>
      <c r="D69" s="19" t="s">
        <v>167</v>
      </c>
      <c r="E69" s="13" t="s">
        <v>167</v>
      </c>
      <c r="F69" s="13" t="s">
        <v>112</v>
      </c>
      <c r="G69" s="13" t="s">
        <v>168</v>
      </c>
      <c r="H69" s="13" t="s">
        <v>169</v>
      </c>
      <c r="I69" s="12" t="s">
        <v>52</v>
      </c>
      <c r="J69" s="12" t="s">
        <v>43</v>
      </c>
      <c r="K69" s="12" t="s">
        <v>115</v>
      </c>
      <c r="L69" s="12" t="s">
        <v>44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ca="1">IF(P69="",                                                                                                                                                                                                   "",
   IF(OR(I69="O-General",                                                                                                                                                                                                   I69="S-General"),
      IF(P69&lt;=30,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IF(I69="S-Special",
         IF(P69&lt;=45,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54</v>
      </c>
      <c r="AA69" s="12"/>
      <c r="AB69" s="12"/>
      <c r="AC69" s="12"/>
      <c r="AD69" s="12"/>
      <c r="AE69" s="12"/>
      <c r="AF69" s="12"/>
      <c r="AG69" s="12"/>
      <c r="AH69" s="12"/>
      <c r="AI69" s="15"/>
      <c r="AJ69" s="8"/>
    </row>
    <row r="70" spans="1:36" s="9" customFormat="1" ht="41.45" customHeight="1">
      <c r="A70" s="46">
        <v>2025</v>
      </c>
      <c r="B70" s="19" t="str">
        <f>IF(M70="",   "",   TEXT(M70,   "[$-en-US]mmm"))</f>
        <v>May</v>
      </c>
      <c r="C70" s="19" t="s">
        <v>46</v>
      </c>
      <c r="D70" s="19" t="s">
        <v>167</v>
      </c>
      <c r="E70" s="13" t="s">
        <v>167</v>
      </c>
      <c r="F70" s="13" t="s">
        <v>112</v>
      </c>
      <c r="G70" s="13" t="s">
        <v>245</v>
      </c>
      <c r="H70" s="13" t="s">
        <v>169</v>
      </c>
      <c r="I70" s="12" t="s">
        <v>52</v>
      </c>
      <c r="J70" s="12" t="s">
        <v>84</v>
      </c>
      <c r="K70" s="12" t="s">
        <v>115</v>
      </c>
      <c r="L70" s="12" t="s">
        <v>85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299</v>
      </c>
      <c r="Q70" s="13" t="str">
        <f ca="1">IF(P70="",                                                                                                                                                                                                   "",
   IF(OR(I70="O-General",                                                                                                                                                                                                   I70="S-General"),
      IF(P70&lt;=30,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IF(I70="S-Special",
         IF(P70&lt;=45,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0" s="13"/>
      <c r="S70" s="12"/>
      <c r="T70" s="12"/>
      <c r="U70" s="12"/>
      <c r="V70" s="12"/>
      <c r="W70" s="10" t="s">
        <v>246</v>
      </c>
      <c r="X70" s="12"/>
      <c r="Y70" s="8"/>
      <c r="Z70" s="31" t="s">
        <v>216</v>
      </c>
      <c r="AA70" s="23"/>
      <c r="AB70" s="12"/>
      <c r="AC70" s="12"/>
      <c r="AD70" s="12"/>
      <c r="AE70" s="12"/>
      <c r="AF70" s="12"/>
      <c r="AG70" s="12"/>
      <c r="AH70" s="12"/>
      <c r="AI70" s="15"/>
      <c r="AJ70" s="8"/>
    </row>
    <row r="71" spans="1:36" s="9" customFormat="1" ht="41.45" customHeight="1">
      <c r="A71" s="46">
        <v>2025</v>
      </c>
      <c r="B71" s="19" t="str">
        <f>IF(M71="",   "",   TEXT(M71,   "[$-en-US]mmm"))</f>
        <v>May</v>
      </c>
      <c r="C71" s="19" t="s">
        <v>36</v>
      </c>
      <c r="D71" s="19" t="s">
        <v>247</v>
      </c>
      <c r="E71" s="13" t="s">
        <v>248</v>
      </c>
      <c r="F71" s="13" t="s">
        <v>91</v>
      </c>
      <c r="G71" s="13" t="s">
        <v>157</v>
      </c>
      <c r="H71" s="13" t="s">
        <v>247</v>
      </c>
      <c r="I71" s="12" t="s">
        <v>52</v>
      </c>
      <c r="J71" s="12" t="s">
        <v>43</v>
      </c>
      <c r="K71" s="12" t="s">
        <v>115</v>
      </c>
      <c r="L71" s="12" t="s">
        <v>44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ca="1">IF(P71="",                                                                                                                                                                                                   "",
   IF(OR(I71="O-General",                                                                                                                                                                                                   I71="S-General"),
      IF(P71&lt;=30,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IF(I71="S-Special",
         IF(P71&lt;=45,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1" s="13"/>
      <c r="S71" s="12"/>
      <c r="T71" s="12"/>
      <c r="U71" s="12"/>
      <c r="V71" s="12"/>
      <c r="W71" s="40">
        <v>45977</v>
      </c>
      <c r="X71" s="12"/>
      <c r="Y71" s="8"/>
      <c r="Z71" s="12" t="s">
        <v>45</v>
      </c>
      <c r="AA71" s="23"/>
      <c r="AB71" s="12"/>
      <c r="AC71" s="12"/>
      <c r="AD71" s="12"/>
      <c r="AE71" s="12"/>
      <c r="AF71" s="12"/>
      <c r="AG71" s="12"/>
      <c r="AH71" s="12"/>
      <c r="AI71" s="15"/>
      <c r="AJ71" s="8"/>
    </row>
    <row r="72" spans="1:36" s="9" customFormat="1" ht="41.45" customHeight="1">
      <c r="A72" s="46">
        <v>2025</v>
      </c>
      <c r="B72" s="19" t="str">
        <f>IF(M72="",   "",   TEXT(M72,   "[$-en-US]mmm"))</f>
        <v>May</v>
      </c>
      <c r="C72" s="19" t="s">
        <v>36</v>
      </c>
      <c r="D72" s="19" t="s">
        <v>47</v>
      </c>
      <c r="E72" s="13" t="s">
        <v>249</v>
      </c>
      <c r="F72" s="13" t="s">
        <v>62</v>
      </c>
      <c r="G72" s="13" t="s">
        <v>105</v>
      </c>
      <c r="H72" s="13" t="s">
        <v>250</v>
      </c>
      <c r="I72" s="12" t="s">
        <v>42</v>
      </c>
      <c r="J72" s="12" t="s">
        <v>43</v>
      </c>
      <c r="K72" s="12" t="s">
        <v>53</v>
      </c>
      <c r="L72" s="12" t="s">
        <v>44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ca="1">IF(P72="",                                                                                                                                                                                                   "",
   IF(OR(I72="O-General",                                                                                                                                                                                                   I72="S-General"),
      IF(P72&lt;=30,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IF(I72="S-Special",
         IF(P72&lt;=45,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2" s="13"/>
      <c r="S72" s="12"/>
      <c r="T72" s="12"/>
      <c r="U72" s="12"/>
      <c r="V72" s="12"/>
      <c r="W72" s="42">
        <v>45946</v>
      </c>
      <c r="X72" s="12"/>
      <c r="Y72" s="12"/>
      <c r="Z72" s="32" t="s">
        <v>216</v>
      </c>
      <c r="AA72" s="12"/>
      <c r="AB72" s="12"/>
      <c r="AC72" s="12"/>
      <c r="AD72" s="12"/>
      <c r="AE72" s="12"/>
      <c r="AF72" s="12"/>
      <c r="AG72" s="12"/>
      <c r="AH72" s="12"/>
      <c r="AI72" s="15"/>
      <c r="AJ72" s="8"/>
    </row>
    <row r="73" spans="1:36" s="9" customFormat="1" ht="41.45" customHeight="1">
      <c r="A73" s="46">
        <v>2025</v>
      </c>
      <c r="B73" s="19" t="str">
        <f>IF(M73="",   "",   TEXT(M73,   "[$-en-US]mmm"))</f>
        <v>May</v>
      </c>
      <c r="C73" s="19" t="s">
        <v>36</v>
      </c>
      <c r="D73" s="19" t="s">
        <v>251</v>
      </c>
      <c r="E73" s="13" t="s">
        <v>252</v>
      </c>
      <c r="F73" s="13" t="s">
        <v>39</v>
      </c>
      <c r="G73" s="13" t="s">
        <v>253</v>
      </c>
      <c r="H73" s="13" t="s">
        <v>252</v>
      </c>
      <c r="I73" s="12" t="s">
        <v>52</v>
      </c>
      <c r="J73" s="12" t="s">
        <v>43</v>
      </c>
      <c r="K73" s="12" t="s">
        <v>53</v>
      </c>
      <c r="L73" s="12" t="s">
        <v>44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ca="1">IF(P73="",                                                                                                                                                                                                   "",
   IF(OR(I73="O-General",                                                                                                                                                                                                   I73="S-General"),
      IF(P73&lt;=30,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IF(I73="S-Special",
         IF(P73&lt;=45,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3" s="13"/>
      <c r="S73" s="12"/>
      <c r="T73" s="12"/>
      <c r="U73" s="12"/>
      <c r="V73" s="12"/>
      <c r="W73" s="39">
        <v>46038</v>
      </c>
      <c r="X73" s="12"/>
      <c r="Y73" s="12"/>
      <c r="Z73" s="33" t="s">
        <v>54</v>
      </c>
      <c r="AA73" s="12"/>
      <c r="AB73" s="12"/>
      <c r="AC73" s="12"/>
      <c r="AD73" s="12"/>
      <c r="AE73" s="12"/>
      <c r="AF73" s="12"/>
      <c r="AG73" s="12"/>
      <c r="AH73" s="12"/>
      <c r="AI73" s="15"/>
      <c r="AJ73" s="8"/>
    </row>
    <row r="74" spans="1:36" s="9" customFormat="1" ht="41.45" customHeight="1">
      <c r="A74" s="46">
        <v>2025</v>
      </c>
      <c r="B74" s="19" t="str">
        <f>IF(M74="",   "",   TEXT(M74,   "[$-en-US]mmm"))</f>
        <v>May</v>
      </c>
      <c r="C74" s="19" t="s">
        <v>36</v>
      </c>
      <c r="D74" s="19" t="s">
        <v>254</v>
      </c>
      <c r="E74" s="13" t="s">
        <v>254</v>
      </c>
      <c r="F74" s="13" t="s">
        <v>88</v>
      </c>
      <c r="G74" s="13" t="s">
        <v>107</v>
      </c>
      <c r="H74" s="13" t="s">
        <v>255</v>
      </c>
      <c r="I74" s="12" t="s">
        <v>42</v>
      </c>
      <c r="J74" s="12" t="s">
        <v>43</v>
      </c>
      <c r="K74" s="12" t="s">
        <v>53</v>
      </c>
      <c r="L74" s="12" t="s">
        <v>44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ca="1">IF(P74="",                                                                                                                                                                                                   "",
   IF(OR(I74="O-General",                                                                                                                                                                                                   I74="S-General"),
      IF(P74&lt;=30,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IF(I74="S-Special",
         IF(P74&lt;=45,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4" s="13"/>
      <c r="S74" s="12"/>
      <c r="T74" s="12"/>
      <c r="U74" s="12"/>
      <c r="V74" s="12"/>
      <c r="W74" s="42">
        <v>45885</v>
      </c>
      <c r="X74" s="12"/>
      <c r="Y74" s="8"/>
      <c r="Z74" s="12" t="s">
        <v>73</v>
      </c>
      <c r="AA74" s="23"/>
      <c r="AB74" s="12"/>
      <c r="AC74" s="12"/>
      <c r="AD74" s="12"/>
      <c r="AE74" s="12"/>
      <c r="AF74" s="12"/>
      <c r="AG74" s="12"/>
      <c r="AH74" s="12"/>
      <c r="AI74" s="15"/>
      <c r="AJ74" s="8"/>
    </row>
    <row r="75" spans="1:36" s="9" customFormat="1" ht="41.45" customHeight="1">
      <c r="A75" s="46">
        <v>2025</v>
      </c>
      <c r="B75" s="19" t="str">
        <f>IF(M75="",   "",   TEXT(M75,   "[$-en-US]mmm"))</f>
        <v>Jun</v>
      </c>
      <c r="C75" s="19" t="s">
        <v>36</v>
      </c>
      <c r="D75" s="19" t="s">
        <v>139</v>
      </c>
      <c r="E75" s="13" t="s">
        <v>139</v>
      </c>
      <c r="F75" s="13" t="s">
        <v>67</v>
      </c>
      <c r="G75" s="13" t="s">
        <v>140</v>
      </c>
      <c r="H75" s="13" t="s">
        <v>141</v>
      </c>
      <c r="I75" s="12" t="s">
        <v>42</v>
      </c>
      <c r="J75" s="12" t="s">
        <v>43</v>
      </c>
      <c r="K75" s="12" t="s">
        <v>53</v>
      </c>
      <c r="L75" s="12" t="s">
        <v>44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ca="1">IF(P75="",                                                                                                                                                                                                   "",
   IF(OR(I75="O-General",                                                                                                                                                                                                   I75="S-General"),
      IF(P75&lt;=30,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IF(I75="S-Special",
         IF(P75&lt;=45,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5" s="13"/>
      <c r="S75" s="12"/>
      <c r="T75" s="12"/>
      <c r="U75" s="12"/>
      <c r="V75" s="12" t="s">
        <v>256</v>
      </c>
      <c r="W75" s="41">
        <v>45977</v>
      </c>
      <c r="X75" s="12"/>
      <c r="Y75" s="12"/>
      <c r="Z75" s="35" t="s">
        <v>216</v>
      </c>
      <c r="AA75" s="12"/>
      <c r="AB75" s="12"/>
      <c r="AC75" s="12"/>
      <c r="AD75" s="12"/>
      <c r="AE75" s="12"/>
      <c r="AF75" s="12"/>
      <c r="AG75" s="12"/>
      <c r="AH75" s="12"/>
      <c r="AI75" s="15"/>
      <c r="AJ75" s="8"/>
    </row>
    <row r="76" spans="1:36" s="9" customFormat="1" ht="41.45" customHeight="1">
      <c r="A76" s="46">
        <v>2025</v>
      </c>
      <c r="B76" s="19" t="str">
        <f>IF(M76="",   "",   TEXT(M76,   "[$-en-US]mmm"))</f>
        <v>Jun</v>
      </c>
      <c r="C76" s="19" t="s">
        <v>36</v>
      </c>
      <c r="D76" s="19" t="s">
        <v>257</v>
      </c>
      <c r="E76" s="16" t="s">
        <v>257</v>
      </c>
      <c r="F76" s="17" t="s">
        <v>62</v>
      </c>
      <c r="G76" s="17" t="s">
        <v>95</v>
      </c>
      <c r="H76" s="17" t="s">
        <v>207</v>
      </c>
      <c r="I76" s="12" t="s">
        <v>52</v>
      </c>
      <c r="J76" s="12" t="s">
        <v>43</v>
      </c>
      <c r="K76" s="17" t="s">
        <v>53</v>
      </c>
      <c r="L76" s="12" t="s">
        <v>44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ca="1">IF(P76="",                                                                                                                                                                                                   "",
   IF(OR(I76="O-General",                                                                                                                                                                                                   I76="S-General"),
      IF(P76&lt;=30,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IF(I76="S-Special",
         IF(P76&lt;=45,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6" s="13"/>
      <c r="S76" s="17"/>
      <c r="T76" s="17"/>
      <c r="U76" s="17"/>
      <c r="V76" s="17"/>
      <c r="W76" s="26">
        <v>45931</v>
      </c>
      <c r="X76" s="17"/>
      <c r="Y76" s="22"/>
      <c r="Z76" s="31" t="s">
        <v>216</v>
      </c>
      <c r="AA76" s="24"/>
      <c r="AB76" s="17"/>
      <c r="AC76" s="17"/>
      <c r="AD76" s="17"/>
      <c r="AE76" s="17"/>
      <c r="AF76" s="17"/>
      <c r="AG76" s="17"/>
      <c r="AH76" s="17"/>
      <c r="AI76" s="15"/>
      <c r="AJ76" s="8"/>
    </row>
    <row r="77" spans="1:36" s="9" customFormat="1" ht="41.45" customHeight="1">
      <c r="A77" s="46">
        <v>2025</v>
      </c>
      <c r="B77" s="19" t="str">
        <f>IF(M77="",   "",   TEXT(M77,   "[$-en-US]mmm"))</f>
        <v>Jun</v>
      </c>
      <c r="C77" s="19" t="s">
        <v>36</v>
      </c>
      <c r="D77" s="19" t="s">
        <v>181</v>
      </c>
      <c r="E77" s="16" t="s">
        <v>258</v>
      </c>
      <c r="F77" s="17" t="s">
        <v>183</v>
      </c>
      <c r="G77" s="17" t="s">
        <v>259</v>
      </c>
      <c r="H77" s="17" t="s">
        <v>260</v>
      </c>
      <c r="I77" s="17" t="s">
        <v>42</v>
      </c>
      <c r="J77" s="12" t="s">
        <v>43</v>
      </c>
      <c r="K77" s="17" t="s">
        <v>53</v>
      </c>
      <c r="L77" s="12" t="s">
        <v>44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ca="1">IF(P77="",                                                                                                                                                                                                   "",
   IF(OR(I77="O-General",                                                                                                                                                                                                   I77="S-General"),
      IF(P77&lt;=30,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IF(I77="S-Special",
         IF(P77&lt;=45,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7" s="13"/>
      <c r="S77" s="17"/>
      <c r="T77" s="17"/>
      <c r="U77" s="17"/>
      <c r="V77" s="17"/>
      <c r="W77" s="26">
        <v>45885</v>
      </c>
      <c r="X77" s="17"/>
      <c r="Y77" s="22"/>
      <c r="Z77" s="31" t="s">
        <v>216</v>
      </c>
      <c r="AA77" s="24"/>
      <c r="AB77" s="17"/>
      <c r="AC77" s="17"/>
      <c r="AD77" s="17"/>
      <c r="AE77" s="17"/>
      <c r="AF77" s="17"/>
      <c r="AG77" s="17"/>
      <c r="AH77" s="17"/>
      <c r="AI77" s="15"/>
      <c r="AJ77" s="8"/>
    </row>
    <row r="78" spans="1:36" s="11" customFormat="1" ht="41.45" customHeight="1">
      <c r="A78" s="46">
        <v>2025</v>
      </c>
      <c r="B78" s="19" t="str">
        <f>IF(M78="",   "",   TEXT(M78,   "[$-en-US]mmm"))</f>
        <v>Jun</v>
      </c>
      <c r="C78" s="19" t="s">
        <v>36</v>
      </c>
      <c r="D78" s="20" t="s">
        <v>261</v>
      </c>
      <c r="E78" s="12" t="s">
        <v>261</v>
      </c>
      <c r="F78" s="12" t="s">
        <v>49</v>
      </c>
      <c r="G78" s="12" t="s">
        <v>262</v>
      </c>
      <c r="H78" s="12" t="s">
        <v>263</v>
      </c>
      <c r="I78" s="12" t="s">
        <v>52</v>
      </c>
      <c r="J78" s="12" t="s">
        <v>43</v>
      </c>
      <c r="K78" s="12" t="s">
        <v>53</v>
      </c>
      <c r="L78" s="12" t="s">
        <v>44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ca="1">IF(P78="",                                                                                                                                                                                                   "",
   IF(OR(I78="O-General",                                                                                                                                                                                                   I78="S-General"),
      IF(P78&lt;=30,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IF(I78="S-Special",
         IF(P78&lt;=45,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8" s="13"/>
      <c r="S78" s="12"/>
      <c r="T78" s="12"/>
      <c r="U78" s="12"/>
      <c r="V78" s="12"/>
      <c r="W78" s="10">
        <v>45854</v>
      </c>
      <c r="X78" s="12"/>
      <c r="Y78" s="37"/>
      <c r="Z78" s="31" t="s">
        <v>216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15"/>
      <c r="AJ78" s="8"/>
    </row>
    <row r="79" spans="1:36" s="11" customFormat="1" ht="41.45" customHeight="1">
      <c r="A79" s="46">
        <v>2025</v>
      </c>
      <c r="B79" s="19" t="str">
        <f>IF(M79="",   "",   TEXT(M79,   "[$-en-US]mmm"))</f>
        <v>Jun</v>
      </c>
      <c r="C79" s="19" t="s">
        <v>36</v>
      </c>
      <c r="D79" s="20" t="s">
        <v>264</v>
      </c>
      <c r="E79" s="12" t="s">
        <v>264</v>
      </c>
      <c r="F79" s="12" t="s">
        <v>49</v>
      </c>
      <c r="G79" s="12" t="s">
        <v>98</v>
      </c>
      <c r="H79" s="12" t="s">
        <v>160</v>
      </c>
      <c r="I79" s="12" t="s">
        <v>52</v>
      </c>
      <c r="J79" s="12" t="s">
        <v>43</v>
      </c>
      <c r="K79" s="12"/>
      <c r="L79" s="12" t="s">
        <v>44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ca="1">IF(P79="",                                                                                                                                                                                                   "",
   IF(OR(I79="O-General",                                                                                                                                                                                                   I79="S-General"),
      IF(P79&lt;=30,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IF(I79="S-Special",
         IF(P79&lt;=45,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9" s="13"/>
      <c r="S79" s="12"/>
      <c r="T79" s="12"/>
      <c r="U79" s="12"/>
      <c r="V79" s="12"/>
      <c r="W79" s="10"/>
      <c r="X79" s="12"/>
      <c r="Y79" s="37"/>
      <c r="Z79" s="31" t="s">
        <v>216</v>
      </c>
      <c r="AA79" s="23"/>
      <c r="AB79" s="12"/>
      <c r="AC79" s="15"/>
      <c r="AD79" s="15"/>
      <c r="AE79" s="15"/>
      <c r="AF79" s="15"/>
      <c r="AG79" s="15"/>
      <c r="AH79" s="12"/>
      <c r="AI79" s="15"/>
      <c r="AJ79" s="8"/>
    </row>
    <row r="80" spans="1:36" s="11" customFormat="1" ht="41.45" customHeight="1">
      <c r="A80" s="46">
        <v>2025</v>
      </c>
      <c r="B80" s="19" t="str">
        <f>IF(M80="",   "",   TEXT(M80,   "[$-en-US]mmm"))</f>
        <v>Jul</v>
      </c>
      <c r="C80" s="19" t="s">
        <v>46</v>
      </c>
      <c r="D80" s="21" t="s">
        <v>47</v>
      </c>
      <c r="E80" s="18" t="s">
        <v>170</v>
      </c>
      <c r="F80" s="18" t="s">
        <v>171</v>
      </c>
      <c r="G80" s="18" t="s">
        <v>172</v>
      </c>
      <c r="H80" s="18" t="s">
        <v>265</v>
      </c>
      <c r="I80" s="12" t="s">
        <v>42</v>
      </c>
      <c r="J80" s="12" t="s">
        <v>43</v>
      </c>
      <c r="K80" s="12" t="s">
        <v>115</v>
      </c>
      <c r="L80" s="12" t="s">
        <v>44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ca="1">IF(P80="",                                                                                                                                                                                                   "",
   IF(OR(I80="O-General",                                                                                                                                                                                                   I80="S-General"),
      IF(P80&lt;=30,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IF(I80="S-Special",
         IF(P80&lt;=45,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216</v>
      </c>
      <c r="AA80" s="24"/>
      <c r="AB80" s="17"/>
      <c r="AC80" s="17"/>
      <c r="AD80" s="17"/>
      <c r="AE80" s="17"/>
      <c r="AF80" s="17"/>
      <c r="AG80" s="17"/>
      <c r="AH80" s="17"/>
      <c r="AI80" s="15"/>
      <c r="AJ80" s="8"/>
    </row>
    <row r="81" spans="1:36" s="11" customFormat="1" ht="41.45" customHeight="1">
      <c r="A81" s="46">
        <v>2025</v>
      </c>
      <c r="B81" s="19" t="str">
        <f>IF(M81="",   "",   TEXT(M81,   "[$-en-US]mmm"))</f>
        <v>Jul</v>
      </c>
      <c r="C81" s="19" t="s">
        <v>36</v>
      </c>
      <c r="D81" s="19" t="s">
        <v>188</v>
      </c>
      <c r="E81" s="13" t="s">
        <v>188</v>
      </c>
      <c r="F81" s="13" t="s">
        <v>112</v>
      </c>
      <c r="G81" s="13" t="s">
        <v>189</v>
      </c>
      <c r="H81" s="13" t="s">
        <v>190</v>
      </c>
      <c r="I81" s="12" t="s">
        <v>52</v>
      </c>
      <c r="J81" s="12" t="s">
        <v>43</v>
      </c>
      <c r="K81" s="12" t="s">
        <v>53</v>
      </c>
      <c r="L81" s="12" t="s">
        <v>44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ca="1">IF(P81="",                                                                                                                                                                                                   "",
   IF(OR(I81="O-General",                                                                                                                                                                                                   I81="S-General"),
      IF(P81&lt;=30,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IF(I81="S-Special",
         IF(P81&lt;=45,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1" s="13"/>
      <c r="S81" s="12"/>
      <c r="T81" s="12"/>
      <c r="U81" s="12"/>
      <c r="V81" s="12"/>
      <c r="W81" s="10">
        <v>45962</v>
      </c>
      <c r="X81" s="12"/>
      <c r="Y81" s="12"/>
      <c r="Z81" s="35" t="s">
        <v>216</v>
      </c>
      <c r="AA81" s="12"/>
      <c r="AB81" s="12"/>
      <c r="AC81" s="12"/>
      <c r="AD81" s="12"/>
      <c r="AE81" s="12"/>
      <c r="AF81" s="12"/>
      <c r="AG81" s="12"/>
      <c r="AH81" s="12"/>
      <c r="AI81" s="15"/>
      <c r="AJ81" s="8"/>
    </row>
    <row r="82" spans="1:36" s="11" customFormat="1" ht="41.45" customHeight="1">
      <c r="A82" s="46">
        <v>2025</v>
      </c>
      <c r="B82" s="19" t="str">
        <f>IF(M82="",   "",   TEXT(M82,   "[$-en-US]mmm"))</f>
        <v>Jul</v>
      </c>
      <c r="C82" s="19" t="s">
        <v>36</v>
      </c>
      <c r="D82" s="21" t="s">
        <v>266</v>
      </c>
      <c r="E82" s="18" t="s">
        <v>84</v>
      </c>
      <c r="F82" s="18" t="s">
        <v>175</v>
      </c>
      <c r="G82" s="18" t="s">
        <v>267</v>
      </c>
      <c r="H82" s="18" t="s">
        <v>268</v>
      </c>
      <c r="I82" s="17" t="s">
        <v>42</v>
      </c>
      <c r="J82" s="17" t="s">
        <v>84</v>
      </c>
      <c r="K82" s="17" t="s">
        <v>53</v>
      </c>
      <c r="L82" s="17" t="s">
        <v>84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ca="1">IF(P82="",                                                                                                                                                                                                   "",
   IF(OR(I82="O-General",                                                                                                                                                                                                   I82="S-General"),
      IF(P82&lt;=30,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IF(I82="S-Special",
         IF(P82&lt;=45,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15"/>
      <c r="AJ82" s="8"/>
    </row>
    <row r="83" spans="1:36" s="11" customFormat="1" ht="41.45" customHeight="1">
      <c r="A83" s="46">
        <v>2025</v>
      </c>
      <c r="B83" s="19" t="str">
        <f>IF(M83="",   "",   TEXT(M83,   "[$-en-US]mmm"))</f>
        <v>Jul</v>
      </c>
      <c r="C83" s="19" t="s">
        <v>36</v>
      </c>
      <c r="D83" s="21" t="s">
        <v>269</v>
      </c>
      <c r="E83" s="18" t="s">
        <v>269</v>
      </c>
      <c r="F83" s="18" t="s">
        <v>91</v>
      </c>
      <c r="G83" s="18" t="s">
        <v>92</v>
      </c>
      <c r="H83" s="18" t="s">
        <v>270</v>
      </c>
      <c r="I83" s="17" t="s">
        <v>42</v>
      </c>
      <c r="J83" s="12" t="s">
        <v>43</v>
      </c>
      <c r="K83" s="17" t="s">
        <v>53</v>
      </c>
      <c r="L83" s="12" t="s">
        <v>44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ca="1">IF(P83="",                                                                                                                                                                                                   "",
   IF(OR(I83="O-General",                                                                                                                                                                                                   I83="S-General"),
      IF(P83&lt;=30,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IF(I83="S-Special",
         IF(P83&lt;=45,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3" s="13"/>
      <c r="S83" s="17"/>
      <c r="T83" s="17"/>
      <c r="U83" s="17"/>
      <c r="V83" s="17"/>
      <c r="W83" s="26">
        <v>46054</v>
      </c>
      <c r="X83" s="17"/>
      <c r="Y83" s="22"/>
      <c r="Z83" s="31" t="s">
        <v>216</v>
      </c>
      <c r="AA83" s="24"/>
      <c r="AB83" s="17"/>
      <c r="AC83" s="17"/>
      <c r="AD83" s="17"/>
      <c r="AE83" s="17"/>
      <c r="AF83" s="17"/>
      <c r="AG83" s="17"/>
      <c r="AH83" s="17"/>
      <c r="AI83" s="15"/>
      <c r="AJ83" s="8"/>
    </row>
    <row r="84" spans="1:36" s="11" customFormat="1" ht="41.45" customHeight="1">
      <c r="A84" s="46">
        <v>2025</v>
      </c>
      <c r="B84" s="19" t="str">
        <f>IF(M84="",   "",   TEXT(M84,   "[$-en-US]mmm"))</f>
        <v>Jul</v>
      </c>
      <c r="C84" s="19" t="s">
        <v>36</v>
      </c>
      <c r="D84" s="19" t="s">
        <v>271</v>
      </c>
      <c r="E84" s="16" t="s">
        <v>271</v>
      </c>
      <c r="F84" s="17" t="s">
        <v>62</v>
      </c>
      <c r="G84" s="17" t="s">
        <v>63</v>
      </c>
      <c r="H84" s="17" t="s">
        <v>272</v>
      </c>
      <c r="I84" s="12" t="s">
        <v>52</v>
      </c>
      <c r="J84" s="12" t="s">
        <v>43</v>
      </c>
      <c r="K84" s="12" t="s">
        <v>73</v>
      </c>
      <c r="L84" s="12" t="s">
        <v>44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ca="1">IF(P84="",                                                                                                                                                                                                   "",
   IF(OR(I84="O-General",                                                                                                                                                                                                   I84="S-General"),
      IF(P84&lt;=30,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IF(I84="S-Special",
         IF(P84&lt;=45,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4" s="13"/>
      <c r="S84" s="17"/>
      <c r="T84" s="17"/>
      <c r="U84" s="17"/>
      <c r="V84" s="17"/>
      <c r="W84" s="26">
        <v>46023</v>
      </c>
      <c r="X84" s="17"/>
      <c r="Y84" s="17"/>
      <c r="Z84" s="43" t="s">
        <v>73</v>
      </c>
      <c r="AA84" s="17"/>
      <c r="AB84" s="17"/>
      <c r="AC84" s="17"/>
      <c r="AD84" s="17"/>
      <c r="AE84" s="17"/>
      <c r="AF84" s="17"/>
      <c r="AG84" s="17"/>
      <c r="AH84" s="17"/>
      <c r="AI84" s="15"/>
      <c r="AJ84" s="8"/>
    </row>
    <row r="85" spans="1:36" s="11" customFormat="1" ht="41.45" customHeight="1">
      <c r="A85" s="46">
        <v>2025</v>
      </c>
      <c r="B85" s="19" t="str">
        <f>IF(M85="",   "",   TEXT(M85,   "[$-en-US]mmm"))</f>
        <v>Jul</v>
      </c>
      <c r="C85" s="19" t="s">
        <v>36</v>
      </c>
      <c r="D85" s="19" t="s">
        <v>254</v>
      </c>
      <c r="E85" s="16" t="s">
        <v>254</v>
      </c>
      <c r="F85" s="17" t="s">
        <v>88</v>
      </c>
      <c r="G85" s="17" t="s">
        <v>107</v>
      </c>
      <c r="H85" s="17" t="s">
        <v>255</v>
      </c>
      <c r="I85" s="17" t="s">
        <v>42</v>
      </c>
      <c r="J85" s="12" t="s">
        <v>43</v>
      </c>
      <c r="K85" s="17" t="s">
        <v>53</v>
      </c>
      <c r="L85" s="12" t="s">
        <v>44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ca="1">IF(P85="",                                                                                                                                                                                                   "",
   IF(OR(I85="O-General",                                                                                                                                                                                                   I85="S-General"),
      IF(P85&lt;=30,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IF(I85="S-Special",
         IF(P85&lt;=45,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5" s="13"/>
      <c r="S85" s="17"/>
      <c r="T85" s="17"/>
      <c r="U85" s="17"/>
      <c r="V85" s="17"/>
      <c r="W85" s="26">
        <v>45901</v>
      </c>
      <c r="X85" s="17"/>
      <c r="Y85" s="17"/>
      <c r="Z85" s="33" t="s">
        <v>216</v>
      </c>
      <c r="AA85" s="17"/>
      <c r="AB85" s="17"/>
      <c r="AC85" s="17"/>
      <c r="AD85" s="17"/>
      <c r="AE85" s="17"/>
      <c r="AF85" s="17"/>
      <c r="AG85" s="17"/>
      <c r="AH85" s="17"/>
      <c r="AI85" s="15"/>
      <c r="AJ85" s="8"/>
    </row>
    <row r="86" spans="1:36" s="11" customFormat="1" ht="41.45" customHeight="1">
      <c r="A86" s="46">
        <v>2025</v>
      </c>
      <c r="B86" s="19" t="str">
        <f>IF(M86="",   "",   TEXT(M86,   "[$-en-US]mmm"))</f>
        <v>Aug</v>
      </c>
      <c r="C86" s="19" t="s">
        <v>36</v>
      </c>
      <c r="D86" s="21" t="s">
        <v>273</v>
      </c>
      <c r="E86" s="18" t="s">
        <v>273</v>
      </c>
      <c r="F86" s="18" t="s">
        <v>39</v>
      </c>
      <c r="G86" s="18" t="s">
        <v>274</v>
      </c>
      <c r="H86" s="18" t="s">
        <v>275</v>
      </c>
      <c r="I86" s="12" t="s">
        <v>52</v>
      </c>
      <c r="J86" s="12" t="s">
        <v>43</v>
      </c>
      <c r="K86" s="17" t="s">
        <v>53</v>
      </c>
      <c r="L86" s="12" t="s">
        <v>44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ca="1">IF(P86="",                                                                                                                                                                                                   "",
   IF(OR(I86="O-General",                                                                                                                                                                                                   I86="S-General"),
      IF(P86&lt;=30,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IF(I86="S-Special",
         IF(P86&lt;=45,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6" s="13"/>
      <c r="S86" s="17"/>
      <c r="T86" s="17"/>
      <c r="U86" s="17"/>
      <c r="V86" s="17"/>
      <c r="W86" s="26">
        <v>45931</v>
      </c>
      <c r="X86" s="17"/>
      <c r="Y86" s="22"/>
      <c r="Z86" s="31" t="s">
        <v>216</v>
      </c>
      <c r="AA86" s="24"/>
      <c r="AB86" s="17"/>
      <c r="AC86" s="17"/>
      <c r="AD86" s="17"/>
      <c r="AE86" s="17"/>
      <c r="AF86" s="17"/>
      <c r="AG86" s="17"/>
      <c r="AH86" s="17"/>
      <c r="AI86" s="15"/>
      <c r="AJ86" s="8"/>
    </row>
    <row r="87" spans="1:36" s="11" customFormat="1" ht="41.45" customHeight="1">
      <c r="A87" s="46">
        <v>2025</v>
      </c>
      <c r="B87" s="19" t="str">
        <f>IF(M87="",   "",   TEXT(M87,   "[$-en-US]mmm"))</f>
        <v>Aug</v>
      </c>
      <c r="C87" s="19" t="s">
        <v>36</v>
      </c>
      <c r="D87" s="21" t="s">
        <v>186</v>
      </c>
      <c r="E87" s="18" t="s">
        <v>186</v>
      </c>
      <c r="F87" s="18" t="s">
        <v>67</v>
      </c>
      <c r="G87" s="18" t="s">
        <v>140</v>
      </c>
      <c r="H87" s="18" t="s">
        <v>141</v>
      </c>
      <c r="I87" s="17" t="s">
        <v>42</v>
      </c>
      <c r="J87" s="12" t="s">
        <v>43</v>
      </c>
      <c r="K87" s="17" t="s">
        <v>53</v>
      </c>
      <c r="L87" s="12" t="s">
        <v>44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ca="1">IF(P87="",                                                                                                                                                                                                   "",
   IF(OR(I87="O-General",                                                                                                                                                                                                   I87="S-General"),
      IF(P87&lt;=30,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IF(I87="S-Special",
         IF(P87&lt;=45,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7" s="13"/>
      <c r="S87" s="17"/>
      <c r="T87" s="17"/>
      <c r="U87" s="17"/>
      <c r="V87" s="17"/>
      <c r="W87" s="26">
        <v>46023</v>
      </c>
      <c r="X87" s="17"/>
      <c r="Y87" s="22"/>
      <c r="Z87" s="31" t="s">
        <v>216</v>
      </c>
      <c r="AA87" s="24"/>
      <c r="AB87" s="17"/>
      <c r="AC87" s="17"/>
      <c r="AD87" s="17"/>
      <c r="AE87" s="17"/>
      <c r="AF87" s="17"/>
      <c r="AG87" s="17"/>
      <c r="AH87" s="17"/>
      <c r="AI87" s="15"/>
      <c r="AJ87" s="8"/>
    </row>
    <row r="88" spans="1:36" s="11" customFormat="1" ht="41.45" customHeight="1">
      <c r="A88" s="46">
        <v>2025</v>
      </c>
      <c r="B88" s="19" t="str">
        <f>IF(M88="",   "",   TEXT(M88,   "[$-en-US]mmm"))</f>
        <v>Aug</v>
      </c>
      <c r="C88" s="19" t="s">
        <v>36</v>
      </c>
      <c r="D88" s="19" t="s">
        <v>269</v>
      </c>
      <c r="E88" s="16" t="s">
        <v>90</v>
      </c>
      <c r="F88" s="17" t="s">
        <v>91</v>
      </c>
      <c r="G88" s="17" t="s">
        <v>92</v>
      </c>
      <c r="H88" s="17" t="s">
        <v>93</v>
      </c>
      <c r="I88" s="17" t="s">
        <v>42</v>
      </c>
      <c r="J88" s="12" t="s">
        <v>43</v>
      </c>
      <c r="K88" s="17" t="s">
        <v>53</v>
      </c>
      <c r="L88" s="12" t="s">
        <v>44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ca="1">IF(P88="",                                                                                                                                                                                                   "",
   IF(OR(I88="O-General",                                                                                                                                                                                                   I88="S-General"),
      IF(P88&lt;=30,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IF(I88="S-Special",
         IF(P88&lt;=45,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8" s="13"/>
      <c r="S88" s="17"/>
      <c r="T88" s="17"/>
      <c r="U88" s="17"/>
      <c r="V88" s="17"/>
      <c r="W88" s="26">
        <v>45916</v>
      </c>
      <c r="X88" s="17"/>
      <c r="Y88" s="17"/>
      <c r="Z88" s="35" t="s">
        <v>216</v>
      </c>
      <c r="AA88" s="17"/>
      <c r="AB88" s="17"/>
      <c r="AC88" s="17"/>
      <c r="AD88" s="17"/>
      <c r="AE88" s="17"/>
      <c r="AF88" s="17"/>
      <c r="AG88" s="17"/>
      <c r="AH88" s="17"/>
      <c r="AI88" s="15"/>
      <c r="AJ88" s="8"/>
    </row>
    <row r="89" spans="1:36" s="11" customFormat="1" ht="41.45" customHeight="1">
      <c r="A89" s="46">
        <v>2025</v>
      </c>
      <c r="B89" s="19" t="str">
        <f>IF(M89="",   "",   TEXT(M89,   "[$-en-US]mmm"))</f>
        <v>Aug</v>
      </c>
      <c r="C89" s="19" t="s">
        <v>36</v>
      </c>
      <c r="D89" s="19" t="s">
        <v>276</v>
      </c>
      <c r="E89" s="16" t="s">
        <v>276</v>
      </c>
      <c r="F89" s="17" t="s">
        <v>67</v>
      </c>
      <c r="G89" s="17" t="s">
        <v>277</v>
      </c>
      <c r="H89" s="17" t="s">
        <v>278</v>
      </c>
      <c r="I89" s="12" t="s">
        <v>52</v>
      </c>
      <c r="J89" s="12" t="s">
        <v>43</v>
      </c>
      <c r="K89" s="17" t="s">
        <v>53</v>
      </c>
      <c r="L89" s="12" t="s">
        <v>44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ca="1">IF(P89="",                                                                                                                                                                                                   "",
   IF(OR(I89="O-General",                                                                                                                                                                                                   I89="S-General"),
      IF(P89&lt;=30,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IF(I89="S-Special",
         IF(P89&lt;=45,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9" s="13"/>
      <c r="S89" s="17"/>
      <c r="T89" s="17"/>
      <c r="U89" s="17"/>
      <c r="V89" s="17"/>
      <c r="W89" s="26">
        <v>45962</v>
      </c>
      <c r="X89" s="17"/>
      <c r="Y89" s="22"/>
      <c r="Z89" s="17" t="s">
        <v>161</v>
      </c>
      <c r="AA89" s="24"/>
      <c r="AB89" s="17"/>
      <c r="AC89" s="17"/>
      <c r="AD89" s="17"/>
      <c r="AE89" s="17"/>
      <c r="AF89" s="17"/>
      <c r="AG89" s="17"/>
      <c r="AH89" s="17"/>
      <c r="AI89" s="15"/>
      <c r="AJ89" s="8"/>
    </row>
    <row r="90" spans="1:36" s="11" customFormat="1" ht="41.45" customHeight="1">
      <c r="A90" s="46">
        <v>2025</v>
      </c>
      <c r="B90" s="19" t="str">
        <f>IF(M90="",   "",   TEXT(M90,   "[$-en-US]mmm"))</f>
        <v>Aug</v>
      </c>
      <c r="C90" s="19" t="s">
        <v>36</v>
      </c>
      <c r="D90" s="21" t="s">
        <v>276</v>
      </c>
      <c r="E90" s="18" t="s">
        <v>276</v>
      </c>
      <c r="F90" s="18" t="s">
        <v>67</v>
      </c>
      <c r="G90" s="18" t="s">
        <v>277</v>
      </c>
      <c r="H90" s="18" t="s">
        <v>278</v>
      </c>
      <c r="I90" s="17" t="s">
        <v>42</v>
      </c>
      <c r="J90" s="12" t="s">
        <v>43</v>
      </c>
      <c r="K90" s="17" t="s">
        <v>53</v>
      </c>
      <c r="L90" s="12" t="s">
        <v>44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ca="1">IF(P90="",                                                                                                                                                                                                   "",
   IF(OR(I90="O-General",                                                                                                                                                                                                   I90="S-General"),
      IF(P90&lt;=30,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IF(I90="S-Special",
         IF(P90&lt;=45,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0" s="13"/>
      <c r="S90" s="17"/>
      <c r="T90" s="17"/>
      <c r="U90" s="17"/>
      <c r="V90" s="17"/>
      <c r="W90" s="26">
        <v>46023</v>
      </c>
      <c r="X90" s="17"/>
      <c r="Y90" s="22"/>
      <c r="Z90" s="17" t="s">
        <v>73</v>
      </c>
      <c r="AA90" s="24"/>
      <c r="AB90" s="17"/>
      <c r="AC90" s="17"/>
      <c r="AD90" s="17"/>
      <c r="AE90" s="17"/>
      <c r="AF90" s="17"/>
      <c r="AG90" s="17"/>
      <c r="AH90" s="17"/>
      <c r="AI90" s="15"/>
      <c r="AJ90" s="8"/>
    </row>
    <row r="91" spans="1:36" s="11" customFormat="1" ht="41.45" customHeight="1">
      <c r="A91" s="46">
        <v>2025</v>
      </c>
      <c r="B91" s="19" t="str">
        <f>IF(M91="",   "",   TEXT(M91,   "[$-en-US]mmm"))</f>
        <v>Sep</v>
      </c>
      <c r="C91" s="19" t="s">
        <v>36</v>
      </c>
      <c r="D91" s="21" t="s">
        <v>279</v>
      </c>
      <c r="E91" s="18" t="s">
        <v>279</v>
      </c>
      <c r="F91" s="18" t="s">
        <v>49</v>
      </c>
      <c r="G91" s="18"/>
      <c r="H91" s="18" t="s">
        <v>280</v>
      </c>
      <c r="I91" s="12" t="s">
        <v>52</v>
      </c>
      <c r="J91" s="12" t="s">
        <v>43</v>
      </c>
      <c r="K91" s="17" t="s">
        <v>53</v>
      </c>
      <c r="L91" s="12" t="s">
        <v>44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ca="1">IF(P91="",                                                                                                                                                                                                   "",
   IF(OR(I91="O-General",                                                                                                                                                                                                   I91="S-General"),
      IF(P91&lt;=30,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IF(I91="S-Special",
         IF(P91&lt;=45,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1" s="13"/>
      <c r="S91" s="17"/>
      <c r="T91" s="17"/>
      <c r="U91" s="17"/>
      <c r="V91" s="17"/>
      <c r="W91" s="26">
        <v>46023</v>
      </c>
      <c r="X91" s="17"/>
      <c r="Y91" s="17"/>
      <c r="Z91" s="25" t="s">
        <v>161</v>
      </c>
      <c r="AA91" s="17"/>
      <c r="AB91" s="17"/>
      <c r="AC91" s="17"/>
      <c r="AD91" s="17"/>
      <c r="AE91" s="17"/>
      <c r="AF91" s="17"/>
      <c r="AG91" s="17"/>
      <c r="AH91" s="17"/>
      <c r="AI91" s="15"/>
      <c r="AJ91" s="8"/>
    </row>
    <row r="92" spans="1:36" s="11" customFormat="1" ht="41.45" customHeight="1">
      <c r="A92" s="46">
        <v>2025</v>
      </c>
      <c r="B92" s="19" t="str">
        <f>IF(M92="",   "",   TEXT(M92,   "[$-en-US]mmm"))</f>
        <v>Sep</v>
      </c>
      <c r="C92" s="19" t="s">
        <v>36</v>
      </c>
      <c r="D92" s="21" t="s">
        <v>264</v>
      </c>
      <c r="E92" s="18" t="s">
        <v>264</v>
      </c>
      <c r="F92" s="18" t="s">
        <v>49</v>
      </c>
      <c r="G92" s="18" t="s">
        <v>98</v>
      </c>
      <c r="H92" s="18" t="s">
        <v>160</v>
      </c>
      <c r="I92" s="12" t="s">
        <v>52</v>
      </c>
      <c r="J92" s="12" t="s">
        <v>43</v>
      </c>
      <c r="K92" s="12" t="s">
        <v>115</v>
      </c>
      <c r="L92" s="12" t="s">
        <v>44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212</v>
      </c>
      <c r="Q92" s="13" t="str">
        <f ca="1">IF(P92="",                                                                                                                                                                                                   "",
   IF(OR(I92="O-General",                                                                                                                                                                                                   I92="S-General"),
      IF(P92&lt;=30,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IF(I92="S-Special",
         IF(P92&lt;=45,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2" s="13"/>
      <c r="S92" s="17"/>
      <c r="T92" s="17"/>
      <c r="U92" s="17"/>
      <c r="V92" s="17"/>
      <c r="W92" s="26">
        <v>46023</v>
      </c>
      <c r="X92" s="17"/>
      <c r="Y92" s="22"/>
      <c r="Z92" s="31" t="s">
        <v>216</v>
      </c>
      <c r="AA92" s="24"/>
      <c r="AB92" s="17"/>
      <c r="AC92" s="17"/>
      <c r="AD92" s="17"/>
      <c r="AE92" s="17"/>
      <c r="AF92" s="17"/>
      <c r="AG92" s="17"/>
      <c r="AH92" s="17"/>
      <c r="AI92" s="15"/>
      <c r="AJ92" s="8"/>
    </row>
    <row r="93" spans="1:36" s="11" customFormat="1" ht="41.45" customHeight="1">
      <c r="A93" s="46">
        <v>2025</v>
      </c>
      <c r="B93" s="19" t="str">
        <f>IF(M93="",   "",   TEXT(M93,   "[$-en-US]mmm"))</f>
        <v>Oct</v>
      </c>
      <c r="C93" s="19" t="s">
        <v>46</v>
      </c>
      <c r="D93" s="21" t="s">
        <v>47</v>
      </c>
      <c r="E93" s="18" t="s">
        <v>281</v>
      </c>
      <c r="F93" s="18" t="s">
        <v>146</v>
      </c>
      <c r="G93" s="18" t="s">
        <v>282</v>
      </c>
      <c r="H93" s="18" t="s">
        <v>283</v>
      </c>
      <c r="I93" s="12" t="s">
        <v>42</v>
      </c>
      <c r="J93" s="17" t="s">
        <v>84</v>
      </c>
      <c r="K93" s="17" t="s">
        <v>53</v>
      </c>
      <c r="L93" s="17" t="s">
        <v>84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ca="1">IF(P93="",                                                                                                                                                                                                   "",
   IF(OR(I93="O-General",                                                                                                                                                                                                   I93="S-General"),
      IF(P93&lt;=30,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IF(I93="S-Special",
         IF(P93&lt;=45,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15"/>
      <c r="AJ93" s="8"/>
    </row>
    <row r="94" spans="1:36" s="11" customFormat="1" ht="41.45" customHeight="1">
      <c r="A94" s="46">
        <v>2025</v>
      </c>
      <c r="B94" s="19" t="str">
        <f>IF(M94="",   "",   TEXT(M94,   "[$-en-US]mmm"))</f>
        <v>Oct</v>
      </c>
      <c r="C94" s="19" t="s">
        <v>36</v>
      </c>
      <c r="D94" s="19" t="s">
        <v>181</v>
      </c>
      <c r="E94" s="16" t="s">
        <v>284</v>
      </c>
      <c r="F94" s="17" t="s">
        <v>62</v>
      </c>
      <c r="G94" s="17" t="s">
        <v>105</v>
      </c>
      <c r="H94" s="17" t="s">
        <v>250</v>
      </c>
      <c r="I94" s="17" t="s">
        <v>42</v>
      </c>
      <c r="J94" s="12" t="s">
        <v>43</v>
      </c>
      <c r="K94" s="17" t="s">
        <v>53</v>
      </c>
      <c r="L94" s="12" t="s">
        <v>44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ca="1">IF(P94="",                                                                                                                                                                                                   "",
   IF(OR(I94="O-General",                                                                                                                                                                                                   I94="S-General"),
      IF(P94&lt;=30,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IF(I94="S-Special",
         IF(P94&lt;=45,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4" s="13"/>
      <c r="S94" s="17"/>
      <c r="T94" s="17"/>
      <c r="U94" s="17"/>
      <c r="V94" s="17"/>
      <c r="W94" s="26">
        <v>46069</v>
      </c>
      <c r="X94" s="17"/>
      <c r="Y94" s="17"/>
      <c r="Z94" s="36" t="s">
        <v>54</v>
      </c>
      <c r="AA94" s="17"/>
      <c r="AB94" s="17"/>
      <c r="AC94" s="17"/>
      <c r="AD94" s="17"/>
      <c r="AE94" s="17"/>
      <c r="AF94" s="17"/>
      <c r="AG94" s="17"/>
      <c r="AH94" s="17"/>
      <c r="AI94" s="15"/>
      <c r="AJ94" s="8"/>
    </row>
    <row r="95" spans="1:36" s="11" customFormat="1" ht="41.45" customHeight="1">
      <c r="A95" s="46">
        <v>2025</v>
      </c>
      <c r="B95" s="19" t="str">
        <f>IF(M95="",   "",   TEXT(M95,   "[$-en-US]mmm"))</f>
        <v>Oct</v>
      </c>
      <c r="C95" s="19" t="s">
        <v>36</v>
      </c>
      <c r="D95" s="19" t="s">
        <v>285</v>
      </c>
      <c r="E95" s="16" t="s">
        <v>286</v>
      </c>
      <c r="F95" s="17" t="s">
        <v>287</v>
      </c>
      <c r="G95" s="17" t="s">
        <v>288</v>
      </c>
      <c r="H95" s="17" t="s">
        <v>289</v>
      </c>
      <c r="I95" s="12" t="s">
        <v>42</v>
      </c>
      <c r="J95" s="12" t="s">
        <v>43</v>
      </c>
      <c r="K95" s="12" t="s">
        <v>115</v>
      </c>
      <c r="L95" s="12" t="s">
        <v>44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ca="1">IF(P95="",                                                                                                                                                                                                   "",
   IF(OR(I95="O-General",                                                                                                                                                                                                   I95="S-General"),
      IF(P95&lt;=30,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IF(I95="S-Special",
         IF(P95&lt;=45,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5" s="13"/>
      <c r="S95" s="17"/>
      <c r="T95" s="17"/>
      <c r="U95" s="17"/>
      <c r="V95" s="17"/>
      <c r="W95" s="26">
        <v>46023</v>
      </c>
      <c r="X95" s="17"/>
      <c r="Y95" s="17"/>
      <c r="Z95" s="17" t="s">
        <v>73</v>
      </c>
      <c r="AA95" s="17"/>
      <c r="AB95" s="17"/>
      <c r="AC95" s="17"/>
      <c r="AD95" s="17"/>
      <c r="AE95" s="17"/>
      <c r="AF95" s="17"/>
      <c r="AG95" s="17"/>
      <c r="AH95" s="17"/>
      <c r="AI95" s="15"/>
      <c r="AJ95" s="8"/>
    </row>
    <row r="96" spans="1:36" s="11" customFormat="1" ht="41.45" customHeight="1">
      <c r="A96" s="46">
        <v>2025</v>
      </c>
      <c r="B96" s="19" t="str">
        <f>IF(M96="",   "",   TEXT(M96,   "[$-en-US]mmm"))</f>
        <v>Oct</v>
      </c>
      <c r="C96" s="19" t="s">
        <v>36</v>
      </c>
      <c r="D96" s="21" t="s">
        <v>290</v>
      </c>
      <c r="E96" s="18" t="s">
        <v>291</v>
      </c>
      <c r="F96" s="18" t="s">
        <v>292</v>
      </c>
      <c r="G96" s="18" t="s">
        <v>293</v>
      </c>
      <c r="H96" s="18"/>
      <c r="I96" s="17" t="s">
        <v>42</v>
      </c>
      <c r="J96" s="12" t="s">
        <v>43</v>
      </c>
      <c r="K96" s="17" t="s">
        <v>53</v>
      </c>
      <c r="L96" s="12" t="s">
        <v>44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187</v>
      </c>
      <c r="Q96" s="13" t="str">
        <f ca="1">IF(P96="",                                                                                                                                                                                                   "",
   IF(OR(I96="O-General",                                                                                                                                                                                                   I96="S-General"),
      IF(P96&lt;=30,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IF(I96="S-Special",
         IF(P96&lt;=45,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6" s="13"/>
      <c r="S96" s="17"/>
      <c r="T96" s="17"/>
      <c r="U96" s="17"/>
      <c r="V96" s="17"/>
      <c r="W96" s="26">
        <v>46054</v>
      </c>
      <c r="X96" s="17"/>
      <c r="Y96" s="17"/>
      <c r="Z96" s="31" t="s">
        <v>216</v>
      </c>
      <c r="AA96" s="17"/>
      <c r="AB96" s="17"/>
      <c r="AC96" s="17"/>
      <c r="AD96" s="17"/>
      <c r="AE96" s="17"/>
      <c r="AF96" s="17"/>
      <c r="AG96" s="17"/>
      <c r="AH96" s="17"/>
      <c r="AI96" s="15"/>
      <c r="AJ96" s="8"/>
    </row>
    <row r="97" spans="1:36" s="11" customFormat="1" ht="41.45" customHeight="1">
      <c r="A97" s="46">
        <v>2025</v>
      </c>
      <c r="B97" s="19" t="str">
        <f>IF(M97="",   "",   TEXT(M97,   "[$-en-US]mmm"))</f>
        <v>Oct</v>
      </c>
      <c r="C97" s="19" t="s">
        <v>36</v>
      </c>
      <c r="D97" s="19" t="s">
        <v>294</v>
      </c>
      <c r="E97" s="16" t="s">
        <v>294</v>
      </c>
      <c r="F97" s="17" t="s">
        <v>175</v>
      </c>
      <c r="G97" s="17" t="s">
        <v>295</v>
      </c>
      <c r="H97" s="17" t="s">
        <v>296</v>
      </c>
      <c r="I97" s="12" t="s">
        <v>52</v>
      </c>
      <c r="J97" s="12" t="s">
        <v>43</v>
      </c>
      <c r="K97" s="17" t="s">
        <v>53</v>
      </c>
      <c r="L97" s="12" t="s">
        <v>44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187</v>
      </c>
      <c r="Q97" s="13" t="str">
        <f ca="1">IF(P97="",                                                                                                                                                                                                   "",
   IF(OR(I97="O-General",                                                                                                                                                                                                   I97="S-General"),
      IF(P97&lt;=30,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IF(I97="S-Special",
         IF(P97&lt;=45,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7" s="13"/>
      <c r="S97" s="17"/>
      <c r="T97" s="17"/>
      <c r="U97" s="17"/>
      <c r="V97" s="17"/>
      <c r="W97" s="26"/>
      <c r="X97" s="17"/>
      <c r="Y97" s="17"/>
      <c r="Z97" s="17" t="s">
        <v>73</v>
      </c>
      <c r="AA97" s="17"/>
      <c r="AB97" s="17"/>
      <c r="AC97" s="17"/>
      <c r="AD97" s="17"/>
      <c r="AE97" s="17"/>
      <c r="AF97" s="17"/>
      <c r="AG97" s="17"/>
      <c r="AH97" s="17"/>
      <c r="AI97" s="15"/>
      <c r="AJ97" s="8"/>
    </row>
    <row r="98" spans="1:36" s="11" customFormat="1" ht="41.45" customHeight="1">
      <c r="A98" s="46">
        <v>2025</v>
      </c>
      <c r="B98" s="19" t="str">
        <f>IF(M98="",   "",   TEXT(M98,   "[$-en-US]mmm"))</f>
        <v>Oct</v>
      </c>
      <c r="C98" s="19" t="s">
        <v>36</v>
      </c>
      <c r="D98" s="21" t="s">
        <v>297</v>
      </c>
      <c r="E98" s="18" t="s">
        <v>117</v>
      </c>
      <c r="F98" s="18" t="s">
        <v>175</v>
      </c>
      <c r="G98" s="18" t="s">
        <v>298</v>
      </c>
      <c r="H98" s="18" t="s">
        <v>299</v>
      </c>
      <c r="I98" s="12" t="s">
        <v>83</v>
      </c>
      <c r="J98" s="12" t="s">
        <v>43</v>
      </c>
      <c r="K98" s="12" t="s">
        <v>73</v>
      </c>
      <c r="L98" s="12" t="s">
        <v>44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ca="1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7"/>
      <c r="Y98" s="17"/>
      <c r="Z98" s="38" t="s">
        <v>73</v>
      </c>
      <c r="AA98" s="17"/>
      <c r="AB98" s="17"/>
      <c r="AC98" s="17"/>
      <c r="AD98" s="17"/>
      <c r="AE98" s="17"/>
      <c r="AF98" s="17"/>
      <c r="AG98" s="17"/>
      <c r="AH98" s="17"/>
      <c r="AI98" s="15"/>
      <c r="AJ98" s="8"/>
    </row>
    <row r="99" spans="1:36" s="54" customFormat="1" ht="36" customHeight="1">
      <c r="A99" s="53">
        <v>2026</v>
      </c>
      <c r="B99" s="53" t="str">
        <f>IF(M99="", "", TEXT(M99, "[$-en-US]mmm"))</f>
        <v>Jan</v>
      </c>
      <c r="C99" s="53" t="s">
        <v>36</v>
      </c>
      <c r="D99" s="53" t="s">
        <v>167</v>
      </c>
      <c r="E99" s="53" t="s">
        <v>167</v>
      </c>
      <c r="F99" s="54" t="s">
        <v>112</v>
      </c>
      <c r="G99" s="53" t="s">
        <v>245</v>
      </c>
      <c r="H99" s="53" t="s">
        <v>300</v>
      </c>
      <c r="I99" s="53" t="s">
        <v>52</v>
      </c>
      <c r="J99" s="53" t="s">
        <v>43</v>
      </c>
      <c r="K99" s="53" t="s">
        <v>53</v>
      </c>
      <c r="L99" s="53" t="s">
        <v>44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ca="1">IF(P99="",                                                                                                                                                                                                   "",
   IF(OR(I99="O-General",                                                                                                                                                                                                   I99="S-General"),
      IF(P99&lt;=30,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IF(I99="S-Special",
         IF(P99&lt;=45,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9" s="53" t="s">
        <v>301</v>
      </c>
      <c r="S99" s="53">
        <v>15432</v>
      </c>
      <c r="T99" s="53" t="s">
        <v>302</v>
      </c>
      <c r="U99" s="53"/>
      <c r="V99" s="112" t="s">
        <v>303</v>
      </c>
      <c r="W99" s="53" t="s">
        <v>304</v>
      </c>
      <c r="X99" s="53"/>
      <c r="Y99" s="56">
        <v>46097</v>
      </c>
      <c r="Z99" s="53" t="s">
        <v>216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  <c r="AI99" s="58"/>
    </row>
    <row r="100" spans="1:36" s="60" customFormat="1" ht="36" customHeight="1">
      <c r="A100" s="59">
        <v>2026</v>
      </c>
      <c r="B100" s="53" t="str">
        <f>IF(M100="", "", TEXT(M100, "[$-en-US]mmm"))</f>
        <v>Jan</v>
      </c>
      <c r="C100" s="59" t="s">
        <v>36</v>
      </c>
      <c r="D100" s="59" t="s">
        <v>305</v>
      </c>
      <c r="E100" s="59" t="s">
        <v>305</v>
      </c>
      <c r="F100" s="60" t="s">
        <v>112</v>
      </c>
      <c r="G100" s="59" t="s">
        <v>306</v>
      </c>
      <c r="H100" s="59" t="s">
        <v>114</v>
      </c>
      <c r="I100" s="59" t="s">
        <v>52</v>
      </c>
      <c r="J100" s="59" t="s">
        <v>43</v>
      </c>
      <c r="K100" s="59" t="s">
        <v>115</v>
      </c>
      <c r="L100" s="59" t="s">
        <v>44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ca="1">IF(P100="",                                                                                                                                                                                                   "",
   IF(OR(I100="O-General",                                                                                                                                                                                                   I100="S-General"),
      IF(P100&lt;=30,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IF(I100="S-Special",
         IF(P100&lt;=45,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0" s="59" t="s">
        <v>301</v>
      </c>
      <c r="S100" s="59">
        <v>15166</v>
      </c>
      <c r="T100" s="59" t="s">
        <v>307</v>
      </c>
      <c r="U100" s="59"/>
      <c r="V100" s="113" t="s">
        <v>308</v>
      </c>
      <c r="W100" s="53" t="s">
        <v>309</v>
      </c>
      <c r="X100" s="59"/>
      <c r="Y100" s="62"/>
      <c r="Z100" s="59" t="s">
        <v>216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  <c r="AI100" s="64"/>
    </row>
    <row r="101" spans="1:36" s="65" customFormat="1" ht="36" customHeight="1">
      <c r="A101" s="60">
        <v>2026</v>
      </c>
      <c r="B101" s="53" t="str">
        <f>IF(M101="", "", TEXT(M101, "[$-en-US]mmm"))</f>
        <v>Feb</v>
      </c>
      <c r="C101" s="59" t="s">
        <v>36</v>
      </c>
      <c r="D101" s="60" t="s">
        <v>310</v>
      </c>
      <c r="E101" s="60" t="s">
        <v>310</v>
      </c>
      <c r="F101" s="60" t="s">
        <v>49</v>
      </c>
      <c r="G101" s="60" t="s">
        <v>262</v>
      </c>
      <c r="H101" s="60" t="s">
        <v>311</v>
      </c>
      <c r="I101" s="59" t="s">
        <v>52</v>
      </c>
      <c r="J101" s="59" t="s">
        <v>43</v>
      </c>
      <c r="K101" s="60" t="s">
        <v>53</v>
      </c>
      <c r="L101" s="59" t="s">
        <v>44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ca="1">IF(P101="",                                                                                                                                                                                                   "",
   IF(OR(I101="O-General",                                                                                                                                                                                                   I101="S-General"),
      IF(P101&lt;=30,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IF(I101="S-Special",
         IF(P101&lt;=45,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1" s="59" t="s">
        <v>301</v>
      </c>
      <c r="S101" s="60">
        <v>16631</v>
      </c>
      <c r="T101" s="60"/>
      <c r="U101" s="60"/>
      <c r="V101" s="114" t="s">
        <v>312</v>
      </c>
      <c r="W101" s="53" t="s">
        <v>313</v>
      </c>
      <c r="X101" s="60"/>
      <c r="Y101" s="63"/>
      <c r="Z101" s="59" t="s">
        <v>216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  <c r="AI101" s="64"/>
    </row>
    <row r="102" spans="1:36" s="60" customFormat="1" ht="36" customHeight="1">
      <c r="A102" s="60">
        <v>2026</v>
      </c>
      <c r="B102" s="53" t="str">
        <f>IF(M102="", "", TEXT(M102, "[$-en-US]mmm"))</f>
        <v>Feb</v>
      </c>
      <c r="C102" s="59" t="s">
        <v>36</v>
      </c>
      <c r="D102" s="60" t="s">
        <v>314</v>
      </c>
      <c r="E102" s="60" t="s">
        <v>314</v>
      </c>
      <c r="F102" s="60" t="s">
        <v>76</v>
      </c>
      <c r="G102" s="60" t="s">
        <v>315</v>
      </c>
      <c r="H102" s="60" t="s">
        <v>316</v>
      </c>
      <c r="I102" s="59" t="s">
        <v>42</v>
      </c>
      <c r="J102" s="59" t="s">
        <v>84</v>
      </c>
      <c r="L102" s="59" t="s">
        <v>84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ca="1">IF(P102="",                                                                                                                                                                                                   "",
   IF(OR(I102="O-General",                                                                                                                                                                                                   I102="S-General"),
      IF(P102&lt;=30,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IF(I102="S-Special",
         IF(P102&lt;=45,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2" s="59" t="s">
        <v>301</v>
      </c>
      <c r="V102" s="114"/>
      <c r="W102" s="60" t="s">
        <v>304</v>
      </c>
      <c r="Y102" s="63"/>
      <c r="Z102" s="59"/>
      <c r="AC102" s="64"/>
      <c r="AD102" s="64"/>
      <c r="AE102" s="64"/>
      <c r="AF102" s="64"/>
      <c r="AG102" s="64"/>
      <c r="AI102" s="64"/>
    </row>
    <row r="103" spans="1:36" s="65" customFormat="1" ht="36" customHeight="1">
      <c r="A103" s="60">
        <v>2026</v>
      </c>
      <c r="B103" s="53" t="str">
        <f>IF(M103="", "", TEXT(M103, "[$-en-US]mmm"))</f>
        <v>Feb</v>
      </c>
      <c r="C103" s="59" t="s">
        <v>36</v>
      </c>
      <c r="D103" s="60" t="s">
        <v>317</v>
      </c>
      <c r="E103" s="60" t="s">
        <v>317</v>
      </c>
      <c r="F103" s="60" t="s">
        <v>292</v>
      </c>
      <c r="G103" s="59" t="s">
        <v>318</v>
      </c>
      <c r="H103" s="60" t="s">
        <v>319</v>
      </c>
      <c r="I103" s="59" t="s">
        <v>52</v>
      </c>
      <c r="J103" s="59" t="s">
        <v>43</v>
      </c>
      <c r="K103" s="60" t="s">
        <v>320</v>
      </c>
      <c r="L103" s="59" t="s">
        <v>44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ca="1">IF(P103="",                                                                                                                                                                                                   "",
   IF(OR(I103="O-General",                                                                                                                                                                                                   I103="S-General"),
      IF(P103&lt;=30,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IF(I103="S-Special",
         IF(P103&lt;=45,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3" s="59" t="s">
        <v>301</v>
      </c>
      <c r="S103" s="60">
        <v>16552</v>
      </c>
      <c r="T103" s="60" t="s">
        <v>321</v>
      </c>
      <c r="U103" s="60"/>
      <c r="V103" s="114" t="s">
        <v>322</v>
      </c>
      <c r="W103" s="60" t="s">
        <v>323</v>
      </c>
      <c r="X103" s="60"/>
      <c r="Y103" s="63"/>
      <c r="Z103" s="59" t="s">
        <v>216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  <c r="AI103" s="64"/>
    </row>
    <row r="104" spans="1:36" s="60" customFormat="1" ht="36" customHeight="1">
      <c r="A104" s="60">
        <v>2026</v>
      </c>
      <c r="B104" s="53" t="str">
        <f>IF(M104="", "", TEXT(M104, "[$-en-US]mmm"))</f>
        <v>Feb</v>
      </c>
      <c r="C104" s="59" t="s">
        <v>36</v>
      </c>
      <c r="D104" s="60" t="s">
        <v>238</v>
      </c>
      <c r="E104" s="60" t="s">
        <v>238</v>
      </c>
      <c r="F104" s="60" t="s">
        <v>49</v>
      </c>
      <c r="G104" s="60" t="s">
        <v>98</v>
      </c>
      <c r="H104" s="60" t="s">
        <v>324</v>
      </c>
      <c r="I104" s="59" t="s">
        <v>42</v>
      </c>
      <c r="J104" s="59" t="s">
        <v>43</v>
      </c>
      <c r="K104" s="60" t="s">
        <v>53</v>
      </c>
      <c r="L104" s="59" t="s">
        <v>44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ca="1">IF(P104="",                                                                                                                                                                                                   "",
   IF(OR(I104="O-General",                                                                                                                                                                                                   I104="S-General"),
      IF(P104&lt;=30,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IF(I104="S-Special",
         IF(P104&lt;=45,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4" s="59"/>
      <c r="V104" s="114" t="s">
        <v>325</v>
      </c>
      <c r="W104" s="60" t="s">
        <v>326</v>
      </c>
      <c r="Y104" s="63"/>
      <c r="Z104" s="59" t="s">
        <v>216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  <c r="AI104" s="64"/>
    </row>
    <row r="105" spans="1:36" s="65" customFormat="1" ht="36" customHeight="1">
      <c r="A105" s="60">
        <v>2026</v>
      </c>
      <c r="B105" s="53" t="str">
        <f>IF(M105="", "", TEXT(M105, "[$-en-US]mmm"))</f>
        <v>Mar</v>
      </c>
      <c r="C105" s="59" t="s">
        <v>36</v>
      </c>
      <c r="D105" s="60" t="s">
        <v>310</v>
      </c>
      <c r="E105" s="60" t="s">
        <v>310</v>
      </c>
      <c r="F105" s="60" t="s">
        <v>49</v>
      </c>
      <c r="G105" s="60" t="s">
        <v>262</v>
      </c>
      <c r="H105" s="60" t="s">
        <v>311</v>
      </c>
      <c r="I105" s="59" t="s">
        <v>52</v>
      </c>
      <c r="J105" s="59" t="s">
        <v>43</v>
      </c>
      <c r="K105" s="60" t="s">
        <v>53</v>
      </c>
      <c r="L105" s="59" t="s">
        <v>44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ca="1">IF(P105="",                                                                                                                                                                                                   "",
   IF(OR(I105="O-General",                                                                                                                                                                                                   I105="S-General"),
      IF(P105&lt;=30,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IF(I105="S-Special",
         IF(P105&lt;=45,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5" s="59" t="s">
        <v>301</v>
      </c>
      <c r="S105" s="60">
        <v>15969</v>
      </c>
      <c r="T105" s="60"/>
      <c r="U105" s="60"/>
      <c r="V105" s="114" t="s">
        <v>327</v>
      </c>
      <c r="W105" s="60" t="s">
        <v>313</v>
      </c>
      <c r="X105" s="60"/>
      <c r="Y105" s="63"/>
      <c r="Z105" s="59" t="s">
        <v>216</v>
      </c>
      <c r="AA105" s="60"/>
      <c r="AB105" s="60"/>
      <c r="AC105" s="64"/>
      <c r="AD105" s="64"/>
      <c r="AE105" s="64"/>
      <c r="AF105" s="64"/>
      <c r="AG105" s="64"/>
      <c r="AH105" s="60"/>
      <c r="AI105" s="64"/>
    </row>
    <row r="106" spans="1:36" s="60" customFormat="1" ht="36" customHeight="1">
      <c r="A106" s="60">
        <v>2026</v>
      </c>
      <c r="B106" s="53" t="str">
        <f>IF(M106="", "", TEXT(M106, "[$-en-US]mmm"))</f>
        <v>Mar</v>
      </c>
      <c r="C106" s="59" t="s">
        <v>36</v>
      </c>
      <c r="D106" s="60" t="s">
        <v>328</v>
      </c>
      <c r="E106" s="60" t="s">
        <v>329</v>
      </c>
      <c r="I106" s="59" t="s">
        <v>42</v>
      </c>
      <c r="J106" s="59" t="s">
        <v>43</v>
      </c>
      <c r="K106" s="60" t="s">
        <v>53</v>
      </c>
      <c r="L106" s="59" t="s">
        <v>44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ca="1">IF(P106="",                                                                                                                                                                                                   "",
   IF(OR(I106="O-General",                                                                                                                                                                                                   I106="S-General"),
      IF(P106&lt;=30,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IF(I106="S-Special",
         IF(P106&lt;=45,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6" s="59" t="s">
        <v>330</v>
      </c>
      <c r="V106" s="114" t="s">
        <v>331</v>
      </c>
      <c r="W106" s="60" t="s">
        <v>332</v>
      </c>
      <c r="Y106" s="63"/>
      <c r="Z106" s="59" t="s">
        <v>54</v>
      </c>
      <c r="AC106" s="64"/>
      <c r="AD106" s="64"/>
      <c r="AE106" s="64"/>
      <c r="AF106" s="64"/>
      <c r="AG106" s="64"/>
      <c r="AI106" s="64"/>
    </row>
    <row r="107" spans="1:36" s="65" customFormat="1" ht="36" customHeight="1">
      <c r="A107" s="60">
        <v>2026</v>
      </c>
      <c r="B107" s="53" t="str">
        <f>IF(M107="", "", TEXT(M107, "[$-en-US]mmm"))</f>
        <v>Mar</v>
      </c>
      <c r="C107" s="59" t="s">
        <v>36</v>
      </c>
      <c r="D107" s="60" t="s">
        <v>247</v>
      </c>
      <c r="E107" s="60" t="s">
        <v>247</v>
      </c>
      <c r="F107" s="60" t="s">
        <v>333</v>
      </c>
      <c r="G107" s="60" t="s">
        <v>157</v>
      </c>
      <c r="H107" s="60" t="s">
        <v>334</v>
      </c>
      <c r="I107" s="59" t="s">
        <v>42</v>
      </c>
      <c r="J107" s="59" t="s">
        <v>43</v>
      </c>
      <c r="K107" s="60" t="s">
        <v>53</v>
      </c>
      <c r="L107" s="59" t="s">
        <v>44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ca="1">IF(P107="",                                                                                                                                                                                                   "",
   IF(OR(I107="O-General",                                                                                                                                                                                                   I107="S-General"),
      IF(P107&lt;=30,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IF(I107="S-Special",
         IF(P107&lt;=45,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7" s="59" t="s">
        <v>301</v>
      </c>
      <c r="S107" s="60">
        <v>16733</v>
      </c>
      <c r="T107" s="60" t="s">
        <v>335</v>
      </c>
      <c r="U107" s="60">
        <v>16749</v>
      </c>
      <c r="V107" s="114" t="s">
        <v>336</v>
      </c>
      <c r="W107" s="60" t="s">
        <v>323</v>
      </c>
      <c r="X107" s="60"/>
      <c r="Y107" s="63"/>
      <c r="Z107" s="59" t="s">
        <v>216</v>
      </c>
      <c r="AA107" s="60"/>
      <c r="AB107" s="60"/>
      <c r="AC107" s="64"/>
      <c r="AD107" s="64"/>
      <c r="AE107" s="64"/>
      <c r="AF107" s="64"/>
      <c r="AG107" s="64"/>
      <c r="AH107" s="60"/>
      <c r="AI107" s="64"/>
    </row>
    <row r="108" spans="1:36" s="65" customFormat="1" ht="36" customHeight="1">
      <c r="A108" s="66">
        <v>2026</v>
      </c>
      <c r="B108" s="59" t="str">
        <f>IF(M108="", "", TEXT(M108, "[$-en-US]mmmm"))</f>
        <v>March</v>
      </c>
      <c r="C108" s="59" t="s">
        <v>36</v>
      </c>
      <c r="D108" s="60" t="s">
        <v>337</v>
      </c>
      <c r="E108" s="60" t="s">
        <v>337</v>
      </c>
      <c r="F108" s="60" t="s">
        <v>292</v>
      </c>
      <c r="G108" s="60" t="s">
        <v>318</v>
      </c>
      <c r="H108" s="60" t="s">
        <v>338</v>
      </c>
      <c r="I108" s="59" t="s">
        <v>52</v>
      </c>
      <c r="J108" s="59" t="s">
        <v>43</v>
      </c>
      <c r="K108" s="60" t="s">
        <v>53</v>
      </c>
      <c r="L108" s="59" t="s">
        <v>44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ca="1">IF(P108="",                                                                                                                                                                                                   "",
   IF(OR(I108="O-General",                                                                                                                                                                                                   I108="S-General"),
      IF(P108&lt;=30,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IF(I108="S-Special",
         IF(P108&lt;=45,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8" s="59" t="s">
        <v>339</v>
      </c>
      <c r="S108" s="60">
        <v>16269</v>
      </c>
      <c r="T108" s="60" t="s">
        <v>340</v>
      </c>
      <c r="U108" s="60"/>
      <c r="V108" s="114" t="s">
        <v>341</v>
      </c>
      <c r="W108" s="60" t="s">
        <v>309</v>
      </c>
      <c r="X108" s="60"/>
      <c r="Y108" s="63"/>
      <c r="Z108" s="59" t="s">
        <v>216</v>
      </c>
      <c r="AA108" s="60"/>
      <c r="AB108" s="60"/>
      <c r="AC108" s="64"/>
      <c r="AD108" s="64"/>
      <c r="AE108" s="64"/>
      <c r="AF108" s="67"/>
      <c r="AG108" s="67"/>
      <c r="AI108" s="64"/>
    </row>
    <row r="109" spans="1:36" s="65" customFormat="1" ht="36" customHeight="1">
      <c r="A109" s="66">
        <v>2026</v>
      </c>
      <c r="B109" s="53" t="str">
        <f>IF(M109="", "", TEXT(M109, "[$-en-US]mmm"))</f>
        <v>May</v>
      </c>
      <c r="C109" s="59" t="s">
        <v>36</v>
      </c>
      <c r="D109" s="60" t="s">
        <v>47</v>
      </c>
      <c r="E109" s="60" t="s">
        <v>249</v>
      </c>
      <c r="F109" s="60" t="s">
        <v>62</v>
      </c>
      <c r="G109" s="60" t="s">
        <v>105</v>
      </c>
      <c r="H109" s="60" t="s">
        <v>342</v>
      </c>
      <c r="I109" s="59" t="s">
        <v>42</v>
      </c>
      <c r="J109" s="59" t="s">
        <v>43</v>
      </c>
      <c r="K109" s="60" t="s">
        <v>53</v>
      </c>
      <c r="L109" s="59" t="s">
        <v>44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ca="1">IF(P109="",                                                                                                                                                                                                   "",
   IF(OR(I109="O-General",                                                                                                                                                                                                   I109="S-General"),
      IF(P109&lt;=30,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IF(I109="S-Special",
         IF(P109&lt;=45,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9" s="59" t="s">
        <v>301</v>
      </c>
      <c r="S109" s="60" t="s">
        <v>343</v>
      </c>
      <c r="T109" s="60" t="s">
        <v>344</v>
      </c>
      <c r="U109" s="60"/>
      <c r="V109" s="114" t="s">
        <v>345</v>
      </c>
      <c r="W109" s="60" t="s">
        <v>346</v>
      </c>
      <c r="X109" s="60"/>
      <c r="Y109" s="63"/>
      <c r="Z109" s="59" t="s">
        <v>216</v>
      </c>
      <c r="AA109" s="60"/>
      <c r="AB109" s="60"/>
      <c r="AC109" s="64"/>
      <c r="AD109" s="64"/>
      <c r="AE109" s="64"/>
      <c r="AF109" s="68"/>
      <c r="AG109" s="68"/>
      <c r="AI109" s="64"/>
    </row>
    <row r="110" spans="1:36" s="65" customFormat="1" ht="36" customHeight="1">
      <c r="A110" s="66">
        <v>2026</v>
      </c>
      <c r="B110" s="53" t="str">
        <f>IF(M110="", "", TEXT(M110, "[$-en-US]mmm"))</f>
        <v>May</v>
      </c>
      <c r="C110" s="59" t="s">
        <v>36</v>
      </c>
      <c r="D110" s="60" t="s">
        <v>347</v>
      </c>
      <c r="E110" s="60" t="s">
        <v>348</v>
      </c>
      <c r="F110" s="60" t="s">
        <v>88</v>
      </c>
      <c r="G110" s="60" t="s">
        <v>107</v>
      </c>
      <c r="H110" s="60" t="s">
        <v>349</v>
      </c>
      <c r="I110" s="59" t="s">
        <v>42</v>
      </c>
      <c r="J110" s="59" t="s">
        <v>43</v>
      </c>
      <c r="K110" s="60" t="s">
        <v>53</v>
      </c>
      <c r="L110" s="59" t="s">
        <v>350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ca="1">IF(P110="",                                                                                                                                                                                                   "",
   IF(OR(I110="O-General",                                                                                                                                                                                                   I110="S-General"),
      IF(P110&lt;=30,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IF(I110="S-Special",
         IF(P110&lt;=45,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0" s="59" t="s">
        <v>339</v>
      </c>
      <c r="S110" s="60">
        <v>15917</v>
      </c>
      <c r="T110" s="60" t="s">
        <v>351</v>
      </c>
      <c r="U110" s="60"/>
      <c r="V110" s="114" t="s">
        <v>352</v>
      </c>
      <c r="W110" s="60" t="s">
        <v>353</v>
      </c>
      <c r="X110" s="60"/>
      <c r="Y110" s="63"/>
      <c r="Z110" s="59" t="s">
        <v>161</v>
      </c>
      <c r="AA110" s="60"/>
      <c r="AB110" s="60"/>
      <c r="AC110" s="64"/>
      <c r="AD110" s="64"/>
      <c r="AE110" s="64"/>
      <c r="AF110" s="68"/>
      <c r="AG110" s="68"/>
      <c r="AI110" s="64"/>
      <c r="AJ110" s="69" t="s">
        <v>354</v>
      </c>
    </row>
    <row r="111" spans="1:36" s="65" customFormat="1" ht="36" customHeight="1">
      <c r="A111" s="66">
        <v>2026</v>
      </c>
      <c r="B111" s="53" t="str">
        <f>IF(M111="", "", TEXT(M111, "[$-en-US]mmm"))</f>
        <v>May</v>
      </c>
      <c r="C111" s="59" t="s">
        <v>36</v>
      </c>
      <c r="D111" s="70" t="s">
        <v>355</v>
      </c>
      <c r="E111" s="70" t="s">
        <v>355</v>
      </c>
      <c r="F111" s="70" t="s">
        <v>88</v>
      </c>
      <c r="G111" s="70" t="s">
        <v>107</v>
      </c>
      <c r="H111" s="70" t="s">
        <v>255</v>
      </c>
      <c r="I111" s="71" t="s">
        <v>42</v>
      </c>
      <c r="J111" s="59" t="s">
        <v>43</v>
      </c>
      <c r="K111" s="60" t="s">
        <v>53</v>
      </c>
      <c r="L111" s="71" t="s">
        <v>350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ca="1">IF(P111="",                                                                                                                                                                                                   "",
   IF(OR(I111="O-General",                                                                                                                                                                                                   I111="S-General"),
      IF(P111&lt;=30,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IF(I111="S-Special",
         IF(P111&lt;=45,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1" s="71"/>
      <c r="S111" s="70"/>
      <c r="T111" s="70"/>
      <c r="U111" s="70">
        <v>15880</v>
      </c>
      <c r="V111" s="115" t="s">
        <v>356</v>
      </c>
      <c r="W111" s="70"/>
      <c r="X111" s="70"/>
      <c r="Y111" s="74"/>
      <c r="Z111" s="71" t="s">
        <v>73</v>
      </c>
      <c r="AA111" s="70"/>
      <c r="AB111" s="70"/>
      <c r="AC111" s="75"/>
      <c r="AD111" s="75"/>
      <c r="AE111" s="75"/>
      <c r="AF111" s="67"/>
      <c r="AG111" s="67"/>
      <c r="AH111" s="76"/>
      <c r="AI111" s="75"/>
    </row>
    <row r="112" spans="1:36" s="65" customFormat="1" ht="36" customHeight="1">
      <c r="A112" s="66">
        <v>2026</v>
      </c>
      <c r="B112" s="53" t="str">
        <f>IF(M112="", "", TEXT(M112, "[$-en-US]mmm"))</f>
        <v>Jun</v>
      </c>
      <c r="C112" s="59" t="s">
        <v>36</v>
      </c>
      <c r="D112" s="110" t="s">
        <v>357</v>
      </c>
      <c r="E112" s="60" t="s">
        <v>358</v>
      </c>
      <c r="F112" s="60" t="s">
        <v>112</v>
      </c>
      <c r="G112" s="60" t="s">
        <v>359</v>
      </c>
      <c r="H112" s="60" t="s">
        <v>360</v>
      </c>
      <c r="I112" s="59" t="s">
        <v>52</v>
      </c>
      <c r="J112" s="59" t="s">
        <v>43</v>
      </c>
      <c r="K112" s="60" t="s">
        <v>53</v>
      </c>
      <c r="L112" s="71" t="s">
        <v>361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>
        <v>46212</v>
      </c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2" s="59" t="str">
        <f ca="1">IF(P112="",                                                                                                                                                                                                   "",
   IF(OR(I112="O-General",                                                                                                                                                                                                   I112="S-General"),
      IF(P112&lt;=30,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IF(I112="S-Special",
         IF(P112&lt;=45,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2" s="59"/>
      <c r="S112" s="60">
        <v>16124</v>
      </c>
      <c r="T112" s="60"/>
      <c r="U112" s="60"/>
      <c r="V112" s="114"/>
      <c r="W112" s="60"/>
      <c r="X112" s="60"/>
      <c r="Y112" s="63"/>
      <c r="Z112" s="59"/>
      <c r="AA112" s="60"/>
      <c r="AB112" s="60" t="s">
        <v>362</v>
      </c>
      <c r="AC112" s="64"/>
      <c r="AD112" s="64"/>
      <c r="AE112" s="64"/>
      <c r="AF112" s="67"/>
      <c r="AG112" s="67"/>
      <c r="AI112" s="64"/>
      <c r="AJ112" s="69" t="s">
        <v>363</v>
      </c>
    </row>
    <row r="113" spans="1:36" s="65" customFormat="1" ht="36" customHeight="1">
      <c r="A113" s="66">
        <v>2026</v>
      </c>
      <c r="B113" s="53" t="str">
        <f>IF(M113="", "", TEXT(M113, "[$-en-US]mmm"))</f>
        <v>Jun</v>
      </c>
      <c r="C113" s="59" t="s">
        <v>36</v>
      </c>
      <c r="D113" s="70" t="s">
        <v>97</v>
      </c>
      <c r="E113" s="70" t="s">
        <v>97</v>
      </c>
      <c r="F113" s="70" t="s">
        <v>49</v>
      </c>
      <c r="G113" s="70" t="s">
        <v>98</v>
      </c>
      <c r="H113" s="70" t="s">
        <v>99</v>
      </c>
      <c r="I113" s="71" t="s">
        <v>52</v>
      </c>
      <c r="J113" s="59" t="s">
        <v>43</v>
      </c>
      <c r="K113" s="60" t="s">
        <v>53</v>
      </c>
      <c r="L113" s="71" t="s">
        <v>350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ca="1">IF(P113="",                                                                                                                                                                                                   "",
   IF(OR(I113="O-General",                                                                                                                                                                                                   I113="S-General"),
      IF(P113&lt;=30,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IF(I113="S-Special",
         IF(P113&lt;=45,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3" s="71"/>
      <c r="S113" s="70">
        <v>16700</v>
      </c>
      <c r="T113" s="70"/>
      <c r="U113" s="70"/>
      <c r="V113" s="115" t="s">
        <v>364</v>
      </c>
      <c r="W113" s="60" t="s">
        <v>365</v>
      </c>
      <c r="X113" s="70"/>
      <c r="Y113" s="74"/>
      <c r="Z113" s="71" t="s">
        <v>216</v>
      </c>
      <c r="AA113" s="70"/>
      <c r="AB113" s="71" t="s">
        <v>366</v>
      </c>
      <c r="AC113" s="75"/>
      <c r="AD113" s="75"/>
      <c r="AE113" s="75"/>
      <c r="AF113" s="67"/>
      <c r="AG113" s="67"/>
      <c r="AH113" s="76"/>
      <c r="AI113" s="75"/>
      <c r="AJ113" s="69" t="s">
        <v>367</v>
      </c>
    </row>
    <row r="114" spans="1:36" s="65" customFormat="1" ht="36" customHeight="1">
      <c r="A114" s="66">
        <v>2026</v>
      </c>
      <c r="B114" s="53" t="str">
        <f>IF(M114="", "", TEXT(M114, "[$-en-US]mmm"))</f>
        <v>Jun</v>
      </c>
      <c r="C114" s="59" t="s">
        <v>36</v>
      </c>
      <c r="D114" s="70" t="s">
        <v>368</v>
      </c>
      <c r="E114" s="70" t="s">
        <v>368</v>
      </c>
      <c r="F114" s="70" t="s">
        <v>175</v>
      </c>
      <c r="G114" s="70" t="s">
        <v>295</v>
      </c>
      <c r="H114" s="70" t="s">
        <v>369</v>
      </c>
      <c r="I114" s="71" t="s">
        <v>42</v>
      </c>
      <c r="J114" s="59" t="s">
        <v>43</v>
      </c>
      <c r="K114" s="60" t="s">
        <v>115</v>
      </c>
      <c r="L114" s="71" t="s">
        <v>350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ca="1">IF(P114="",                                                                                                                                                                                                   "",
   IF(OR(I114="O-General",                                                                                                                                                                                                   I114="S-General"),
      IF(P114&lt;=30,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IF(I114="S-Special",
         IF(P114&lt;=45,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4" s="71"/>
      <c r="S114" s="70">
        <v>15889</v>
      </c>
      <c r="T114" s="70"/>
      <c r="U114" s="70"/>
      <c r="V114" s="115"/>
      <c r="W114" s="70"/>
      <c r="X114" s="70"/>
      <c r="Y114" s="74"/>
      <c r="Z114" s="71"/>
      <c r="AA114" s="70"/>
      <c r="AB114" s="70" t="s">
        <v>370</v>
      </c>
      <c r="AC114" s="75"/>
      <c r="AD114" s="75"/>
      <c r="AE114" s="75"/>
      <c r="AF114" s="67"/>
      <c r="AG114" s="67"/>
      <c r="AH114" s="76"/>
      <c r="AI114" s="75"/>
      <c r="AJ114" s="45" t="s">
        <v>371</v>
      </c>
    </row>
    <row r="115" spans="1:36" s="65" customFormat="1" ht="36" customHeight="1">
      <c r="A115" s="66">
        <v>2026</v>
      </c>
      <c r="B115" s="53" t="str">
        <f>IF(M115="", "", TEXT(M115, "[$-en-US]mmm"))</f>
        <v>Jun</v>
      </c>
      <c r="C115" s="59" t="s">
        <v>36</v>
      </c>
      <c r="D115" s="70" t="s">
        <v>372</v>
      </c>
      <c r="E115" s="70" t="s">
        <v>372</v>
      </c>
      <c r="F115" s="70" t="s">
        <v>292</v>
      </c>
      <c r="G115" s="70" t="s">
        <v>293</v>
      </c>
      <c r="H115" s="70"/>
      <c r="I115" s="71" t="s">
        <v>52</v>
      </c>
      <c r="J115" s="59" t="s">
        <v>43</v>
      </c>
      <c r="K115" s="60" t="s">
        <v>53</v>
      </c>
      <c r="L115" s="71" t="s">
        <v>350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ca="1">IF(P115="",                                                                                                                                                                                                   "",
   IF(OR(I115="O-General",                                                                                                                                                                                                   I115="S-General"),
      IF(P115&lt;=30,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IF(I115="S-Special",
         IF(P115&lt;=45,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5" s="71"/>
      <c r="S115" s="70">
        <v>16266</v>
      </c>
      <c r="T115" s="70"/>
      <c r="U115" s="76"/>
      <c r="V115" s="118" t="s">
        <v>373</v>
      </c>
      <c r="W115" s="120"/>
      <c r="X115" s="70"/>
      <c r="Y115" s="74"/>
      <c r="Z115" s="71" t="s">
        <v>216</v>
      </c>
      <c r="AA115" s="70"/>
      <c r="AB115" s="60" t="s">
        <v>362</v>
      </c>
      <c r="AC115" s="75"/>
      <c r="AD115" s="75"/>
      <c r="AE115" s="75"/>
      <c r="AF115" s="67"/>
      <c r="AG115" s="67"/>
      <c r="AH115" s="76"/>
      <c r="AI115" s="75"/>
      <c r="AJ115" s="45" t="s">
        <v>374</v>
      </c>
    </row>
    <row r="116" spans="1:36" s="76" customFormat="1" ht="36" customHeight="1">
      <c r="A116" s="66">
        <v>2026</v>
      </c>
      <c r="B116" s="53" t="str">
        <f>IF(M116="", "", TEXT(M116, "[$-en-US]mmm"))</f>
        <v>Jun</v>
      </c>
      <c r="C116" s="71" t="s">
        <v>36</v>
      </c>
      <c r="D116" s="70" t="s">
        <v>261</v>
      </c>
      <c r="E116" s="70" t="s">
        <v>261</v>
      </c>
      <c r="F116" s="70" t="s">
        <v>49</v>
      </c>
      <c r="G116" s="70" t="s">
        <v>262</v>
      </c>
      <c r="H116" s="70" t="s">
        <v>375</v>
      </c>
      <c r="I116" s="71" t="s">
        <v>52</v>
      </c>
      <c r="J116" s="59" t="s">
        <v>43</v>
      </c>
      <c r="K116" s="70" t="s">
        <v>53</v>
      </c>
      <c r="L116" s="71" t="s">
        <v>44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ca="1">IF(P116="",                                                                                                                                                                                                   "",
   IF(OR(I116="O-General",                                                                                                                                                                                                   I116="S-General"),
      IF(P116&lt;=30,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IF(I116="S-Special",
         IF(P116&lt;=45,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6" s="71" t="s">
        <v>301</v>
      </c>
      <c r="S116" s="70">
        <v>16404</v>
      </c>
      <c r="T116" s="70"/>
      <c r="V116" s="119" t="s">
        <v>376</v>
      </c>
      <c r="W116" s="66" t="s">
        <v>346</v>
      </c>
      <c r="X116" s="70"/>
      <c r="Y116" s="74"/>
      <c r="Z116" s="71" t="s">
        <v>216</v>
      </c>
      <c r="AA116" s="70"/>
      <c r="AB116" s="60" t="s">
        <v>362</v>
      </c>
      <c r="AC116" s="75"/>
      <c r="AD116" s="75"/>
      <c r="AE116" s="75"/>
      <c r="AF116" s="67"/>
      <c r="AG116" s="67"/>
      <c r="AI116" s="75"/>
      <c r="AJ116" s="77" t="s">
        <v>377</v>
      </c>
    </row>
    <row r="117" spans="1:36" s="105" customFormat="1" ht="31.5" customHeight="1">
      <c r="A117" s="95">
        <v>2026</v>
      </c>
      <c r="B117" s="96" t="str">
        <f>IF(M117="", "", TEXT(M117, "[$-en-US]mmm"))</f>
        <v>Jul</v>
      </c>
      <c r="C117" s="96" t="s">
        <v>36</v>
      </c>
      <c r="D117" s="97" t="s">
        <v>378</v>
      </c>
      <c r="E117" s="97"/>
      <c r="F117" s="97" t="s">
        <v>91</v>
      </c>
      <c r="G117" s="70" t="s">
        <v>157</v>
      </c>
      <c r="H117" s="97"/>
      <c r="I117" s="96" t="s">
        <v>42</v>
      </c>
      <c r="J117" s="96" t="s">
        <v>43</v>
      </c>
      <c r="K117" s="97"/>
      <c r="L117" s="96" t="s">
        <v>361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/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17" s="96" t="str">
        <f ca="1">IF(P117="",                                                                                                                                                                                                   "",
   IF(OR(I117="O-General",                                                                                                                                                                                                   I117="S-General"),
      IF(P117&lt;=30,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IF(I117="S-Special",
         IF(P117&lt;=45,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7" s="96" t="s">
        <v>339</v>
      </c>
      <c r="S117" s="97">
        <v>15880</v>
      </c>
      <c r="T117" s="97"/>
      <c r="U117" s="97"/>
      <c r="V117" s="116"/>
      <c r="W117" s="100"/>
      <c r="X117" s="97"/>
      <c r="Y117" s="101"/>
      <c r="Z117" s="96"/>
      <c r="AA117" s="97"/>
      <c r="AB117" s="97" t="s">
        <v>379</v>
      </c>
      <c r="AC117" s="102"/>
      <c r="AD117" s="102"/>
      <c r="AE117" s="102"/>
      <c r="AF117" s="103"/>
      <c r="AG117" s="103"/>
      <c r="AH117" s="104"/>
      <c r="AI117" s="102"/>
      <c r="AJ117" s="108" t="s">
        <v>380</v>
      </c>
    </row>
    <row r="118" spans="1:36" s="105" customFormat="1" ht="31.5" customHeight="1">
      <c r="A118" s="95">
        <v>2026</v>
      </c>
      <c r="B118" s="96" t="str">
        <f t="shared" ref="B118:B119" si="0">IF(M118="", "", TEXT(M118, "[$-en-US]mmm"))</f>
        <v>Jun</v>
      </c>
      <c r="C118" s="96" t="s">
        <v>36</v>
      </c>
      <c r="D118" s="121" t="s">
        <v>317</v>
      </c>
      <c r="E118" s="97" t="s">
        <v>317</v>
      </c>
      <c r="F118" s="97" t="s">
        <v>292</v>
      </c>
      <c r="G118" s="106" t="s">
        <v>318</v>
      </c>
      <c r="H118" s="107" t="s">
        <v>319</v>
      </c>
      <c r="I118" s="96" t="s">
        <v>52</v>
      </c>
      <c r="J118" s="96" t="s">
        <v>43</v>
      </c>
      <c r="K118" s="97"/>
      <c r="L118" s="96" t="s">
        <v>361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/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8" s="96" t="str">
        <f ca="1">IF(P118="",                                                                                                                                                                                                   "",
   IF(OR(I118="O-General",                                                                                                                                                                                                   I118="S-General"),
      IF(P118&lt;=30,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IF(I118="S-Special",
         IF(P118&lt;=45,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8" s="96" t="s">
        <v>301</v>
      </c>
      <c r="S118" s="97">
        <v>16748</v>
      </c>
      <c r="T118" s="97" t="s">
        <v>322</v>
      </c>
      <c r="U118" s="97"/>
      <c r="V118" s="116"/>
      <c r="W118" s="100"/>
      <c r="X118" s="97"/>
      <c r="Y118" s="101"/>
      <c r="Z118" s="96"/>
      <c r="AA118" s="97"/>
      <c r="AB118" s="97" t="s">
        <v>381</v>
      </c>
      <c r="AC118" s="102"/>
      <c r="AD118" s="102"/>
      <c r="AE118" s="102"/>
      <c r="AF118" s="103"/>
      <c r="AG118" s="103"/>
      <c r="AH118" s="104"/>
      <c r="AI118" s="102"/>
      <c r="AJ118" s="108" t="s">
        <v>382</v>
      </c>
    </row>
    <row r="119" spans="1:36" s="105" customFormat="1" ht="31.5" customHeight="1">
      <c r="A119" s="95">
        <v>2026</v>
      </c>
      <c r="B119" s="96" t="str">
        <f t="shared" si="0"/>
        <v>Jun</v>
      </c>
      <c r="C119" s="96" t="s">
        <v>36</v>
      </c>
      <c r="D119" s="109" t="s">
        <v>47</v>
      </c>
      <c r="E119" s="97" t="s">
        <v>383</v>
      </c>
      <c r="F119" s="97" t="s">
        <v>62</v>
      </c>
      <c r="G119" s="97" t="s">
        <v>105</v>
      </c>
      <c r="H119" s="97" t="s">
        <v>384</v>
      </c>
      <c r="I119" s="96" t="s">
        <v>42</v>
      </c>
      <c r="J119" s="96" t="s">
        <v>43</v>
      </c>
      <c r="K119" s="97"/>
      <c r="L119" s="96" t="s">
        <v>385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ca="1">IF(P119="",                                                                                                                                                                                                   "",
   IF(OR(I119="O-General",                                                                                                                                                                                                   I119="S-General"),
      IF(P119&lt;=30,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IF(I119="S-Special",
         IF(P119&lt;=45,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9" s="96" t="s">
        <v>339</v>
      </c>
      <c r="S119" s="97">
        <v>15647</v>
      </c>
      <c r="T119" s="97" t="s">
        <v>386</v>
      </c>
      <c r="U119" s="97"/>
      <c r="V119" s="116"/>
      <c r="W119" s="100"/>
      <c r="X119" s="97"/>
      <c r="Y119" s="101"/>
      <c r="Z119" s="96"/>
      <c r="AA119" s="97"/>
      <c r="AB119" s="96" t="s">
        <v>387</v>
      </c>
      <c r="AC119" s="102"/>
      <c r="AD119" s="102"/>
      <c r="AE119" s="102"/>
      <c r="AF119" s="103"/>
      <c r="AG119" s="103"/>
      <c r="AH119" s="104"/>
      <c r="AI119" s="102"/>
      <c r="AJ119" s="108" t="s">
        <v>388</v>
      </c>
    </row>
  </sheetData>
  <phoneticPr fontId="5" type="noConversion"/>
  <conditionalFormatting sqref="L2:L119">
    <cfRule type="containsText" dxfId="63" priority="9" operator="containsText" text="Effective">
      <formula>NOT(ISERROR(SEARCH("Effective",L2)))</formula>
    </cfRule>
  </conditionalFormatting>
  <conditionalFormatting sqref="L1:L1048576">
    <cfRule type="containsText" dxfId="62" priority="8" operator="containsText" text="Wait to Join">
      <formula>NOT(ISERROR(SEARCH("Wait to Join",L1)))</formula>
    </cfRule>
  </conditionalFormatting>
  <conditionalFormatting sqref="L1:L1048576">
    <cfRule type="containsText" dxfId="61" priority="7" operator="containsText" text="Effective">
      <formula>NOT(ISERROR(SEARCH("Effective",L1)))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Q1:R1048576">
    <cfRule type="containsText" dxfId="59" priority="5" operator="containsText" text="ON KPI">
      <formula>NOT(ISERROR(SEARCH("ON KPI",Q1)))</formula>
    </cfRule>
  </conditionalFormatting>
  <conditionalFormatting sqref="Q1:R1048576">
    <cfRule type="containsText" dxfId="58" priority="4" operator="containsText" text="OVER KPI">
      <formula>NOT(ISERROR(SEARCH("OVER KPI",Q1)))</formula>
    </cfRule>
  </conditionalFormatting>
  <conditionalFormatting sqref="I1:I1048576">
    <cfRule type="containsText" dxfId="57" priority="3" operator="containsText" text="Special">
      <formula>NOT(ISERROR(SEARCH("Special",I1)))</formula>
    </cfRule>
  </conditionalFormatting>
  <conditionalFormatting sqref="J1:J1048576">
    <cfRule type="containsText" dxfId="56" priority="2" operator="containsText" text="Approved">
      <formula>NOT(ISERROR(SEARCH("Approved",J1)))</formula>
    </cfRule>
  </conditionalFormatting>
  <conditionalFormatting sqref="L1:L1048576">
    <cfRule type="containsText" dxfId="55" priority="1" operator="containsText" text="Final Interview">
      <formula>NOT(ISERROR(SEARCH("Final Interview",L1)))</formula>
    </cfRule>
  </conditionalFormatting>
  <hyperlinks>
    <hyperlink ref="AJ113" r:id="rId1" xr:uid="{75445B6B-41DC-490F-920E-126AF73276F0}"/>
    <hyperlink ref="AJ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J116" r:id="rId3" xr:uid="{F3ED0DAE-C5C4-45D2-A95F-D1327440D1AF}"/>
    <hyperlink ref="AJ112" r:id="rId4" xr:uid="{295AB73A-DD0A-4E65-8972-1844DAA90BE8}"/>
    <hyperlink ref="AJ114" r:id="rId5" xr:uid="{312EB09C-EFC8-4486-8755-06654057D5E8}"/>
    <hyperlink ref="AJ110" r:id="rId6" xr:uid="{60B9A379-7A08-4CCA-8EBD-7E9DA6E61218}"/>
    <hyperlink ref="AJ119" r:id="rId7" xr:uid="{6412AD55-DFDE-4449-8C87-7306C306DF21}"/>
    <hyperlink ref="AJ118" r:id="rId8" xr:uid="{3AE257EE-27A3-49C5-A451-67A7958DDEDF}"/>
    <hyperlink ref="AJ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</hyperlinks>
  <pageMargins left="0.7" right="0.7" top="0.75" bottom="0.75" header="0.3" footer="0.3"/>
  <ignoredErrors>
    <ignoredError sqref="B32" calculatedColumn="1"/>
  </ignoredErrors>
  <legacyDrawing r:id="rId10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B17DCCD6-AE11-409D-A26B-22695B790AD6}">
          <x14:formula1>
            <xm:f>Dropdown!M1048467:M1048469</xm:f>
          </x14:formula1>
          <xm:sqref>AI1048558:AI1048576</xm:sqref>
        </x14:dataValidation>
        <x14:dataValidation type="list" allowBlank="1" showInputMessage="1" showErrorMessage="1" xr:uid="{80BC1EE6-04B5-48AE-93DE-72CA86711259}">
          <x14:formula1>
            <xm:f>Dropdown!M44:M46</xm:f>
          </x14:formula1>
          <xm:sqref>AI117:AI1048557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I2:I119</xm:sqref>
        </x14:dataValidation>
        <x14:dataValidation type="list" allowBlank="1" showInputMessage="1" showErrorMessage="1" xr:uid="{38F39922-C8D8-44DD-A2D9-454996D8D019}">
          <x14:formula1>
            <xm:f>Dropdown!$H$2:$H$3</xm:f>
          </x14:formula1>
          <xm:sqref>X2:X119</xm:sqref>
        </x14:dataValidation>
        <x14:dataValidation type="list" allowBlank="1" showInputMessage="1" showErrorMessage="1" xr:uid="{4A45F0F8-6C89-43B6-B86F-23B03B048ECD}">
          <x14:formula1>
            <xm:f>Dropdown!M39:M41</xm:f>
          </x14:formula1>
          <xm:sqref>AI113:AI116</xm:sqref>
        </x14:dataValidation>
        <x14:dataValidation type="list" allowBlank="1" showInputMessage="1" showErrorMessage="1" xr:uid="{39719A1F-7699-4140-8954-31876CB998C2}">
          <x14:formula1>
            <xm:f>Dropdown!M34:M36</xm:f>
          </x14:formula1>
          <xm:sqref>AI112 AI99:AI108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Dropdown!$F$2:$F$9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93385E88-1D05-4D4C-ACC4-5EF87E6628A6}">
          <x14:formula1>
            <xm:f>Dropdown!M20:M22</xm:f>
          </x14:formula1>
          <xm:sqref>AI109:AI111 AI86:AI98</xm:sqref>
        </x14:dataValidation>
        <x14:dataValidation type="list" allowBlank="1" showInputMessage="1" showErrorMessage="1" xr:uid="{E14E9CE6-44D2-4AC6-B7FC-571CF998A7A3}">
          <x14:formula1>
            <xm:f>Dropdown!M10:M12</xm:f>
          </x14:formula1>
          <xm:sqref>AI77:AI85</xm:sqref>
        </x14:dataValidation>
        <x14:dataValidation type="list" allowBlank="1" showInputMessage="1" showErrorMessage="1" xr:uid="{EF3B96D3-9EF4-4638-85B9-8A44472773AA}">
          <x14:formula1>
            <xm:f>Dropdown!M2:M4</xm:f>
          </x14:formula1>
          <xm:sqref>AI71:AI76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A102" workbookViewId="0">
      <selection activeCell="I105" sqref="I105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 ht="42">
      <c r="A1" s="3" t="s">
        <v>389</v>
      </c>
      <c r="B1" s="1" t="s">
        <v>8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73</v>
      </c>
      <c r="H1" s="1" t="s">
        <v>394</v>
      </c>
      <c r="I1" s="1" t="s">
        <v>9</v>
      </c>
      <c r="J1" s="6" t="s">
        <v>395</v>
      </c>
      <c r="K1" s="6" t="s">
        <v>396</v>
      </c>
      <c r="L1" s="7" t="s">
        <v>397</v>
      </c>
      <c r="M1" s="1" t="s">
        <v>23</v>
      </c>
      <c r="N1" s="1" t="s">
        <v>398</v>
      </c>
    </row>
    <row r="2" spans="1:14" ht="102.75">
      <c r="A2" s="4">
        <v>46023</v>
      </c>
      <c r="B2" s="1" t="s">
        <v>42</v>
      </c>
      <c r="C2" s="1" t="s">
        <v>44</v>
      </c>
      <c r="D2" s="1" t="s">
        <v>36</v>
      </c>
      <c r="E2" s="1" t="s">
        <v>29</v>
      </c>
      <c r="F2" s="1" t="s">
        <v>216</v>
      </c>
      <c r="G2" s="1" t="s">
        <v>73</v>
      </c>
      <c r="H2" s="1" t="s">
        <v>399</v>
      </c>
      <c r="I2" s="1" t="s">
        <v>84</v>
      </c>
      <c r="J2" s="2" t="s">
        <v>175</v>
      </c>
      <c r="K2" s="2" t="s">
        <v>176</v>
      </c>
      <c r="L2" s="2" t="s">
        <v>400</v>
      </c>
      <c r="M2" s="1" t="s">
        <v>399</v>
      </c>
      <c r="N2" s="1" t="s">
        <v>301</v>
      </c>
    </row>
    <row r="3" spans="1:14" ht="84.6" thickBot="1">
      <c r="A3" s="4">
        <v>46024</v>
      </c>
      <c r="B3" s="1" t="s">
        <v>52</v>
      </c>
      <c r="C3" s="1" t="s">
        <v>350</v>
      </c>
      <c r="D3" s="1" t="s">
        <v>46</v>
      </c>
      <c r="E3" s="1" t="s">
        <v>401</v>
      </c>
      <c r="F3" s="1" t="s">
        <v>54</v>
      </c>
      <c r="G3" s="1" t="s">
        <v>115</v>
      </c>
      <c r="H3" s="1" t="s">
        <v>402</v>
      </c>
      <c r="I3" s="1" t="s">
        <v>403</v>
      </c>
      <c r="J3" s="2" t="s">
        <v>183</v>
      </c>
      <c r="K3" s="2" t="s">
        <v>229</v>
      </c>
      <c r="L3" s="2" t="s">
        <v>404</v>
      </c>
      <c r="M3" s="1" t="s">
        <v>405</v>
      </c>
      <c r="N3" s="1" t="s">
        <v>406</v>
      </c>
    </row>
    <row r="4" spans="1:14" ht="84.6" thickBot="1">
      <c r="A4" s="4">
        <v>46025</v>
      </c>
      <c r="B4" s="1" t="s">
        <v>83</v>
      </c>
      <c r="C4" s="1" t="s">
        <v>385</v>
      </c>
      <c r="D4" s="1" t="s">
        <v>55</v>
      </c>
      <c r="E4" s="1" t="s">
        <v>407</v>
      </c>
      <c r="F4" s="1" t="s">
        <v>73</v>
      </c>
      <c r="G4" s="1" t="s">
        <v>53</v>
      </c>
      <c r="I4" s="1" t="s">
        <v>43</v>
      </c>
      <c r="J4" s="2" t="s">
        <v>124</v>
      </c>
      <c r="K4" s="2" t="s">
        <v>225</v>
      </c>
      <c r="L4" s="2" t="s">
        <v>408</v>
      </c>
      <c r="M4" s="1" t="s">
        <v>402</v>
      </c>
      <c r="N4" s="1" t="s">
        <v>339</v>
      </c>
    </row>
    <row r="5" spans="1:14" ht="105.6" thickBot="1">
      <c r="A5" s="4">
        <v>46026</v>
      </c>
      <c r="C5" s="1" t="s">
        <v>409</v>
      </c>
      <c r="F5" s="1" t="s">
        <v>410</v>
      </c>
      <c r="J5" s="2" t="s">
        <v>411</v>
      </c>
      <c r="K5" s="2" t="s">
        <v>282</v>
      </c>
      <c r="L5" s="2" t="s">
        <v>227</v>
      </c>
      <c r="N5" s="1" t="s">
        <v>412</v>
      </c>
    </row>
    <row r="6" spans="1:14" ht="84">
      <c r="A6" s="4">
        <v>46032</v>
      </c>
      <c r="C6" s="1" t="s">
        <v>361</v>
      </c>
      <c r="F6" s="1" t="s">
        <v>413</v>
      </c>
      <c r="J6" s="2" t="s">
        <v>120</v>
      </c>
      <c r="K6" s="2" t="s">
        <v>414</v>
      </c>
      <c r="L6" s="2" t="s">
        <v>415</v>
      </c>
      <c r="N6" s="1" t="s">
        <v>416</v>
      </c>
    </row>
    <row r="7" spans="1:14" ht="63.6" thickBot="1">
      <c r="A7" s="4">
        <v>46033</v>
      </c>
      <c r="C7" s="1" t="s">
        <v>85</v>
      </c>
      <c r="F7" s="1" t="s">
        <v>417</v>
      </c>
      <c r="J7" s="2" t="s">
        <v>178</v>
      </c>
      <c r="K7" s="2" t="s">
        <v>418</v>
      </c>
      <c r="L7" s="2" t="s">
        <v>419</v>
      </c>
      <c r="N7" s="1" t="s">
        <v>330</v>
      </c>
    </row>
    <row r="8" spans="1:14" ht="42.6" thickBot="1">
      <c r="A8" s="4">
        <v>46039</v>
      </c>
      <c r="C8" s="1" t="s">
        <v>84</v>
      </c>
      <c r="F8" s="1" t="s">
        <v>220</v>
      </c>
      <c r="J8" s="2" t="s">
        <v>128</v>
      </c>
      <c r="K8" s="2" t="s">
        <v>420</v>
      </c>
      <c r="L8" s="2" t="s">
        <v>421</v>
      </c>
    </row>
    <row r="9" spans="1:14" ht="84.6" thickBot="1">
      <c r="A9" s="4">
        <v>46040</v>
      </c>
      <c r="C9" s="1" t="s">
        <v>422</v>
      </c>
      <c r="F9" s="1" t="s">
        <v>161</v>
      </c>
      <c r="J9" s="2" t="s">
        <v>146</v>
      </c>
      <c r="K9" s="2" t="s">
        <v>121</v>
      </c>
      <c r="L9" s="2" t="s">
        <v>423</v>
      </c>
    </row>
    <row r="10" spans="1:14" ht="84.6" thickBot="1">
      <c r="A10" s="4">
        <v>46047</v>
      </c>
      <c r="J10" s="2" t="s">
        <v>424</v>
      </c>
      <c r="K10" s="2" t="s">
        <v>179</v>
      </c>
      <c r="L10" s="2" t="s">
        <v>425</v>
      </c>
    </row>
    <row r="11" spans="1:14" ht="105.6" thickBot="1">
      <c r="A11" s="4">
        <v>46053</v>
      </c>
      <c r="J11" s="2" t="s">
        <v>49</v>
      </c>
      <c r="K11" s="2" t="s">
        <v>125</v>
      </c>
      <c r="L11" s="2" t="s">
        <v>426</v>
      </c>
    </row>
    <row r="12" spans="1:14" ht="42.6" thickBot="1">
      <c r="A12" s="4">
        <v>46054</v>
      </c>
      <c r="J12" s="2" t="s">
        <v>112</v>
      </c>
      <c r="K12" s="2" t="s">
        <v>172</v>
      </c>
      <c r="L12" s="2" t="s">
        <v>427</v>
      </c>
    </row>
    <row r="13" spans="1:14" ht="63.6" thickBot="1">
      <c r="A13" s="4">
        <v>46061</v>
      </c>
      <c r="J13" s="2" t="s">
        <v>82</v>
      </c>
      <c r="K13" s="2" t="s">
        <v>129</v>
      </c>
      <c r="L13" s="2" t="s">
        <v>428</v>
      </c>
    </row>
    <row r="14" spans="1:14" ht="84.6" thickBot="1">
      <c r="A14" s="4">
        <v>46067</v>
      </c>
      <c r="J14" s="2" t="s">
        <v>62</v>
      </c>
      <c r="K14" s="2" t="s">
        <v>50</v>
      </c>
      <c r="L14" s="2" t="s">
        <v>429</v>
      </c>
    </row>
    <row r="15" spans="1:14" ht="84.6" thickBot="1">
      <c r="A15" s="4">
        <v>46068</v>
      </c>
      <c r="J15" s="2" t="s">
        <v>67</v>
      </c>
      <c r="K15" s="2" t="s">
        <v>184</v>
      </c>
      <c r="L15" s="2" t="s">
        <v>430</v>
      </c>
    </row>
    <row r="16" spans="1:14" ht="63.6" thickBot="1">
      <c r="A16" s="4">
        <v>46075</v>
      </c>
      <c r="J16" s="2" t="s">
        <v>55</v>
      </c>
      <c r="K16" s="2" t="s">
        <v>133</v>
      </c>
      <c r="L16" s="2" t="s">
        <v>431</v>
      </c>
    </row>
    <row r="17" spans="1:12" ht="84.6" thickBot="1">
      <c r="A17" s="4">
        <v>46081</v>
      </c>
      <c r="J17" s="2" t="s">
        <v>76</v>
      </c>
      <c r="K17" s="2" t="s">
        <v>213</v>
      </c>
      <c r="L17" s="2" t="s">
        <v>260</v>
      </c>
    </row>
    <row r="18" spans="1:12" ht="63.6" thickBot="1">
      <c r="A18" s="4">
        <v>46082</v>
      </c>
      <c r="J18" s="2" t="s">
        <v>88</v>
      </c>
      <c r="K18" s="2" t="s">
        <v>432</v>
      </c>
      <c r="L18" s="2" t="s">
        <v>433</v>
      </c>
    </row>
    <row r="19" spans="1:12" ht="84.6" thickBot="1">
      <c r="A19" s="4">
        <v>46084</v>
      </c>
      <c r="J19" s="2" t="s">
        <v>80</v>
      </c>
      <c r="K19" s="2" t="s">
        <v>434</v>
      </c>
      <c r="L19" s="2" t="s">
        <v>435</v>
      </c>
    </row>
    <row r="20" spans="1:12" ht="84.6" thickBot="1">
      <c r="A20" s="4">
        <v>46089</v>
      </c>
      <c r="J20" s="2" t="s">
        <v>91</v>
      </c>
      <c r="K20" s="2" t="s">
        <v>436</v>
      </c>
      <c r="L20" s="2" t="s">
        <v>437</v>
      </c>
    </row>
    <row r="21" spans="1:12" ht="105.6" thickBot="1">
      <c r="A21" s="4">
        <v>46095</v>
      </c>
      <c r="J21" s="2" t="s">
        <v>39</v>
      </c>
      <c r="K21" s="2" t="s">
        <v>438</v>
      </c>
      <c r="L21" s="2" t="s">
        <v>439</v>
      </c>
    </row>
    <row r="22" spans="1:12" ht="63.6" thickBot="1">
      <c r="A22" s="4">
        <v>46096</v>
      </c>
      <c r="J22" s="2" t="s">
        <v>292</v>
      </c>
      <c r="K22" s="2" t="s">
        <v>440</v>
      </c>
      <c r="L22" s="2" t="s">
        <v>441</v>
      </c>
    </row>
    <row r="23" spans="1:12" ht="84.6" thickBot="1">
      <c r="A23" s="4">
        <v>46103</v>
      </c>
      <c r="J23" s="2" t="s">
        <v>209</v>
      </c>
      <c r="K23" s="2" t="s">
        <v>442</v>
      </c>
      <c r="L23" s="2" t="s">
        <v>443</v>
      </c>
    </row>
    <row r="24" spans="1:12" ht="63.6" thickBot="1">
      <c r="A24" s="4">
        <v>46109</v>
      </c>
      <c r="J24" s="2" t="s">
        <v>150</v>
      </c>
      <c r="K24" s="2" t="s">
        <v>168</v>
      </c>
      <c r="L24" s="2" t="s">
        <v>444</v>
      </c>
    </row>
    <row r="25" spans="1:12" ht="63.6" thickBot="1">
      <c r="A25" s="4">
        <v>46110</v>
      </c>
      <c r="J25" s="2" t="s">
        <v>287</v>
      </c>
      <c r="K25" s="2" t="s">
        <v>445</v>
      </c>
      <c r="L25" s="2" t="s">
        <v>446</v>
      </c>
    </row>
    <row r="26" spans="1:12" ht="63.6" thickBot="1">
      <c r="A26" s="4">
        <v>46116</v>
      </c>
      <c r="J26" s="2" t="s">
        <v>333</v>
      </c>
      <c r="K26" s="2" t="s">
        <v>447</v>
      </c>
      <c r="L26" s="2" t="s">
        <v>448</v>
      </c>
    </row>
    <row r="27" spans="1:12" ht="84">
      <c r="A27" s="4">
        <v>46117</v>
      </c>
      <c r="J27" s="2" t="s">
        <v>175</v>
      </c>
      <c r="K27" s="2" t="s">
        <v>262</v>
      </c>
      <c r="L27" s="2" t="s">
        <v>126</v>
      </c>
    </row>
    <row r="28" spans="1:12" ht="21.6" thickBot="1">
      <c r="A28" s="4">
        <v>46118</v>
      </c>
      <c r="J28" s="2"/>
      <c r="K28" s="2" t="s">
        <v>82</v>
      </c>
      <c r="L28" s="2" t="s">
        <v>449</v>
      </c>
    </row>
    <row r="29" spans="1:12" ht="84.6" thickBot="1">
      <c r="A29" s="4">
        <v>46123</v>
      </c>
      <c r="J29" s="2"/>
      <c r="K29" s="2" t="s">
        <v>63</v>
      </c>
      <c r="L29" s="2" t="s">
        <v>122</v>
      </c>
    </row>
    <row r="30" spans="1:12" ht="63.6" thickBot="1">
      <c r="A30" s="4">
        <v>46124</v>
      </c>
      <c r="J30" s="2"/>
      <c r="K30" s="2" t="s">
        <v>68</v>
      </c>
      <c r="L30" s="2" t="s">
        <v>450</v>
      </c>
    </row>
    <row r="31" spans="1:12" ht="84.6" thickBot="1">
      <c r="A31" s="4">
        <v>46125</v>
      </c>
      <c r="J31" s="2"/>
      <c r="K31" s="2" t="s">
        <v>58</v>
      </c>
      <c r="L31" s="2" t="s">
        <v>451</v>
      </c>
    </row>
    <row r="32" spans="1:12" ht="42.6" thickBot="1">
      <c r="A32" s="4">
        <v>46126</v>
      </c>
      <c r="J32" s="2"/>
      <c r="K32" s="2" t="s">
        <v>71</v>
      </c>
      <c r="L32" s="2" t="s">
        <v>452</v>
      </c>
    </row>
    <row r="33" spans="1:12" ht="63.6" thickBot="1">
      <c r="A33" s="4">
        <v>46127</v>
      </c>
      <c r="J33" s="2"/>
      <c r="K33" s="2" t="s">
        <v>77</v>
      </c>
      <c r="L33" s="2" t="s">
        <v>453</v>
      </c>
    </row>
    <row r="34" spans="1:12" ht="63.6" thickBot="1">
      <c r="A34" s="4">
        <v>46130</v>
      </c>
      <c r="J34" s="2"/>
      <c r="K34" s="2" t="s">
        <v>100</v>
      </c>
      <c r="L34" s="2" t="s">
        <v>454</v>
      </c>
    </row>
    <row r="35" spans="1:12" ht="63.6" thickBot="1">
      <c r="A35" s="4">
        <v>46131</v>
      </c>
      <c r="J35" s="2"/>
      <c r="K35" s="2" t="s">
        <v>81</v>
      </c>
      <c r="L35" s="2" t="s">
        <v>455</v>
      </c>
    </row>
    <row r="36" spans="1:12" ht="42.6" thickBot="1">
      <c r="A36" s="4">
        <v>46138</v>
      </c>
      <c r="J36" s="2"/>
      <c r="K36" s="2" t="s">
        <v>95</v>
      </c>
      <c r="L36" s="2" t="s">
        <v>456</v>
      </c>
    </row>
    <row r="37" spans="1:12" ht="63.6" thickBot="1">
      <c r="A37" s="4">
        <v>46143</v>
      </c>
      <c r="J37" s="2"/>
      <c r="K37" s="2" t="s">
        <v>92</v>
      </c>
      <c r="L37" s="2" t="s">
        <v>457</v>
      </c>
    </row>
    <row r="38" spans="1:12" ht="63.6" thickBot="1">
      <c r="A38" s="4">
        <v>46144</v>
      </c>
      <c r="J38" s="2"/>
      <c r="K38" s="2" t="s">
        <v>98</v>
      </c>
      <c r="L38" s="2" t="s">
        <v>458</v>
      </c>
    </row>
    <row r="39" spans="1:12" ht="63.6" thickBot="1">
      <c r="A39" s="4">
        <v>46145</v>
      </c>
      <c r="J39" s="2"/>
      <c r="K39" s="2" t="s">
        <v>40</v>
      </c>
      <c r="L39" s="2" t="s">
        <v>459</v>
      </c>
    </row>
    <row r="40" spans="1:12" ht="84.6" thickBot="1">
      <c r="A40" s="4">
        <v>46146</v>
      </c>
      <c r="J40" s="2"/>
      <c r="K40" s="2" t="s">
        <v>460</v>
      </c>
      <c r="L40" s="2" t="s">
        <v>230</v>
      </c>
    </row>
    <row r="41" spans="1:12" ht="63.6" thickBot="1">
      <c r="A41" s="4">
        <v>46152</v>
      </c>
      <c r="J41" s="2"/>
      <c r="K41" s="2" t="s">
        <v>105</v>
      </c>
      <c r="L41" s="2" t="s">
        <v>461</v>
      </c>
    </row>
    <row r="42" spans="1:12" ht="63.6" thickBot="1">
      <c r="A42" s="4">
        <v>46153</v>
      </c>
      <c r="J42" s="2"/>
      <c r="K42" s="2" t="s">
        <v>102</v>
      </c>
      <c r="L42" s="2" t="s">
        <v>462</v>
      </c>
    </row>
    <row r="43" spans="1:12" ht="84.6" thickBot="1">
      <c r="A43" s="4">
        <v>46158</v>
      </c>
      <c r="J43" s="2"/>
      <c r="K43" s="2" t="s">
        <v>113</v>
      </c>
      <c r="L43" s="2" t="s">
        <v>463</v>
      </c>
    </row>
    <row r="44" spans="1:12" ht="42.6" thickBot="1">
      <c r="A44" s="4">
        <v>46159</v>
      </c>
      <c r="J44" s="2"/>
      <c r="K44" s="2" t="s">
        <v>315</v>
      </c>
      <c r="L44" s="2" t="s">
        <v>265</v>
      </c>
    </row>
    <row r="45" spans="1:12" ht="84.6" thickBot="1">
      <c r="A45" s="4">
        <v>46166</v>
      </c>
      <c r="J45" s="2"/>
      <c r="K45" s="2" t="s">
        <v>253</v>
      </c>
      <c r="L45" s="2" t="s">
        <v>464</v>
      </c>
    </row>
    <row r="46" spans="1:12" ht="42.6" thickBot="1">
      <c r="A46" s="4">
        <v>46172</v>
      </c>
      <c r="J46" s="2"/>
      <c r="K46" s="2" t="s">
        <v>143</v>
      </c>
      <c r="L46" s="2" t="s">
        <v>465</v>
      </c>
    </row>
    <row r="47" spans="1:12" ht="84.6" thickBot="1">
      <c r="A47" s="4">
        <v>46173</v>
      </c>
      <c r="J47" s="2"/>
      <c r="K47" s="2" t="s">
        <v>137</v>
      </c>
      <c r="L47" s="2" t="s">
        <v>466</v>
      </c>
    </row>
    <row r="48" spans="1:12" ht="42.6" thickBot="1">
      <c r="A48" s="4">
        <v>46174</v>
      </c>
      <c r="J48" s="2"/>
      <c r="K48" s="2" t="s">
        <v>467</v>
      </c>
      <c r="L48" s="2" t="s">
        <v>468</v>
      </c>
    </row>
    <row r="49" spans="1:12" ht="42.6" thickBot="1">
      <c r="A49" s="4">
        <v>46176</v>
      </c>
      <c r="J49" s="2"/>
      <c r="K49" s="2" t="s">
        <v>469</v>
      </c>
      <c r="L49" s="2" t="s">
        <v>177</v>
      </c>
    </row>
    <row r="50" spans="1:12" ht="84.6" thickBot="1">
      <c r="A50" s="4">
        <v>46180</v>
      </c>
      <c r="J50" s="2"/>
      <c r="K50" s="2" t="s">
        <v>267</v>
      </c>
      <c r="L50" s="2" t="s">
        <v>470</v>
      </c>
    </row>
    <row r="51" spans="1:12" ht="105.6" thickBot="1">
      <c r="A51" s="4">
        <v>46186</v>
      </c>
      <c r="J51" s="2"/>
      <c r="K51" s="2" t="s">
        <v>295</v>
      </c>
      <c r="L51" s="2" t="s">
        <v>180</v>
      </c>
    </row>
    <row r="52" spans="1:12" ht="63.6" thickBot="1">
      <c r="A52" s="4">
        <v>46187</v>
      </c>
      <c r="J52" s="2"/>
      <c r="K52" s="2" t="s">
        <v>298</v>
      </c>
      <c r="L52" s="2" t="s">
        <v>134</v>
      </c>
    </row>
    <row r="53" spans="1:12" ht="105.6" thickBot="1">
      <c r="A53" s="4">
        <v>46194</v>
      </c>
      <c r="J53" s="2"/>
      <c r="K53" s="2" t="s">
        <v>471</v>
      </c>
      <c r="L53" s="2" t="s">
        <v>472</v>
      </c>
    </row>
    <row r="54" spans="1:12" ht="63.6" thickBot="1">
      <c r="A54" s="4">
        <v>46200</v>
      </c>
      <c r="J54" s="2"/>
      <c r="K54" s="2" t="s">
        <v>147</v>
      </c>
      <c r="L54" s="2" t="s">
        <v>473</v>
      </c>
    </row>
    <row r="55" spans="1:12" ht="63.6" thickBot="1">
      <c r="A55" s="4">
        <v>46201</v>
      </c>
      <c r="J55" s="2"/>
      <c r="K55" s="2" t="s">
        <v>474</v>
      </c>
      <c r="L55" s="2" t="s">
        <v>475</v>
      </c>
    </row>
    <row r="56" spans="1:12" ht="63.6" thickBot="1">
      <c r="A56" s="4">
        <v>46207</v>
      </c>
      <c r="J56" s="2"/>
      <c r="K56" s="2" t="s">
        <v>476</v>
      </c>
      <c r="L56" s="2" t="s">
        <v>477</v>
      </c>
    </row>
    <row r="57" spans="1:12" ht="105.6" thickBot="1">
      <c r="A57" s="4">
        <v>46208</v>
      </c>
      <c r="J57" s="2"/>
      <c r="K57" s="2" t="s">
        <v>218</v>
      </c>
      <c r="L57" s="2" t="s">
        <v>478</v>
      </c>
    </row>
    <row r="58" spans="1:12" ht="84.6" thickBot="1">
      <c r="A58" s="4">
        <v>46214</v>
      </c>
      <c r="J58" s="2"/>
      <c r="K58" s="2" t="s">
        <v>259</v>
      </c>
      <c r="L58" s="2" t="s">
        <v>479</v>
      </c>
    </row>
    <row r="59" spans="1:12" ht="63.6" thickBot="1">
      <c r="A59" s="4">
        <v>46215</v>
      </c>
      <c r="J59" s="2"/>
      <c r="K59" s="2" t="s">
        <v>107</v>
      </c>
      <c r="L59" s="2" t="s">
        <v>480</v>
      </c>
    </row>
    <row r="60" spans="1:12" ht="63.6" thickBot="1">
      <c r="A60" s="4">
        <v>46221</v>
      </c>
      <c r="J60" s="2"/>
      <c r="K60" s="2" t="s">
        <v>481</v>
      </c>
      <c r="L60" s="2" t="s">
        <v>482</v>
      </c>
    </row>
    <row r="61" spans="1:12" ht="84.6" thickBot="1">
      <c r="A61" s="4">
        <v>46222</v>
      </c>
      <c r="J61" s="2"/>
      <c r="K61" s="2" t="s">
        <v>194</v>
      </c>
      <c r="L61" s="2" t="s">
        <v>483</v>
      </c>
    </row>
    <row r="62" spans="1:12" ht="84.6" thickBot="1">
      <c r="A62" s="4">
        <v>46228</v>
      </c>
      <c r="J62" s="2"/>
      <c r="K62" s="2" t="s">
        <v>237</v>
      </c>
      <c r="L62" s="2" t="s">
        <v>484</v>
      </c>
    </row>
    <row r="63" spans="1:12" ht="63.6" thickBot="1">
      <c r="A63" s="4">
        <v>46229</v>
      </c>
      <c r="J63" s="2"/>
      <c r="K63" s="2" t="s">
        <v>485</v>
      </c>
      <c r="L63" s="2" t="s">
        <v>486</v>
      </c>
    </row>
    <row r="64" spans="1:12" ht="63.6" thickBot="1">
      <c r="A64" s="4">
        <v>46231</v>
      </c>
      <c r="J64" s="2"/>
      <c r="K64" s="2" t="s">
        <v>157</v>
      </c>
      <c r="L64" s="2" t="s">
        <v>487</v>
      </c>
    </row>
    <row r="65" spans="1:12" ht="42.6" thickBot="1">
      <c r="A65" s="4">
        <v>46232</v>
      </c>
      <c r="J65" s="2"/>
      <c r="K65" s="2" t="s">
        <v>488</v>
      </c>
      <c r="L65" s="2" t="s">
        <v>212</v>
      </c>
    </row>
    <row r="66" spans="1:12" ht="63.6" thickBot="1">
      <c r="A66" s="4">
        <v>46233</v>
      </c>
      <c r="J66" s="2"/>
      <c r="K66" s="2" t="s">
        <v>489</v>
      </c>
      <c r="L66" s="2" t="s">
        <v>490</v>
      </c>
    </row>
    <row r="67" spans="1:12" ht="63.6" thickBot="1">
      <c r="A67" s="4">
        <v>46235</v>
      </c>
      <c r="J67" s="2"/>
      <c r="K67" s="2" t="s">
        <v>491</v>
      </c>
      <c r="L67" s="2" t="s">
        <v>492</v>
      </c>
    </row>
    <row r="68" spans="1:12" ht="42.6" thickBot="1">
      <c r="A68" s="4">
        <v>46236</v>
      </c>
      <c r="J68" s="2"/>
      <c r="K68" s="2" t="s">
        <v>210</v>
      </c>
      <c r="L68" s="2" t="s">
        <v>493</v>
      </c>
    </row>
    <row r="69" spans="1:12" ht="42.6" thickBot="1">
      <c r="A69" s="4">
        <v>46242</v>
      </c>
      <c r="J69" s="2"/>
      <c r="K69" s="2" t="s">
        <v>494</v>
      </c>
      <c r="L69" s="2" t="s">
        <v>214</v>
      </c>
    </row>
    <row r="70" spans="1:12" ht="42.6" thickBot="1">
      <c r="A70" s="4">
        <v>46243</v>
      </c>
      <c r="J70" s="2"/>
      <c r="K70" s="2" t="s">
        <v>151</v>
      </c>
      <c r="L70" s="2" t="s">
        <v>51</v>
      </c>
    </row>
    <row r="71" spans="1:12" ht="84.6" thickBot="1">
      <c r="A71" s="4">
        <v>46246</v>
      </c>
      <c r="J71" s="2"/>
      <c r="K71" s="2" t="s">
        <v>277</v>
      </c>
      <c r="L71" s="2" t="s">
        <v>495</v>
      </c>
    </row>
    <row r="72" spans="1:12" ht="84.6" thickBot="1">
      <c r="A72" s="4">
        <v>46249</v>
      </c>
      <c r="J72" s="2"/>
      <c r="K72" s="2" t="s">
        <v>496</v>
      </c>
      <c r="L72" s="2" t="s">
        <v>497</v>
      </c>
    </row>
    <row r="73" spans="1:12" ht="63.6" thickBot="1">
      <c r="A73" s="4">
        <v>46250</v>
      </c>
      <c r="J73" s="2"/>
      <c r="K73" s="2" t="s">
        <v>498</v>
      </c>
      <c r="L73" s="2" t="s">
        <v>499</v>
      </c>
    </row>
    <row r="74" spans="1:12" ht="84.6" thickBot="1">
      <c r="A74" s="4">
        <v>46256</v>
      </c>
      <c r="J74" s="2"/>
      <c r="K74" s="2" t="s">
        <v>500</v>
      </c>
      <c r="L74" s="2" t="s">
        <v>501</v>
      </c>
    </row>
    <row r="75" spans="1:12" ht="84.6" thickBot="1">
      <c r="A75" s="4">
        <v>46257</v>
      </c>
      <c r="J75" s="2"/>
      <c r="K75" s="2" t="s">
        <v>288</v>
      </c>
      <c r="L75" s="2" t="s">
        <v>502</v>
      </c>
    </row>
    <row r="76" spans="1:12" ht="42.6" thickBot="1">
      <c r="A76" s="4">
        <v>46263</v>
      </c>
      <c r="J76" s="2"/>
      <c r="K76" s="2" t="s">
        <v>503</v>
      </c>
      <c r="L76" s="2" t="s">
        <v>504</v>
      </c>
    </row>
    <row r="77" spans="1:12" ht="42.6" thickBot="1">
      <c r="A77" s="4">
        <v>46264</v>
      </c>
      <c r="J77" s="2"/>
      <c r="K77" s="2" t="s">
        <v>245</v>
      </c>
      <c r="L77" s="2" t="s">
        <v>169</v>
      </c>
    </row>
    <row r="78" spans="1:12" ht="63.6" thickBot="1">
      <c r="A78" s="4">
        <v>46270</v>
      </c>
      <c r="J78" s="2"/>
      <c r="K78" s="2" t="s">
        <v>359</v>
      </c>
      <c r="L78" s="2" t="s">
        <v>283</v>
      </c>
    </row>
    <row r="79" spans="1:12" ht="105.6" thickBot="1">
      <c r="A79" s="4">
        <v>46271</v>
      </c>
      <c r="J79" s="2"/>
      <c r="K79" s="2" t="s">
        <v>189</v>
      </c>
      <c r="L79" s="2" t="s">
        <v>131</v>
      </c>
    </row>
    <row r="80" spans="1:12" ht="63.6" thickBot="1">
      <c r="A80" s="4">
        <v>46277</v>
      </c>
      <c r="J80" s="2"/>
      <c r="K80" s="2" t="s">
        <v>505</v>
      </c>
      <c r="L80" s="2" t="s">
        <v>506</v>
      </c>
    </row>
    <row r="81" spans="1:12" ht="63.6" thickBot="1">
      <c r="A81" s="4">
        <v>46278</v>
      </c>
      <c r="J81" s="2"/>
      <c r="K81" s="2" t="s">
        <v>203</v>
      </c>
      <c r="L81" s="2" t="s">
        <v>507</v>
      </c>
    </row>
    <row r="82" spans="1:12" ht="42.6" thickBot="1">
      <c r="A82" s="4">
        <v>46284</v>
      </c>
      <c r="J82" s="2"/>
      <c r="K82" s="2" t="s">
        <v>233</v>
      </c>
      <c r="L82" s="2" t="s">
        <v>508</v>
      </c>
    </row>
    <row r="83" spans="1:12" ht="63.6" thickBot="1">
      <c r="A83" s="4">
        <v>46285</v>
      </c>
      <c r="J83" s="2"/>
      <c r="K83" s="2" t="s">
        <v>210</v>
      </c>
      <c r="L83" s="2" t="s">
        <v>185</v>
      </c>
    </row>
    <row r="84" spans="1:12" ht="84.6" thickBot="1">
      <c r="A84" s="4">
        <v>46291</v>
      </c>
      <c r="J84" s="2"/>
      <c r="K84" s="2" t="s">
        <v>496</v>
      </c>
      <c r="L84" s="2" t="s">
        <v>509</v>
      </c>
    </row>
    <row r="85" spans="1:12" ht="63.6" thickBot="1">
      <c r="A85" s="4">
        <v>46292</v>
      </c>
      <c r="J85" s="2"/>
      <c r="K85" s="2" t="s">
        <v>510</v>
      </c>
      <c r="L85" s="2" t="s">
        <v>82</v>
      </c>
    </row>
    <row r="86" spans="1:12" ht="42.6" thickBot="1">
      <c r="A86" s="4">
        <v>46298</v>
      </c>
      <c r="J86" s="2"/>
      <c r="K86" s="2" t="s">
        <v>306</v>
      </c>
      <c r="L86" s="2" t="s">
        <v>64</v>
      </c>
    </row>
    <row r="87" spans="1:12" ht="63.6" thickBot="1">
      <c r="A87" s="4">
        <v>46299</v>
      </c>
      <c r="J87" s="2"/>
      <c r="K87" s="2" t="s">
        <v>359</v>
      </c>
      <c r="L87" s="2" t="s">
        <v>69</v>
      </c>
    </row>
    <row r="88" spans="1:12" ht="84.6" thickBot="1">
      <c r="A88" s="4">
        <v>46305</v>
      </c>
      <c r="J88" s="2"/>
      <c r="K88" s="2" t="s">
        <v>511</v>
      </c>
      <c r="L88" s="2" t="s">
        <v>59</v>
      </c>
    </row>
    <row r="89" spans="1:12" ht="84.6" thickBot="1">
      <c r="A89" s="4">
        <v>46306</v>
      </c>
      <c r="J89" s="2"/>
      <c r="K89" s="2" t="s">
        <v>277</v>
      </c>
      <c r="L89" s="2" t="s">
        <v>72</v>
      </c>
    </row>
    <row r="90" spans="1:12" ht="63.6" thickBot="1">
      <c r="A90" s="4">
        <v>46308</v>
      </c>
      <c r="J90" s="2"/>
      <c r="K90" s="2" t="s">
        <v>274</v>
      </c>
      <c r="L90" s="2" t="s">
        <v>75</v>
      </c>
    </row>
    <row r="91" spans="1:12" ht="63.6" thickBot="1">
      <c r="A91" s="4">
        <v>46312</v>
      </c>
      <c r="J91" s="2"/>
      <c r="K91" s="2" t="s">
        <v>298</v>
      </c>
      <c r="L91" s="2" t="s">
        <v>89</v>
      </c>
    </row>
    <row r="92" spans="1:12" ht="84.6" thickBot="1">
      <c r="A92" s="4">
        <v>46313</v>
      </c>
      <c r="J92" s="2"/>
      <c r="K92" s="2" t="s">
        <v>293</v>
      </c>
      <c r="L92" s="2" t="s">
        <v>96</v>
      </c>
    </row>
    <row r="93" spans="1:12" ht="105.6" thickBot="1">
      <c r="A93" s="4">
        <v>46318</v>
      </c>
      <c r="J93" s="2"/>
      <c r="K93" s="2" t="s">
        <v>295</v>
      </c>
      <c r="L93" s="2" t="s">
        <v>93</v>
      </c>
    </row>
    <row r="94" spans="1:12" ht="63.6" thickBot="1">
      <c r="A94" s="4">
        <v>46319</v>
      </c>
      <c r="J94" s="2"/>
      <c r="K94" s="2" t="s">
        <v>318</v>
      </c>
      <c r="L94" s="2" t="s">
        <v>99</v>
      </c>
    </row>
    <row r="95" spans="1:12" ht="63.6" thickBot="1">
      <c r="A95" s="4">
        <v>46320</v>
      </c>
      <c r="J95" s="2"/>
      <c r="K95" s="2" t="s">
        <v>262</v>
      </c>
      <c r="L95" s="2" t="s">
        <v>41</v>
      </c>
    </row>
    <row r="96" spans="1:12" ht="63.6" thickBot="1">
      <c r="A96" s="4">
        <v>46326</v>
      </c>
      <c r="J96" s="2"/>
      <c r="K96" s="2" t="s">
        <v>157</v>
      </c>
      <c r="L96" s="2" t="s">
        <v>192</v>
      </c>
    </row>
    <row r="97" spans="1:12" ht="84.6" thickBot="1">
      <c r="A97" s="4">
        <v>46327</v>
      </c>
      <c r="J97" s="2"/>
      <c r="K97" s="2" t="s">
        <v>105</v>
      </c>
      <c r="L97" s="2" t="s">
        <v>103</v>
      </c>
    </row>
    <row r="98" spans="1:12" ht="84.6" thickBot="1">
      <c r="A98" s="4">
        <v>46333</v>
      </c>
      <c r="J98" s="2"/>
      <c r="K98" s="2" t="s">
        <v>512</v>
      </c>
      <c r="L98" s="2" t="s">
        <v>114</v>
      </c>
    </row>
    <row r="99" spans="1:12" ht="42">
      <c r="A99" s="4">
        <v>46334</v>
      </c>
      <c r="J99" s="2"/>
      <c r="K99" s="2" t="s">
        <v>513</v>
      </c>
      <c r="L99" s="2" t="s">
        <v>148</v>
      </c>
    </row>
    <row r="100" spans="1:12" ht="105">
      <c r="A100" s="4">
        <v>46340</v>
      </c>
      <c r="J100" s="2"/>
      <c r="K100" s="2" t="s">
        <v>295</v>
      </c>
      <c r="L100" s="2" t="s">
        <v>514</v>
      </c>
    </row>
    <row r="101" spans="1:12" ht="63">
      <c r="A101" s="4">
        <v>46341</v>
      </c>
      <c r="J101" s="2"/>
      <c r="K101" s="2" t="s">
        <v>359</v>
      </c>
      <c r="L101" s="2" t="s">
        <v>70</v>
      </c>
    </row>
    <row r="102" spans="1:12" ht="144.75">
      <c r="A102" s="4">
        <v>46347</v>
      </c>
      <c r="J102" s="2"/>
      <c r="K102" s="94" t="s">
        <v>515</v>
      </c>
      <c r="L102" s="2" t="s">
        <v>139</v>
      </c>
    </row>
    <row r="103" spans="1:12" ht="102.75">
      <c r="A103" s="4">
        <v>46348</v>
      </c>
      <c r="J103" s="2"/>
      <c r="K103" s="2" t="s">
        <v>157</v>
      </c>
      <c r="L103" s="2" t="s">
        <v>158</v>
      </c>
    </row>
    <row r="104" spans="1:12" ht="42.6" thickBot="1">
      <c r="A104" s="4">
        <v>46354</v>
      </c>
      <c r="J104" s="2"/>
      <c r="K104" s="2"/>
      <c r="L104" s="2" t="s">
        <v>164</v>
      </c>
    </row>
    <row r="105" spans="1:12" ht="42.6" thickBot="1">
      <c r="A105" s="4">
        <v>46355</v>
      </c>
      <c r="J105" s="2"/>
      <c r="K105" s="2"/>
      <c r="L105" s="2" t="s">
        <v>516</v>
      </c>
    </row>
    <row r="106" spans="1:12" ht="63.6" thickBot="1">
      <c r="A106" s="4">
        <v>46361</v>
      </c>
      <c r="J106" s="2"/>
      <c r="K106" s="2"/>
      <c r="L106" s="2" t="s">
        <v>517</v>
      </c>
    </row>
    <row r="107" spans="1:12" ht="63.6" thickBot="1">
      <c r="A107" s="4">
        <v>46362</v>
      </c>
      <c r="J107" s="2"/>
      <c r="K107" s="2"/>
      <c r="L107" s="2" t="s">
        <v>160</v>
      </c>
    </row>
    <row r="108" spans="1:12" ht="21.6" thickBot="1">
      <c r="A108" s="4">
        <v>46363</v>
      </c>
      <c r="J108" s="2"/>
      <c r="K108" s="2"/>
      <c r="L108" s="2" t="s">
        <v>118</v>
      </c>
    </row>
    <row r="109" spans="1:12" ht="63.6" thickBot="1">
      <c r="A109" s="4">
        <v>46366</v>
      </c>
      <c r="J109" s="2"/>
      <c r="K109" s="2"/>
      <c r="L109" s="2" t="s">
        <v>108</v>
      </c>
    </row>
    <row r="110" spans="1:12" ht="63.6" thickBot="1">
      <c r="A110" s="4">
        <v>46368</v>
      </c>
      <c r="J110" s="2"/>
      <c r="K110" s="2"/>
      <c r="L110" s="2" t="s">
        <v>204</v>
      </c>
    </row>
    <row r="111" spans="1:12" ht="63.6" thickBot="1">
      <c r="A111" s="4">
        <v>46369</v>
      </c>
      <c r="J111" s="2"/>
      <c r="K111" s="2"/>
      <c r="L111" s="2" t="s">
        <v>198</v>
      </c>
    </row>
    <row r="112" spans="1:12" ht="63.6" thickBot="1">
      <c r="A112" s="4">
        <v>46375</v>
      </c>
      <c r="J112" s="2"/>
      <c r="K112" s="2"/>
      <c r="L112" s="2" t="s">
        <v>201</v>
      </c>
    </row>
    <row r="113" spans="1:12" ht="63.6" thickBot="1">
      <c r="A113" s="4">
        <v>46376</v>
      </c>
      <c r="J113" s="2"/>
      <c r="K113" s="2"/>
      <c r="L113" s="2" t="s">
        <v>195</v>
      </c>
    </row>
    <row r="114" spans="1:12" ht="63.6" thickBot="1">
      <c r="A114" s="4">
        <v>46382</v>
      </c>
      <c r="J114" s="2"/>
      <c r="K114" s="2"/>
      <c r="L114" s="2" t="s">
        <v>518</v>
      </c>
    </row>
    <row r="115" spans="1:12" ht="63.6" thickBot="1">
      <c r="A115" s="4">
        <v>46383</v>
      </c>
      <c r="J115" s="2"/>
      <c r="K115" s="2"/>
      <c r="L115" s="2" t="s">
        <v>190</v>
      </c>
    </row>
    <row r="116" spans="1:12" ht="42.6" thickBot="1">
      <c r="A116" s="4">
        <v>46387</v>
      </c>
      <c r="J116" s="2"/>
      <c r="K116" s="2"/>
      <c r="L116" s="2" t="s">
        <v>211</v>
      </c>
    </row>
    <row r="117" spans="1:12" ht="42.6" thickBot="1">
      <c r="J117" s="2"/>
      <c r="K117" s="2"/>
      <c r="L117" s="2" t="s">
        <v>519</v>
      </c>
    </row>
    <row r="118" spans="1:12" ht="63.6" thickBot="1">
      <c r="J118" s="2"/>
      <c r="K118" s="2"/>
      <c r="L118" s="2" t="s">
        <v>520</v>
      </c>
    </row>
    <row r="119" spans="1:12" ht="21.6" thickBot="1">
      <c r="J119" s="2"/>
      <c r="K119" s="2"/>
      <c r="L119" s="2" t="s">
        <v>207</v>
      </c>
    </row>
    <row r="120" spans="1:12" ht="42.6" thickBot="1">
      <c r="J120" s="2"/>
      <c r="K120" s="2"/>
      <c r="L120" s="2" t="s">
        <v>217</v>
      </c>
    </row>
    <row r="121" spans="1:12" ht="63.6" thickBot="1">
      <c r="J121" s="2"/>
      <c r="K121" s="2"/>
      <c r="L121" s="2" t="s">
        <v>521</v>
      </c>
    </row>
    <row r="122" spans="1:12" ht="42.6" thickBot="1">
      <c r="J122" s="2"/>
      <c r="K122" s="2"/>
      <c r="L122" s="2" t="s">
        <v>522</v>
      </c>
    </row>
    <row r="123" spans="1:12" ht="42.6" thickBot="1">
      <c r="J123" s="2"/>
      <c r="K123" s="2"/>
      <c r="L123" s="2" t="s">
        <v>523</v>
      </c>
    </row>
    <row r="124" spans="1:12" ht="21.6" thickBot="1">
      <c r="J124" s="2"/>
      <c r="K124" s="2"/>
      <c r="L124" s="2" t="s">
        <v>244</v>
      </c>
    </row>
    <row r="125" spans="1:12" ht="63.6" thickBot="1">
      <c r="J125" s="2"/>
      <c r="K125" s="2"/>
      <c r="L125" s="2" t="s">
        <v>221</v>
      </c>
    </row>
    <row r="126" spans="1:12" ht="63.6" thickBot="1">
      <c r="J126" s="2"/>
      <c r="K126" s="2"/>
      <c r="L126" s="2" t="s">
        <v>223</v>
      </c>
    </row>
    <row r="127" spans="1:12" ht="21.6" thickBot="1">
      <c r="J127" s="2"/>
      <c r="K127" s="2"/>
      <c r="L127" s="2" t="s">
        <v>141</v>
      </c>
    </row>
    <row r="128" spans="1:12" ht="42.6" thickBot="1">
      <c r="J128" s="2"/>
      <c r="K128" s="2"/>
      <c r="L128" s="2" t="s">
        <v>226</v>
      </c>
    </row>
    <row r="129" spans="10:12" ht="21.6" thickBot="1">
      <c r="J129" s="2"/>
      <c r="K129" s="2"/>
      <c r="L129" s="5" t="s">
        <v>234</v>
      </c>
    </row>
    <row r="130" spans="10:12" ht="42.6" thickBot="1">
      <c r="J130" s="2"/>
      <c r="K130" s="2"/>
      <c r="L130" s="2" t="s">
        <v>252</v>
      </c>
    </row>
    <row r="131" spans="10:12" ht="21.6" thickBot="1">
      <c r="J131" s="2"/>
      <c r="K131" s="2"/>
      <c r="L131" s="2" t="s">
        <v>255</v>
      </c>
    </row>
    <row r="132" spans="10:12" ht="63.6" thickBot="1">
      <c r="J132" s="2"/>
      <c r="K132" s="2"/>
      <c r="L132" s="2" t="s">
        <v>250</v>
      </c>
    </row>
    <row r="133" spans="10:12" ht="42.6" thickBot="1">
      <c r="J133" s="2"/>
      <c r="K133" s="2"/>
      <c r="L133" s="2" t="s">
        <v>247</v>
      </c>
    </row>
    <row r="134" spans="10:12" ht="21.6" thickBot="1">
      <c r="J134" s="2"/>
      <c r="K134" s="2"/>
      <c r="L134" s="2" t="s">
        <v>524</v>
      </c>
    </row>
    <row r="135" spans="10:12" ht="42.6" thickBot="1">
      <c r="J135" s="2"/>
      <c r="K135" s="2"/>
      <c r="L135" s="2" t="s">
        <v>525</v>
      </c>
    </row>
    <row r="136" spans="10:12" ht="63.6" thickBot="1">
      <c r="J136" s="2"/>
      <c r="K136" s="2"/>
      <c r="L136" s="2" t="s">
        <v>263</v>
      </c>
    </row>
    <row r="137" spans="10:12" ht="63.6" thickBot="1">
      <c r="J137" s="2"/>
      <c r="K137" s="2"/>
      <c r="L137" s="2" t="s">
        <v>278</v>
      </c>
    </row>
    <row r="138" spans="10:12" ht="42.6" thickBot="1">
      <c r="J138" s="2"/>
      <c r="K138" s="2"/>
      <c r="L138" s="2" t="s">
        <v>239</v>
      </c>
    </row>
    <row r="139" spans="10:12" ht="42.6" thickBot="1">
      <c r="J139" s="2"/>
      <c r="K139" s="2"/>
      <c r="L139" s="2" t="s">
        <v>268</v>
      </c>
    </row>
    <row r="140" spans="10:12" ht="42.6" thickBot="1">
      <c r="J140" s="2"/>
      <c r="K140" s="2"/>
      <c r="L140" s="2" t="s">
        <v>272</v>
      </c>
    </row>
    <row r="141" spans="10:12" ht="21.6" thickBot="1">
      <c r="J141" s="2"/>
      <c r="K141" s="2"/>
      <c r="L141" s="2" t="s">
        <v>526</v>
      </c>
    </row>
    <row r="142" spans="10:12" ht="21.6" thickBot="1">
      <c r="J142" s="2"/>
      <c r="K142" s="2"/>
      <c r="L142" s="2" t="s">
        <v>270</v>
      </c>
    </row>
    <row r="143" spans="10:12" ht="42.6" thickBot="1">
      <c r="J143" s="2"/>
      <c r="K143" s="2"/>
      <c r="L143" s="2" t="s">
        <v>280</v>
      </c>
    </row>
    <row r="144" spans="10:12" ht="21.6" thickBot="1">
      <c r="J144" s="2"/>
      <c r="K144" s="2"/>
      <c r="L144" s="2" t="s">
        <v>289</v>
      </c>
    </row>
    <row r="145" spans="10:12" ht="21.6" thickBot="1">
      <c r="J145" s="2"/>
      <c r="K145" s="2"/>
      <c r="L145" s="2" t="s">
        <v>299</v>
      </c>
    </row>
    <row r="146" spans="10:12" ht="63.6" thickBot="1">
      <c r="J146" s="2"/>
      <c r="K146" s="2"/>
      <c r="L146" s="2" t="s">
        <v>296</v>
      </c>
    </row>
    <row r="147" spans="10:12" ht="63.6" thickBot="1">
      <c r="J147" s="2"/>
      <c r="K147" s="2"/>
      <c r="L147" s="5" t="s">
        <v>197</v>
      </c>
    </row>
    <row r="148" spans="10:12" ht="42.6" thickBot="1">
      <c r="J148" s="2"/>
      <c r="K148" s="2"/>
      <c r="L148" s="2" t="s">
        <v>300</v>
      </c>
    </row>
    <row r="149" spans="10:12" ht="42.6" thickBot="1">
      <c r="J149" s="2"/>
      <c r="K149" s="2"/>
      <c r="L149" s="2" t="s">
        <v>324</v>
      </c>
    </row>
    <row r="150" spans="10:12" ht="63.6" thickBot="1">
      <c r="J150" s="2"/>
      <c r="K150" s="2"/>
      <c r="L150" s="2" t="s">
        <v>316</v>
      </c>
    </row>
    <row r="151" spans="10:12" ht="63.6" thickBot="1">
      <c r="J151" s="2"/>
      <c r="K151" s="2"/>
      <c r="L151" s="2" t="s">
        <v>338</v>
      </c>
    </row>
    <row r="152" spans="10:12" ht="42.6" thickBot="1">
      <c r="J152" s="2"/>
      <c r="K152" s="2"/>
      <c r="L152" s="2" t="s">
        <v>319</v>
      </c>
    </row>
    <row r="153" spans="10:12" ht="42.6" thickBot="1">
      <c r="J153" s="2"/>
      <c r="K153" s="2"/>
      <c r="L153" s="2" t="s">
        <v>311</v>
      </c>
    </row>
    <row r="154" spans="10:12" ht="21.6" thickBot="1">
      <c r="J154" s="2"/>
      <c r="K154" s="2"/>
      <c r="L154" s="2" t="s">
        <v>219</v>
      </c>
    </row>
    <row r="155" spans="10:12" ht="42.6" thickBot="1">
      <c r="J155" s="2"/>
      <c r="K155" s="2"/>
      <c r="L155" s="2" t="s">
        <v>527</v>
      </c>
    </row>
    <row r="156" spans="10:12" ht="63.6" thickBot="1">
      <c r="J156" s="2"/>
      <c r="K156" s="2"/>
      <c r="L156" s="2" t="s">
        <v>528</v>
      </c>
    </row>
    <row r="157" spans="10:12" ht="63.6" thickBot="1">
      <c r="J157" s="2"/>
      <c r="K157" s="2"/>
      <c r="L157" s="2" t="s">
        <v>528</v>
      </c>
    </row>
    <row r="158" spans="10:12" ht="63.6" thickBot="1">
      <c r="J158" s="2"/>
      <c r="K158" s="2"/>
      <c r="L158" s="2" t="s">
        <v>342</v>
      </c>
    </row>
    <row r="159" spans="10:12" ht="63.6" thickBot="1">
      <c r="J159" s="2"/>
      <c r="K159" s="2"/>
      <c r="L159" s="2" t="s">
        <v>334</v>
      </c>
    </row>
    <row r="160" spans="10:12" ht="42">
      <c r="J160" s="2"/>
      <c r="K160" s="2"/>
      <c r="L160" s="2" t="s">
        <v>375</v>
      </c>
    </row>
    <row r="161" spans="10:12" ht="42">
      <c r="J161" s="2"/>
      <c r="K161" s="2"/>
      <c r="L161" s="2" t="s">
        <v>369</v>
      </c>
    </row>
    <row r="162" spans="10:12" ht="42">
      <c r="J162" s="2"/>
      <c r="K162" s="2"/>
      <c r="L162" s="2" t="s">
        <v>360</v>
      </c>
    </row>
    <row r="163" spans="10:12" ht="102.75">
      <c r="J163" s="2"/>
      <c r="K163" s="2"/>
      <c r="L163" s="2" t="s">
        <v>384</v>
      </c>
    </row>
    <row r="164" spans="10:12" ht="21.6" thickBot="1">
      <c r="J164" s="2"/>
      <c r="K164" s="2"/>
      <c r="L164" s="2"/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529</v>
      </c>
      <c r="C1" t="s">
        <v>530</v>
      </c>
    </row>
    <row r="2" spans="1:3">
      <c r="A2">
        <v>2026</v>
      </c>
      <c r="B2" t="s">
        <v>531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532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tabSelected="1" workbookViewId="0">
      <selection activeCell="B18" sqref="B18"/>
    </sheetView>
  </sheetViews>
  <sheetFormatPr defaultRowHeight="26.25"/>
  <cols>
    <col min="1" max="1" width="37.125" style="126" bestFit="1" customWidth="1"/>
    <col min="2" max="2" width="28.25" style="126" bestFit="1" customWidth="1"/>
    <col min="3" max="3" width="15.625" style="126" customWidth="1"/>
    <col min="4" max="4" width="13.625" style="126" customWidth="1"/>
    <col min="5" max="7" width="9" style="126"/>
    <col min="8" max="8" width="22.125" style="126" bestFit="1" customWidth="1"/>
    <col min="9" max="11" width="9" style="126"/>
    <col min="12" max="12" width="9.875" style="126" bestFit="1" customWidth="1"/>
    <col min="13" max="16384" width="9" style="126"/>
  </cols>
  <sheetData>
    <row r="1" spans="1:30">
      <c r="A1" s="122" t="s">
        <v>533</v>
      </c>
      <c r="B1" s="123" t="s">
        <v>534</v>
      </c>
      <c r="C1" s="123" t="s">
        <v>535</v>
      </c>
      <c r="D1" s="123" t="s">
        <v>536</v>
      </c>
      <c r="E1" s="147" t="s">
        <v>537</v>
      </c>
      <c r="F1" s="148"/>
      <c r="G1" s="149"/>
      <c r="H1" s="123" t="s">
        <v>538</v>
      </c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5"/>
    </row>
    <row r="2" spans="1:30">
      <c r="A2" s="127"/>
      <c r="B2" s="128"/>
      <c r="C2" s="128"/>
      <c r="D2" s="128"/>
      <c r="E2" s="129" t="s">
        <v>42</v>
      </c>
      <c r="F2" s="129" t="s">
        <v>83</v>
      </c>
      <c r="G2" s="130" t="s">
        <v>539</v>
      </c>
      <c r="H2" s="128"/>
      <c r="I2" s="131"/>
      <c r="J2" s="131"/>
      <c r="K2" s="131" t="s">
        <v>540</v>
      </c>
      <c r="L2" s="132">
        <v>23000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3"/>
    </row>
    <row r="3" spans="1:30">
      <c r="A3" s="134" t="s">
        <v>541</v>
      </c>
      <c r="B3" s="135"/>
      <c r="C3" s="135"/>
      <c r="D3" s="135"/>
      <c r="E3" s="135">
        <v>31</v>
      </c>
      <c r="F3" s="135">
        <v>20</v>
      </c>
      <c r="G3" s="135">
        <v>14</v>
      </c>
      <c r="H3" s="135"/>
      <c r="I3" s="131"/>
      <c r="J3" s="131"/>
      <c r="K3" s="131" t="s">
        <v>542</v>
      </c>
      <c r="L3" s="136">
        <v>178675</v>
      </c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3"/>
    </row>
    <row r="4" spans="1:30">
      <c r="A4" s="134" t="s">
        <v>543</v>
      </c>
      <c r="B4" s="135"/>
      <c r="C4" s="135"/>
      <c r="D4" s="135"/>
      <c r="E4" s="135"/>
      <c r="F4" s="135"/>
      <c r="G4" s="135"/>
      <c r="H4" s="135"/>
      <c r="I4" s="131"/>
      <c r="J4" s="131"/>
      <c r="K4" s="131" t="s">
        <v>544</v>
      </c>
      <c r="L4" s="136">
        <v>229650</v>
      </c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3"/>
    </row>
    <row r="5" spans="1:30">
      <c r="A5" s="137" t="s">
        <v>545</v>
      </c>
      <c r="B5" s="135" t="s">
        <v>546</v>
      </c>
      <c r="C5" s="138">
        <v>491400</v>
      </c>
      <c r="D5" s="135" t="s">
        <v>547</v>
      </c>
      <c r="E5" s="135">
        <v>589</v>
      </c>
      <c r="F5" s="135"/>
      <c r="G5" s="135">
        <v>350</v>
      </c>
      <c r="H5" s="135"/>
      <c r="I5" s="131"/>
      <c r="J5" s="131"/>
      <c r="K5" s="131" t="s">
        <v>548</v>
      </c>
      <c r="L5" s="131">
        <v>12910</v>
      </c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  <c r="AB5" s="131"/>
      <c r="AC5" s="131"/>
      <c r="AD5" s="133"/>
    </row>
    <row r="6" spans="1:30">
      <c r="A6" s="139"/>
      <c r="B6" s="135" t="s">
        <v>549</v>
      </c>
      <c r="C6" s="138">
        <v>80000</v>
      </c>
      <c r="D6" s="135" t="s">
        <v>547</v>
      </c>
      <c r="E6" s="135"/>
      <c r="F6" s="135"/>
      <c r="G6" s="135"/>
      <c r="H6" s="135"/>
      <c r="I6" s="131"/>
      <c r="J6" s="131"/>
      <c r="K6" s="131" t="s">
        <v>550</v>
      </c>
      <c r="L6" s="136">
        <v>57930</v>
      </c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3"/>
    </row>
    <row r="7" spans="1:30">
      <c r="A7" s="140"/>
      <c r="B7" s="141" t="s">
        <v>551</v>
      </c>
      <c r="C7" s="138">
        <v>12157</v>
      </c>
      <c r="D7" s="135"/>
      <c r="E7" s="135"/>
      <c r="F7" s="135"/>
      <c r="G7" s="135"/>
      <c r="H7" s="135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3"/>
    </row>
    <row r="8" spans="1:30">
      <c r="A8" s="134" t="s">
        <v>552</v>
      </c>
      <c r="B8" s="135" t="s">
        <v>552</v>
      </c>
      <c r="C8" s="135">
        <v>0</v>
      </c>
      <c r="D8" s="135"/>
      <c r="E8" s="135"/>
      <c r="F8" s="135"/>
      <c r="G8" s="135"/>
      <c r="H8" s="135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3"/>
    </row>
    <row r="9" spans="1:30">
      <c r="A9" s="137" t="s">
        <v>553</v>
      </c>
      <c r="B9" s="135" t="s">
        <v>554</v>
      </c>
      <c r="C9" s="135">
        <v>241.375</v>
      </c>
      <c r="D9" s="135" t="s">
        <v>555</v>
      </c>
      <c r="E9" s="135"/>
      <c r="F9" s="135">
        <v>5</v>
      </c>
      <c r="G9" s="135"/>
      <c r="H9" s="135">
        <v>2.6</v>
      </c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3"/>
    </row>
    <row r="10" spans="1:30">
      <c r="A10" s="140"/>
      <c r="B10" s="141" t="s">
        <v>556</v>
      </c>
      <c r="C10" s="135">
        <v>139.8583333</v>
      </c>
      <c r="D10" s="135"/>
      <c r="E10" s="135"/>
      <c r="F10" s="135"/>
      <c r="G10" s="135"/>
      <c r="H10" s="135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3"/>
    </row>
    <row r="11" spans="1:30">
      <c r="A11" s="137" t="s">
        <v>409</v>
      </c>
      <c r="B11" s="135" t="s">
        <v>557</v>
      </c>
      <c r="C11" s="135">
        <v>95.833333330000002</v>
      </c>
      <c r="D11" s="135" t="s">
        <v>555</v>
      </c>
      <c r="E11" s="135">
        <v>15</v>
      </c>
      <c r="F11" s="135">
        <v>5</v>
      </c>
      <c r="G11" s="135">
        <v>13</v>
      </c>
      <c r="H11" s="135">
        <v>0.5</v>
      </c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3"/>
    </row>
    <row r="12" spans="1:30">
      <c r="A12" s="139"/>
      <c r="B12" s="135" t="s">
        <v>558</v>
      </c>
      <c r="C12" s="135">
        <v>241.375</v>
      </c>
      <c r="D12" s="135" t="s">
        <v>555</v>
      </c>
      <c r="E12" s="135"/>
      <c r="F12" s="135"/>
      <c r="G12" s="135"/>
      <c r="H12" s="135"/>
      <c r="I12" s="131"/>
      <c r="J12" s="131"/>
      <c r="K12" s="131" t="s">
        <v>559</v>
      </c>
      <c r="L12" s="131">
        <v>65</v>
      </c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3"/>
    </row>
    <row r="13" spans="1:30">
      <c r="A13" s="139"/>
      <c r="B13" s="141" t="s">
        <v>560</v>
      </c>
      <c r="C13" s="135">
        <v>2529.0625</v>
      </c>
      <c r="D13" s="135"/>
      <c r="E13" s="135"/>
      <c r="F13" s="135"/>
      <c r="G13" s="135"/>
      <c r="H13" s="135"/>
      <c r="I13" s="131"/>
      <c r="J13" s="131"/>
      <c r="K13" s="131" t="s">
        <v>561</v>
      </c>
      <c r="L13" s="131">
        <v>32</v>
      </c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3"/>
    </row>
    <row r="14" spans="1:30">
      <c r="A14" s="139"/>
      <c r="B14" s="141" t="s">
        <v>562</v>
      </c>
      <c r="C14" s="135">
        <v>2529.0625</v>
      </c>
      <c r="D14" s="135"/>
      <c r="E14" s="135"/>
      <c r="F14" s="135"/>
      <c r="G14" s="135"/>
      <c r="H14" s="135"/>
      <c r="I14" s="131"/>
      <c r="J14" s="131"/>
      <c r="K14" s="131" t="s">
        <v>330</v>
      </c>
      <c r="L14" s="131">
        <v>7</v>
      </c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3"/>
    </row>
    <row r="15" spans="1:30">
      <c r="A15" s="140"/>
      <c r="B15" s="141" t="s">
        <v>539</v>
      </c>
      <c r="C15" s="135">
        <v>2191.854167</v>
      </c>
      <c r="D15" s="135"/>
      <c r="E15" s="135"/>
      <c r="F15" s="135"/>
      <c r="G15" s="135"/>
      <c r="H15" s="135"/>
      <c r="I15" s="131"/>
      <c r="J15" s="131"/>
      <c r="K15" s="131" t="s">
        <v>563</v>
      </c>
      <c r="L15" s="131">
        <v>33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3"/>
    </row>
    <row r="16" spans="1:30">
      <c r="A16" s="137" t="s">
        <v>385</v>
      </c>
      <c r="B16" s="135" t="s">
        <v>557</v>
      </c>
      <c r="C16" s="135">
        <v>95.833333330000002</v>
      </c>
      <c r="D16" s="135" t="s">
        <v>555</v>
      </c>
      <c r="E16" s="135">
        <v>4</v>
      </c>
      <c r="F16" s="135">
        <v>3</v>
      </c>
      <c r="G16" s="135">
        <v>3</v>
      </c>
      <c r="H16" s="135">
        <v>0.5</v>
      </c>
      <c r="I16" s="131"/>
      <c r="J16" s="131"/>
      <c r="K16" s="131" t="s">
        <v>564</v>
      </c>
      <c r="L16" s="131">
        <v>4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3"/>
    </row>
    <row r="17" spans="1:30">
      <c r="A17" s="139"/>
      <c r="B17" s="135" t="s">
        <v>565</v>
      </c>
      <c r="C17" s="135">
        <v>956.875</v>
      </c>
      <c r="D17" s="135" t="s">
        <v>555</v>
      </c>
      <c r="E17" s="135"/>
      <c r="F17" s="135"/>
      <c r="G17" s="135"/>
      <c r="H17" s="135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3"/>
    </row>
    <row r="18" spans="1:30">
      <c r="A18" s="139"/>
      <c r="B18" s="135" t="s">
        <v>566</v>
      </c>
      <c r="C18" s="135">
        <v>53.791666669999998</v>
      </c>
      <c r="D18" s="135" t="s">
        <v>555</v>
      </c>
      <c r="E18" s="135"/>
      <c r="F18" s="135"/>
      <c r="G18" s="135"/>
      <c r="H18" s="135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3"/>
    </row>
    <row r="19" spans="1:30">
      <c r="A19" s="139"/>
      <c r="B19" s="135" t="s">
        <v>567</v>
      </c>
      <c r="C19" s="135">
        <v>956.875</v>
      </c>
      <c r="D19" s="135" t="s">
        <v>555</v>
      </c>
      <c r="E19" s="135"/>
      <c r="F19" s="135"/>
      <c r="G19" s="135"/>
      <c r="H19" s="135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3"/>
    </row>
    <row r="20" spans="1:30">
      <c r="A20" s="139"/>
      <c r="B20" s="141" t="s">
        <v>568</v>
      </c>
      <c r="C20" s="135">
        <v>3095.0625</v>
      </c>
      <c r="D20" s="135"/>
      <c r="E20" s="135"/>
      <c r="F20" s="135"/>
      <c r="G20" s="135"/>
      <c r="H20" s="135"/>
      <c r="I20" s="131"/>
      <c r="J20" s="131"/>
      <c r="K20" s="131">
        <v>2550</v>
      </c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3"/>
    </row>
    <row r="21" spans="1:30">
      <c r="A21" s="139"/>
      <c r="B21" s="141" t="s">
        <v>569</v>
      </c>
      <c r="C21" s="135">
        <v>4126.75</v>
      </c>
      <c r="D21" s="135"/>
      <c r="E21" s="135"/>
      <c r="F21" s="135"/>
      <c r="G21" s="135"/>
      <c r="H21" s="135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3"/>
    </row>
    <row r="22" spans="1:30">
      <c r="A22" s="140"/>
      <c r="B22" s="141" t="s">
        <v>570</v>
      </c>
      <c r="C22" s="135">
        <v>3095.0625</v>
      </c>
      <c r="D22" s="135"/>
      <c r="E22" s="135"/>
      <c r="F22" s="135"/>
      <c r="G22" s="135"/>
      <c r="H22" s="135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3"/>
    </row>
    <row r="23" spans="1:30">
      <c r="A23" s="134" t="s">
        <v>571</v>
      </c>
      <c r="B23" s="141" t="s">
        <v>572</v>
      </c>
      <c r="C23" s="135">
        <v>1000</v>
      </c>
      <c r="D23" s="135"/>
      <c r="E23" s="135"/>
      <c r="F23" s="135"/>
      <c r="G23" s="135"/>
      <c r="H23" s="135"/>
      <c r="I23" s="131"/>
      <c r="J23" s="131"/>
      <c r="K23" s="131" t="s">
        <v>573</v>
      </c>
      <c r="L23" s="131"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3"/>
    </row>
    <row r="24" spans="1:30">
      <c r="A24" s="137" t="s">
        <v>574</v>
      </c>
      <c r="B24" s="142" t="s">
        <v>575</v>
      </c>
      <c r="C24" s="138">
        <v>1800</v>
      </c>
      <c r="D24" s="135" t="s">
        <v>576</v>
      </c>
      <c r="E24" s="135">
        <v>1</v>
      </c>
      <c r="F24" s="135">
        <v>1</v>
      </c>
      <c r="G24" s="135">
        <v>1</v>
      </c>
      <c r="H24" s="135"/>
      <c r="I24" s="131"/>
      <c r="J24" s="131"/>
      <c r="K24" s="131" t="s">
        <v>577</v>
      </c>
      <c r="L24" s="131">
        <v>14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3"/>
    </row>
    <row r="25" spans="1:30">
      <c r="A25" s="140"/>
      <c r="B25" s="143"/>
      <c r="C25" s="138">
        <v>2000</v>
      </c>
      <c r="D25" s="135" t="s">
        <v>578</v>
      </c>
      <c r="E25" s="135"/>
      <c r="F25" s="135"/>
      <c r="G25" s="135"/>
      <c r="H25" s="135"/>
      <c r="I25" s="131"/>
      <c r="J25" s="131"/>
      <c r="K25" s="131" t="s">
        <v>579</v>
      </c>
      <c r="L25" s="131">
        <v>12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3"/>
    </row>
    <row r="26" spans="1:30">
      <c r="A26" s="144"/>
      <c r="B26" s="131"/>
      <c r="C26" s="131"/>
      <c r="D26" s="131"/>
      <c r="E26" s="131"/>
      <c r="F26" s="131"/>
      <c r="G26" s="131"/>
      <c r="H26" s="131"/>
      <c r="I26" s="131"/>
      <c r="J26" s="131"/>
      <c r="K26" s="131" t="s">
        <v>161</v>
      </c>
      <c r="L26" s="131">
        <v>2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3"/>
    </row>
    <row r="27" spans="1:30">
      <c r="A27" s="144" t="s">
        <v>556</v>
      </c>
      <c r="B27" s="131" t="s">
        <v>580</v>
      </c>
      <c r="C27" s="131" t="s">
        <v>576</v>
      </c>
      <c r="D27" s="131" t="s">
        <v>578</v>
      </c>
      <c r="E27" s="131"/>
      <c r="F27" s="131"/>
      <c r="G27" s="131"/>
      <c r="H27" s="131"/>
      <c r="I27" s="131"/>
      <c r="J27" s="131"/>
      <c r="K27" s="131" t="s">
        <v>73</v>
      </c>
      <c r="L27" s="131">
        <v>12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3"/>
    </row>
    <row r="28" spans="1:30">
      <c r="A28" s="144" t="s">
        <v>83</v>
      </c>
      <c r="B28" s="132">
        <v>17921</v>
      </c>
      <c r="C28" s="132">
        <v>19721</v>
      </c>
      <c r="D28" s="132">
        <v>19921</v>
      </c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3"/>
    </row>
    <row r="29" spans="1:30">
      <c r="A29" s="144" t="s">
        <v>581</v>
      </c>
      <c r="B29" s="132">
        <v>19813</v>
      </c>
      <c r="C29" s="132">
        <v>21613</v>
      </c>
      <c r="D29" s="132">
        <v>21813</v>
      </c>
      <c r="E29" s="131"/>
      <c r="F29" s="131"/>
      <c r="G29" s="131"/>
      <c r="H29" s="131"/>
      <c r="I29" s="131"/>
      <c r="J29" s="131"/>
      <c r="K29" s="131" t="s">
        <v>582</v>
      </c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3"/>
    </row>
    <row r="30" spans="1:30">
      <c r="A30" s="144" t="s">
        <v>583</v>
      </c>
      <c r="B30" s="132">
        <v>19813</v>
      </c>
      <c r="C30" s="132">
        <v>21613</v>
      </c>
      <c r="D30" s="132">
        <v>21813</v>
      </c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3"/>
    </row>
    <row r="31" spans="1:30">
      <c r="A31" s="144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3"/>
    </row>
    <row r="32" spans="1:30">
      <c r="A32" s="144">
        <v>31666.666669999999</v>
      </c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3"/>
    </row>
    <row r="33" spans="1:30">
      <c r="A33" s="144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3"/>
    </row>
    <row r="34" spans="1:30">
      <c r="A34" s="144">
        <v>42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3"/>
    </row>
    <row r="35" spans="1:30">
      <c r="A35" s="144" t="s">
        <v>584</v>
      </c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3"/>
    </row>
    <row r="36" spans="1:30">
      <c r="A36" s="144" t="s">
        <v>585</v>
      </c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3"/>
    </row>
    <row r="37" spans="1:30">
      <c r="A37" s="150"/>
      <c r="B37" s="151" t="s">
        <v>586</v>
      </c>
      <c r="C37" s="151" t="s">
        <v>409</v>
      </c>
      <c r="D37" s="151" t="s">
        <v>385</v>
      </c>
      <c r="E37" s="152" t="s">
        <v>587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3"/>
    </row>
    <row r="38" spans="1:30">
      <c r="A38" s="153" t="s">
        <v>588</v>
      </c>
      <c r="B38" s="154">
        <v>600</v>
      </c>
      <c r="C38" s="154">
        <v>15</v>
      </c>
      <c r="D38" s="154">
        <v>4</v>
      </c>
      <c r="E38" s="155">
        <v>1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3"/>
    </row>
    <row r="39" spans="1:30">
      <c r="A39" s="156" t="s">
        <v>589</v>
      </c>
      <c r="B39" s="157">
        <v>350</v>
      </c>
      <c r="C39" s="157">
        <v>13</v>
      </c>
      <c r="D39" s="157">
        <v>3</v>
      </c>
      <c r="E39" s="158">
        <v>1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3"/>
    </row>
    <row r="40" spans="1:30">
      <c r="A40" s="144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3"/>
    </row>
    <row r="41" spans="1:30">
      <c r="A41" s="144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3"/>
    </row>
    <row r="42" spans="1:30">
      <c r="A42" s="144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3"/>
    </row>
    <row r="43" spans="1:30">
      <c r="A43" s="144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3"/>
    </row>
    <row r="44" spans="1:30">
      <c r="A44" s="144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3"/>
    </row>
    <row r="45" spans="1:30">
      <c r="A45" s="144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3"/>
    </row>
    <row r="46" spans="1:30">
      <c r="A46" s="144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3"/>
    </row>
    <row r="47" spans="1:30">
      <c r="A47" s="144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3"/>
    </row>
    <row r="48" spans="1:30">
      <c r="A48" s="144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3"/>
    </row>
    <row r="49" spans="1:30">
      <c r="A49" s="144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3"/>
    </row>
    <row r="50" spans="1:30">
      <c r="A50" s="144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3"/>
    </row>
    <row r="51" spans="1:30">
      <c r="A51" s="144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3"/>
    </row>
    <row r="52" spans="1:30">
      <c r="A52" s="144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3"/>
    </row>
    <row r="53" spans="1:30">
      <c r="A53" s="144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3"/>
    </row>
    <row r="54" spans="1:30">
      <c r="A54" s="144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3"/>
    </row>
    <row r="55" spans="1:30">
      <c r="A55" s="144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3"/>
    </row>
    <row r="56" spans="1:30">
      <c r="A56" s="144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3"/>
    </row>
    <row r="57" spans="1:30">
      <c r="A57" s="144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3"/>
    </row>
    <row r="58" spans="1:30">
      <c r="A58" s="144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3"/>
    </row>
    <row r="59" spans="1:30">
      <c r="A59" s="144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3"/>
    </row>
    <row r="60" spans="1:30">
      <c r="A60" s="144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3"/>
    </row>
    <row r="61" spans="1:30">
      <c r="A61" s="144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3"/>
    </row>
    <row r="62" spans="1:30">
      <c r="A62" s="144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3"/>
    </row>
    <row r="63" spans="1:30">
      <c r="A63" s="144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3"/>
    </row>
    <row r="64" spans="1:30">
      <c r="A64" s="144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3"/>
    </row>
    <row r="65" spans="1:30">
      <c r="A65" s="144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3"/>
    </row>
    <row r="66" spans="1:30">
      <c r="A66" s="144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3"/>
    </row>
    <row r="67" spans="1:30">
      <c r="A67" s="144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3"/>
    </row>
    <row r="68" spans="1:30">
      <c r="A68" s="144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3"/>
    </row>
    <row r="69" spans="1:30">
      <c r="A69" s="144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3"/>
    </row>
    <row r="70" spans="1:30">
      <c r="A70" s="144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3"/>
    </row>
    <row r="71" spans="1:30">
      <c r="A71" s="144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3"/>
    </row>
    <row r="72" spans="1:30">
      <c r="A72" s="144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3"/>
    </row>
    <row r="73" spans="1:30">
      <c r="A73" s="144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3"/>
    </row>
    <row r="74" spans="1:30">
      <c r="A74" s="144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3"/>
    </row>
    <row r="75" spans="1:30">
      <c r="A75" s="144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3"/>
    </row>
    <row r="76" spans="1:30">
      <c r="A76" s="144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3"/>
    </row>
    <row r="77" spans="1:30">
      <c r="A77" s="144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3"/>
    </row>
    <row r="78" spans="1:30">
      <c r="A78" s="144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3"/>
    </row>
    <row r="79" spans="1:30">
      <c r="A79" s="144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3"/>
    </row>
    <row r="80" spans="1:30">
      <c r="A80" s="144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3"/>
    </row>
    <row r="81" spans="1:30">
      <c r="A81" s="144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3"/>
    </row>
    <row r="82" spans="1:30">
      <c r="A82" s="144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3"/>
    </row>
    <row r="83" spans="1:30">
      <c r="A83" s="144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3"/>
    </row>
    <row r="84" spans="1:30">
      <c r="A84" s="144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3"/>
    </row>
    <row r="85" spans="1:30">
      <c r="A85" s="144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3"/>
    </row>
    <row r="86" spans="1:30">
      <c r="A86" s="144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3"/>
    </row>
    <row r="87" spans="1:30">
      <c r="A87" s="144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3"/>
    </row>
    <row r="88" spans="1:30">
      <c r="A88" s="144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3"/>
    </row>
    <row r="89" spans="1:30">
      <c r="A89" s="144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3"/>
    </row>
    <row r="90" spans="1:30">
      <c r="A90" s="144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3"/>
    </row>
    <row r="91" spans="1:30">
      <c r="A91" s="144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3"/>
    </row>
    <row r="92" spans="1:30">
      <c r="A92" s="144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3"/>
    </row>
    <row r="93" spans="1:30">
      <c r="A93" s="144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3"/>
    </row>
    <row r="94" spans="1:30">
      <c r="A94" s="144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3"/>
    </row>
    <row r="95" spans="1:30">
      <c r="A95" s="144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3"/>
    </row>
    <row r="96" spans="1:30">
      <c r="A96" s="144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3"/>
    </row>
    <row r="97" spans="1:30">
      <c r="A97" s="144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3"/>
    </row>
    <row r="98" spans="1:30">
      <c r="A98" s="144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3"/>
    </row>
    <row r="99" spans="1:30">
      <c r="A99" s="144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3"/>
    </row>
    <row r="100" spans="1:30">
      <c r="A100" s="144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3"/>
    </row>
    <row r="101" spans="1:30">
      <c r="A101" s="144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3"/>
    </row>
    <row r="102" spans="1:30">
      <c r="A102" s="144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3"/>
    </row>
    <row r="103" spans="1:30">
      <c r="A103" s="144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3"/>
    </row>
    <row r="104" spans="1:30">
      <c r="A104" s="144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3"/>
    </row>
    <row r="105" spans="1:30">
      <c r="A105" s="144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3"/>
    </row>
    <row r="106" spans="1:30">
      <c r="A106" s="144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3"/>
    </row>
    <row r="107" spans="1:30">
      <c r="A107" s="144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3"/>
    </row>
    <row r="108" spans="1:30">
      <c r="A108" s="144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3"/>
    </row>
    <row r="109" spans="1:30">
      <c r="A109" s="144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3"/>
    </row>
    <row r="110" spans="1:30">
      <c r="A110" s="144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3"/>
    </row>
    <row r="111" spans="1:30">
      <c r="A111" s="144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3"/>
    </row>
    <row r="112" spans="1:30">
      <c r="A112" s="144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3"/>
    </row>
    <row r="113" spans="1:30">
      <c r="A113" s="144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3"/>
    </row>
    <row r="114" spans="1:30">
      <c r="A114" s="144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3"/>
    </row>
    <row r="115" spans="1:30">
      <c r="A115" s="144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3"/>
    </row>
    <row r="116" spans="1:30">
      <c r="A116" s="144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3"/>
    </row>
    <row r="117" spans="1:30">
      <c r="A117" s="144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3"/>
    </row>
    <row r="118" spans="1:30">
      <c r="A118" s="144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3"/>
    </row>
    <row r="119" spans="1:30">
      <c r="A119" s="144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3"/>
    </row>
    <row r="120" spans="1:30">
      <c r="A120" s="144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3"/>
    </row>
    <row r="121" spans="1:30">
      <c r="A121" s="144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3"/>
    </row>
    <row r="122" spans="1:30">
      <c r="A122" s="144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3"/>
    </row>
    <row r="123" spans="1:30">
      <c r="A123" s="144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3"/>
    </row>
    <row r="124" spans="1:30">
      <c r="A124" s="144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3"/>
    </row>
    <row r="125" spans="1:30">
      <c r="A125" s="144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3"/>
    </row>
    <row r="126" spans="1:30">
      <c r="A126" s="144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3"/>
    </row>
    <row r="127" spans="1:30">
      <c r="A127" s="144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3"/>
    </row>
    <row r="128" spans="1:30">
      <c r="A128" s="144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3"/>
    </row>
    <row r="129" spans="1:30">
      <c r="A129" s="144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3"/>
    </row>
    <row r="130" spans="1:30">
      <c r="A130" s="144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3"/>
    </row>
    <row r="131" spans="1:30">
      <c r="A131" s="144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3"/>
    </row>
    <row r="132" spans="1:30">
      <c r="A132" s="144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3"/>
    </row>
    <row r="133" spans="1:30">
      <c r="A133" s="144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3"/>
    </row>
    <row r="134" spans="1:30">
      <c r="A134" s="144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3"/>
    </row>
    <row r="135" spans="1:30">
      <c r="A135" s="144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3"/>
    </row>
    <row r="136" spans="1:30">
      <c r="A136" s="144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3"/>
    </row>
    <row r="137" spans="1:30">
      <c r="A137" s="144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3"/>
    </row>
    <row r="138" spans="1:30">
      <c r="A138" s="144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3"/>
    </row>
    <row r="139" spans="1:30">
      <c r="A139" s="144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3"/>
    </row>
    <row r="140" spans="1:30">
      <c r="A140" s="144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3"/>
    </row>
    <row r="141" spans="1:30">
      <c r="A141" s="144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3"/>
    </row>
    <row r="142" spans="1:30">
      <c r="A142" s="144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3"/>
    </row>
    <row r="143" spans="1:30">
      <c r="A143" s="144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3"/>
    </row>
    <row r="144" spans="1:30">
      <c r="A144" s="144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3"/>
    </row>
    <row r="145" spans="1:30">
      <c r="A145" s="144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3"/>
    </row>
    <row r="146" spans="1:30">
      <c r="A146" s="144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3"/>
    </row>
    <row r="147" spans="1:30">
      <c r="A147" s="144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3"/>
    </row>
    <row r="148" spans="1:30">
      <c r="A148" s="144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3"/>
    </row>
    <row r="149" spans="1:30">
      <c r="A149" s="144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3"/>
    </row>
    <row r="150" spans="1:30">
      <c r="A150" s="144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3"/>
    </row>
    <row r="151" spans="1:30">
      <c r="A151" s="144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3"/>
    </row>
    <row r="152" spans="1:30">
      <c r="A152" s="144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3"/>
    </row>
    <row r="153" spans="1:30">
      <c r="A153" s="144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3"/>
    </row>
    <row r="154" spans="1:30">
      <c r="A154" s="144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3"/>
    </row>
    <row r="155" spans="1:30">
      <c r="A155" s="144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3"/>
    </row>
    <row r="156" spans="1:30">
      <c r="A156" s="144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3"/>
    </row>
    <row r="157" spans="1:30">
      <c r="A157" s="144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3"/>
    </row>
    <row r="158" spans="1:30">
      <c r="A158" s="144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3"/>
    </row>
    <row r="159" spans="1:30">
      <c r="A159" s="144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3"/>
    </row>
    <row r="160" spans="1:30">
      <c r="A160" s="144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3"/>
    </row>
    <row r="161" spans="1:30">
      <c r="A161" s="144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3"/>
    </row>
    <row r="162" spans="1:30">
      <c r="A162" s="144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3"/>
    </row>
    <row r="163" spans="1:30">
      <c r="A163" s="144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3"/>
    </row>
    <row r="164" spans="1:30">
      <c r="A164" s="144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3"/>
    </row>
    <row r="165" spans="1:30">
      <c r="A165" s="144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3"/>
    </row>
    <row r="166" spans="1:30">
      <c r="A166" s="144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3"/>
    </row>
    <row r="167" spans="1:30">
      <c r="A167" s="144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3"/>
    </row>
    <row r="168" spans="1:30">
      <c r="A168" s="144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3"/>
    </row>
    <row r="169" spans="1:30">
      <c r="A169" s="144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3"/>
    </row>
    <row r="170" spans="1:30">
      <c r="A170" s="144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3"/>
    </row>
    <row r="171" spans="1:30">
      <c r="A171" s="144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3"/>
    </row>
    <row r="172" spans="1:30">
      <c r="A172" s="144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3"/>
    </row>
    <row r="173" spans="1:30">
      <c r="A173" s="144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3"/>
    </row>
    <row r="174" spans="1:30">
      <c r="A174" s="144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3"/>
    </row>
    <row r="175" spans="1:30">
      <c r="A175" s="144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3"/>
    </row>
    <row r="176" spans="1:30">
      <c r="A176" s="144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3"/>
    </row>
    <row r="177" spans="1:30">
      <c r="A177" s="144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3"/>
    </row>
    <row r="178" spans="1:30">
      <c r="A178" s="144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3"/>
    </row>
    <row r="179" spans="1:30">
      <c r="A179" s="144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3"/>
    </row>
    <row r="180" spans="1:30">
      <c r="A180" s="144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3"/>
    </row>
    <row r="181" spans="1:30">
      <c r="A181" s="144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3"/>
    </row>
    <row r="182" spans="1:30">
      <c r="A182" s="144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3"/>
    </row>
    <row r="183" spans="1:30">
      <c r="A183" s="144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3"/>
    </row>
    <row r="184" spans="1:30">
      <c r="A184" s="144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3"/>
    </row>
    <row r="185" spans="1:30">
      <c r="A185" s="144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3"/>
    </row>
    <row r="186" spans="1:30">
      <c r="A186" s="144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3"/>
    </row>
    <row r="187" spans="1:30">
      <c r="A187" s="144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3"/>
    </row>
    <row r="188" spans="1:30">
      <c r="A188" s="144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3"/>
    </row>
    <row r="189" spans="1:30">
      <c r="A189" s="144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3"/>
    </row>
    <row r="190" spans="1:30">
      <c r="A190" s="144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3"/>
    </row>
    <row r="191" spans="1:30">
      <c r="A191" s="144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3"/>
    </row>
    <row r="192" spans="1:30">
      <c r="A192" s="144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3"/>
    </row>
    <row r="193" spans="1:30">
      <c r="A193" s="144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3"/>
    </row>
    <row r="194" spans="1:30">
      <c r="A194" s="144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3"/>
    </row>
    <row r="195" spans="1:30">
      <c r="A195" s="144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3"/>
    </row>
    <row r="196" spans="1:30">
      <c r="A196" s="144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3"/>
    </row>
    <row r="197" spans="1:30">
      <c r="A197" s="144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3"/>
    </row>
    <row r="198" spans="1:30">
      <c r="A198" s="144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3"/>
    </row>
    <row r="199" spans="1:30">
      <c r="A199" s="144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3"/>
    </row>
    <row r="200" spans="1:30">
      <c r="A200" s="144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3"/>
    </row>
    <row r="201" spans="1:30">
      <c r="A201" s="144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3"/>
    </row>
    <row r="202" spans="1:30">
      <c r="A202" s="144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3"/>
    </row>
    <row r="203" spans="1:30">
      <c r="A203" s="144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3"/>
    </row>
    <row r="204" spans="1:30">
      <c r="A204" s="144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3"/>
    </row>
    <row r="205" spans="1:30">
      <c r="A205" s="144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3"/>
    </row>
    <row r="206" spans="1:30">
      <c r="A206" s="144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3"/>
    </row>
    <row r="207" spans="1:30">
      <c r="A207" s="144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3"/>
    </row>
    <row r="208" spans="1:30">
      <c r="A208" s="144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3"/>
    </row>
    <row r="209" spans="1:30">
      <c r="A209" s="144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3"/>
    </row>
    <row r="210" spans="1:30">
      <c r="A210" s="144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3"/>
    </row>
    <row r="211" spans="1:30">
      <c r="A211" s="144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3"/>
    </row>
    <row r="212" spans="1:30">
      <c r="A212" s="144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3"/>
    </row>
    <row r="213" spans="1:30">
      <c r="A213" s="144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3"/>
    </row>
    <row r="214" spans="1:30">
      <c r="A214" s="144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3"/>
    </row>
    <row r="215" spans="1:30">
      <c r="A215" s="144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3"/>
    </row>
    <row r="216" spans="1:30">
      <c r="A216" s="144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3"/>
    </row>
    <row r="217" spans="1:30">
      <c r="A217" s="144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3"/>
    </row>
    <row r="218" spans="1:30">
      <c r="A218" s="144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3"/>
    </row>
    <row r="219" spans="1:30">
      <c r="A219" s="144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3"/>
    </row>
    <row r="220" spans="1:30">
      <c r="A220" s="144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3"/>
    </row>
    <row r="221" spans="1:30">
      <c r="A221" s="144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3"/>
    </row>
    <row r="222" spans="1:30">
      <c r="A222" s="144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3"/>
    </row>
    <row r="223" spans="1:30">
      <c r="A223" s="144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3"/>
    </row>
    <row r="224" spans="1:30">
      <c r="A224" s="144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3"/>
    </row>
    <row r="225" spans="1:30">
      <c r="A225" s="144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3"/>
    </row>
    <row r="226" spans="1:30">
      <c r="A226" s="144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3"/>
    </row>
    <row r="227" spans="1:30">
      <c r="A227" s="144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3"/>
    </row>
    <row r="228" spans="1:30">
      <c r="A228" s="144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3"/>
    </row>
    <row r="229" spans="1:30">
      <c r="A229" s="144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3"/>
    </row>
    <row r="230" spans="1:30">
      <c r="A230" s="144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3"/>
    </row>
    <row r="231" spans="1:30">
      <c r="A231" s="144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3"/>
    </row>
    <row r="232" spans="1:30">
      <c r="A232" s="144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3"/>
    </row>
    <row r="233" spans="1:30">
      <c r="A233" s="144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3"/>
    </row>
    <row r="234" spans="1:30">
      <c r="A234" s="144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3"/>
    </row>
    <row r="235" spans="1:30">
      <c r="A235" s="144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3"/>
    </row>
    <row r="236" spans="1:30">
      <c r="A236" s="144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3"/>
    </row>
    <row r="237" spans="1:30">
      <c r="A237" s="144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3"/>
    </row>
    <row r="238" spans="1:30">
      <c r="A238" s="144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3"/>
    </row>
    <row r="239" spans="1:30">
      <c r="A239" s="144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3"/>
    </row>
    <row r="240" spans="1:30">
      <c r="A240" s="144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3"/>
    </row>
    <row r="241" spans="1:30">
      <c r="A241" s="144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3"/>
    </row>
    <row r="242" spans="1:30">
      <c r="A242" s="144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3"/>
    </row>
    <row r="243" spans="1:30">
      <c r="A243" s="144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3"/>
    </row>
    <row r="244" spans="1:30">
      <c r="A244" s="144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3"/>
    </row>
    <row r="245" spans="1:30">
      <c r="A245" s="144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3"/>
    </row>
    <row r="246" spans="1:30">
      <c r="A246" s="144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3"/>
    </row>
    <row r="247" spans="1:30">
      <c r="A247" s="144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3"/>
    </row>
    <row r="248" spans="1:30">
      <c r="A248" s="144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3"/>
    </row>
    <row r="249" spans="1:30">
      <c r="A249" s="144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3"/>
    </row>
    <row r="250" spans="1:30">
      <c r="A250" s="144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3"/>
    </row>
    <row r="251" spans="1:30">
      <c r="A251" s="144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3"/>
    </row>
    <row r="252" spans="1:30">
      <c r="A252" s="144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3"/>
    </row>
    <row r="253" spans="1:30">
      <c r="A253" s="144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3"/>
    </row>
    <row r="254" spans="1:30">
      <c r="A254" s="144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3"/>
    </row>
    <row r="255" spans="1:30">
      <c r="A255" s="144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3"/>
    </row>
    <row r="256" spans="1:30">
      <c r="A256" s="144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3"/>
    </row>
    <row r="257" spans="1:30">
      <c r="A257" s="144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3"/>
    </row>
    <row r="258" spans="1:30">
      <c r="A258" s="144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3"/>
    </row>
    <row r="259" spans="1:30">
      <c r="A259" s="144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3"/>
    </row>
    <row r="260" spans="1:30">
      <c r="A260" s="144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3"/>
    </row>
    <row r="261" spans="1:30">
      <c r="A261" s="144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3"/>
    </row>
    <row r="262" spans="1:30">
      <c r="A262" s="144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3"/>
    </row>
    <row r="263" spans="1:30">
      <c r="A263" s="144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3"/>
    </row>
    <row r="264" spans="1:30">
      <c r="A264" s="144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3"/>
    </row>
    <row r="265" spans="1:30">
      <c r="A265" s="144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3"/>
    </row>
    <row r="266" spans="1:30">
      <c r="A266" s="144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3"/>
    </row>
    <row r="267" spans="1:30">
      <c r="A267" s="144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3"/>
    </row>
    <row r="268" spans="1:30">
      <c r="A268" s="144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3"/>
    </row>
    <row r="269" spans="1:30">
      <c r="A269" s="144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3"/>
    </row>
    <row r="270" spans="1:30">
      <c r="A270" s="144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3"/>
    </row>
    <row r="271" spans="1:30">
      <c r="A271" s="144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3"/>
    </row>
    <row r="272" spans="1:30">
      <c r="A272" s="144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3"/>
    </row>
    <row r="273" spans="1:30">
      <c r="A273" s="144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3"/>
    </row>
    <row r="274" spans="1:30">
      <c r="A274" s="144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3"/>
    </row>
    <row r="275" spans="1:30">
      <c r="A275" s="144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3"/>
    </row>
    <row r="276" spans="1:30">
      <c r="A276" s="144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3"/>
    </row>
    <row r="277" spans="1:30">
      <c r="A277" s="144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3"/>
    </row>
    <row r="278" spans="1:30">
      <c r="A278" s="144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3"/>
    </row>
    <row r="279" spans="1:30">
      <c r="A279" s="144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3"/>
    </row>
    <row r="280" spans="1:30">
      <c r="A280" s="144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3"/>
    </row>
    <row r="281" spans="1:30">
      <c r="A281" s="144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3"/>
    </row>
    <row r="282" spans="1:30">
      <c r="A282" s="144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3"/>
    </row>
    <row r="283" spans="1:30">
      <c r="A283" s="144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3"/>
    </row>
    <row r="284" spans="1:30">
      <c r="A284" s="144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3"/>
    </row>
    <row r="285" spans="1:30">
      <c r="A285" s="144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3"/>
    </row>
    <row r="286" spans="1:30">
      <c r="A286" s="144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3"/>
    </row>
    <row r="287" spans="1:30">
      <c r="A287" s="144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3"/>
    </row>
    <row r="288" spans="1:30">
      <c r="A288" s="144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3"/>
    </row>
    <row r="289" spans="1:30">
      <c r="A289" s="144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3"/>
    </row>
    <row r="290" spans="1:30">
      <c r="A290" s="144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3"/>
    </row>
    <row r="291" spans="1:30">
      <c r="A291" s="144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3"/>
    </row>
    <row r="292" spans="1:30">
      <c r="A292" s="144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3"/>
    </row>
    <row r="293" spans="1:30">
      <c r="A293" s="144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3"/>
    </row>
    <row r="294" spans="1:30">
      <c r="A294" s="144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3"/>
    </row>
    <row r="295" spans="1:30">
      <c r="A295" s="144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3"/>
    </row>
    <row r="296" spans="1:30">
      <c r="A296" s="144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3"/>
    </row>
    <row r="297" spans="1:30">
      <c r="A297" s="144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3"/>
    </row>
    <row r="298" spans="1:30">
      <c r="A298" s="144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3"/>
    </row>
    <row r="299" spans="1:30">
      <c r="A299" s="144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3"/>
    </row>
    <row r="300" spans="1:30">
      <c r="A300" s="144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3"/>
    </row>
    <row r="301" spans="1:30">
      <c r="A301" s="144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3"/>
    </row>
    <row r="302" spans="1:30">
      <c r="A302" s="144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3"/>
    </row>
    <row r="303" spans="1:30">
      <c r="A303" s="144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3"/>
    </row>
    <row r="304" spans="1:30">
      <c r="A304" s="144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3"/>
    </row>
    <row r="305" spans="1:30">
      <c r="A305" s="144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3"/>
    </row>
    <row r="306" spans="1:30">
      <c r="A306" s="144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3"/>
    </row>
    <row r="307" spans="1:30">
      <c r="A307" s="144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3"/>
    </row>
    <row r="308" spans="1:30">
      <c r="A308" s="144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3"/>
    </row>
    <row r="309" spans="1:30">
      <c r="A309" s="144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3"/>
    </row>
    <row r="310" spans="1:30">
      <c r="A310" s="144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3"/>
    </row>
    <row r="311" spans="1:30">
      <c r="A311" s="144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3"/>
    </row>
    <row r="312" spans="1:30">
      <c r="A312" s="144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3"/>
    </row>
    <row r="313" spans="1:30">
      <c r="A313" s="144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3"/>
    </row>
    <row r="314" spans="1:30">
      <c r="A314" s="144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3"/>
    </row>
    <row r="315" spans="1:30">
      <c r="A315" s="144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3"/>
    </row>
    <row r="316" spans="1:30">
      <c r="A316" s="144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3"/>
    </row>
    <row r="317" spans="1:30">
      <c r="A317" s="144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3"/>
    </row>
    <row r="318" spans="1:30">
      <c r="A318" s="144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3"/>
    </row>
    <row r="319" spans="1:30">
      <c r="A319" s="144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3"/>
    </row>
    <row r="320" spans="1:30">
      <c r="A320" s="144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3"/>
    </row>
    <row r="321" spans="1:30">
      <c r="A321" s="144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3"/>
    </row>
    <row r="322" spans="1:30">
      <c r="A322" s="144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3"/>
    </row>
    <row r="323" spans="1:30">
      <c r="A323" s="144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3"/>
    </row>
    <row r="324" spans="1:30">
      <c r="A324" s="144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3"/>
    </row>
    <row r="325" spans="1:30">
      <c r="A325" s="144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3"/>
    </row>
    <row r="326" spans="1:30">
      <c r="A326" s="144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3"/>
    </row>
    <row r="327" spans="1:30">
      <c r="A327" s="144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3"/>
    </row>
    <row r="328" spans="1:30">
      <c r="A328" s="144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3"/>
    </row>
    <row r="329" spans="1:30">
      <c r="A329" s="144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3"/>
    </row>
    <row r="330" spans="1:30">
      <c r="A330" s="144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3"/>
    </row>
    <row r="331" spans="1:30">
      <c r="A331" s="144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3"/>
    </row>
    <row r="332" spans="1:30">
      <c r="A332" s="144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3"/>
    </row>
    <row r="333" spans="1:30">
      <c r="A333" s="144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3"/>
    </row>
    <row r="334" spans="1:30">
      <c r="A334" s="144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3"/>
    </row>
    <row r="335" spans="1:30">
      <c r="A335" s="144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3"/>
    </row>
    <row r="336" spans="1:30">
      <c r="A336" s="144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3"/>
    </row>
    <row r="337" spans="1:30">
      <c r="A337" s="144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3"/>
    </row>
    <row r="338" spans="1:30">
      <c r="A338" s="144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3"/>
    </row>
    <row r="339" spans="1:30">
      <c r="A339" s="144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3"/>
    </row>
    <row r="340" spans="1:30">
      <c r="A340" s="144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3"/>
    </row>
    <row r="341" spans="1:30">
      <c r="A341" s="144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3"/>
    </row>
    <row r="342" spans="1:30">
      <c r="A342" s="144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3"/>
    </row>
    <row r="343" spans="1:30">
      <c r="A343" s="144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3"/>
    </row>
    <row r="344" spans="1:30">
      <c r="A344" s="144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3"/>
    </row>
    <row r="345" spans="1:30">
      <c r="A345" s="144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3"/>
    </row>
    <row r="346" spans="1:30">
      <c r="A346" s="144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3"/>
    </row>
    <row r="347" spans="1:30">
      <c r="A347" s="144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3"/>
    </row>
    <row r="348" spans="1:30">
      <c r="A348" s="144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3"/>
    </row>
    <row r="349" spans="1:30">
      <c r="A349" s="144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3"/>
    </row>
    <row r="350" spans="1:30">
      <c r="A350" s="144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3"/>
    </row>
    <row r="351" spans="1:30">
      <c r="A351" s="144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3"/>
    </row>
    <row r="352" spans="1:30">
      <c r="A352" s="144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3"/>
    </row>
    <row r="353" spans="1:30">
      <c r="A353" s="144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3"/>
    </row>
    <row r="354" spans="1:30">
      <c r="A354" s="144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3"/>
    </row>
    <row r="355" spans="1:30">
      <c r="A355" s="144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3"/>
    </row>
    <row r="356" spans="1:30">
      <c r="A356" s="144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3"/>
    </row>
    <row r="357" spans="1:30">
      <c r="A357" s="144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3"/>
    </row>
    <row r="358" spans="1:30">
      <c r="A358" s="144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3"/>
    </row>
    <row r="359" spans="1:30">
      <c r="A359" s="144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3"/>
    </row>
    <row r="360" spans="1:30">
      <c r="A360" s="144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3"/>
    </row>
    <row r="361" spans="1:30">
      <c r="A361" s="144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3"/>
    </row>
    <row r="362" spans="1:30">
      <c r="A362" s="144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3"/>
    </row>
    <row r="363" spans="1:30">
      <c r="A363" s="144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3"/>
    </row>
    <row r="364" spans="1:30">
      <c r="A364" s="144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3"/>
    </row>
    <row r="365" spans="1:30">
      <c r="A365" s="144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3"/>
    </row>
    <row r="366" spans="1:30">
      <c r="A366" s="144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3"/>
    </row>
    <row r="367" spans="1:30">
      <c r="A367" s="144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3"/>
    </row>
    <row r="368" spans="1:30">
      <c r="A368" s="144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3"/>
    </row>
    <row r="369" spans="1:30">
      <c r="A369" s="144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3"/>
    </row>
    <row r="370" spans="1:30">
      <c r="A370" s="144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3"/>
    </row>
    <row r="371" spans="1:30">
      <c r="A371" s="144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3"/>
    </row>
    <row r="372" spans="1:30">
      <c r="A372" s="144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3"/>
    </row>
    <row r="373" spans="1:30">
      <c r="A373" s="144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3"/>
    </row>
    <row r="374" spans="1:30">
      <c r="A374" s="144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3"/>
    </row>
    <row r="375" spans="1:30">
      <c r="A375" s="144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3"/>
    </row>
    <row r="376" spans="1:30">
      <c r="A376" s="144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3"/>
    </row>
    <row r="377" spans="1:30">
      <c r="A377" s="144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3"/>
    </row>
    <row r="378" spans="1:30">
      <c r="A378" s="144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3"/>
    </row>
    <row r="379" spans="1:30">
      <c r="A379" s="144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3"/>
    </row>
    <row r="380" spans="1:30">
      <c r="A380" s="144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3"/>
    </row>
    <row r="381" spans="1:30">
      <c r="A381" s="144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3"/>
    </row>
    <row r="382" spans="1:30">
      <c r="A382" s="144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3"/>
    </row>
    <row r="383" spans="1:30">
      <c r="A383" s="144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3"/>
    </row>
    <row r="384" spans="1:30">
      <c r="A384" s="144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3"/>
    </row>
    <row r="385" spans="1:30">
      <c r="A385" s="144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3"/>
    </row>
    <row r="386" spans="1:30">
      <c r="A386" s="144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3"/>
    </row>
    <row r="387" spans="1:30">
      <c r="A387" s="144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3"/>
    </row>
    <row r="388" spans="1:30">
      <c r="A388" s="144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3"/>
    </row>
    <row r="389" spans="1:30">
      <c r="A389" s="144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3"/>
    </row>
    <row r="390" spans="1:30">
      <c r="A390" s="144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3"/>
    </row>
    <row r="391" spans="1:30">
      <c r="A391" s="144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3"/>
    </row>
    <row r="392" spans="1:30">
      <c r="A392" s="144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3"/>
    </row>
    <row r="393" spans="1:30">
      <c r="A393" s="144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3"/>
    </row>
    <row r="394" spans="1:30">
      <c r="A394" s="144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3"/>
    </row>
    <row r="395" spans="1:30">
      <c r="A395" s="144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3"/>
    </row>
    <row r="396" spans="1:30">
      <c r="A396" s="144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3"/>
    </row>
    <row r="397" spans="1:30">
      <c r="A397" s="144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3"/>
    </row>
    <row r="398" spans="1:30">
      <c r="A398" s="144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3"/>
    </row>
    <row r="399" spans="1:30">
      <c r="A399" s="144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3"/>
    </row>
    <row r="400" spans="1:30">
      <c r="A400" s="144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3"/>
    </row>
    <row r="401" spans="1:30">
      <c r="A401" s="144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3"/>
    </row>
    <row r="402" spans="1:30">
      <c r="A402" s="144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3"/>
    </row>
    <row r="403" spans="1:30">
      <c r="A403" s="144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3"/>
    </row>
    <row r="404" spans="1:30">
      <c r="A404" s="144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3"/>
    </row>
    <row r="405" spans="1:30">
      <c r="A405" s="144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3"/>
    </row>
    <row r="406" spans="1:30">
      <c r="A406" s="144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3"/>
    </row>
    <row r="407" spans="1:30">
      <c r="A407" s="144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3"/>
    </row>
    <row r="408" spans="1:30">
      <c r="A408" s="144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3"/>
    </row>
    <row r="409" spans="1:30">
      <c r="A409" s="144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3"/>
    </row>
    <row r="410" spans="1:30">
      <c r="A410" s="144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3"/>
    </row>
    <row r="411" spans="1:30">
      <c r="A411" s="144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3"/>
    </row>
    <row r="412" spans="1:30">
      <c r="A412" s="144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3"/>
    </row>
    <row r="413" spans="1:30">
      <c r="A413" s="144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3"/>
    </row>
    <row r="414" spans="1:30">
      <c r="A414" s="144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3"/>
    </row>
    <row r="415" spans="1:30">
      <c r="A415" s="144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3"/>
    </row>
    <row r="416" spans="1:30">
      <c r="A416" s="144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3"/>
    </row>
    <row r="417" spans="1:30">
      <c r="A417" s="144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3"/>
    </row>
    <row r="418" spans="1:30">
      <c r="A418" s="144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3"/>
    </row>
    <row r="419" spans="1:30">
      <c r="A419" s="144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3"/>
    </row>
    <row r="420" spans="1:30">
      <c r="A420" s="144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3"/>
    </row>
    <row r="421" spans="1:30">
      <c r="A421" s="144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3"/>
    </row>
    <row r="422" spans="1:30">
      <c r="A422" s="144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3"/>
    </row>
    <row r="423" spans="1:30">
      <c r="A423" s="144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3"/>
    </row>
    <row r="424" spans="1:30">
      <c r="A424" s="144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3"/>
    </row>
    <row r="425" spans="1:30">
      <c r="A425" s="144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3"/>
    </row>
    <row r="426" spans="1:30">
      <c r="A426" s="144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3"/>
    </row>
    <row r="427" spans="1:30">
      <c r="A427" s="144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3"/>
    </row>
    <row r="428" spans="1:30">
      <c r="A428" s="144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3"/>
    </row>
    <row r="429" spans="1:30">
      <c r="A429" s="144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3"/>
    </row>
    <row r="430" spans="1:30">
      <c r="A430" s="144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3"/>
    </row>
    <row r="431" spans="1:30">
      <c r="A431" s="144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3"/>
    </row>
    <row r="432" spans="1:30">
      <c r="A432" s="144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3"/>
    </row>
    <row r="433" spans="1:30">
      <c r="A433" s="144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3"/>
    </row>
    <row r="434" spans="1:30">
      <c r="A434" s="144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3"/>
    </row>
    <row r="435" spans="1:30">
      <c r="A435" s="144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3"/>
    </row>
    <row r="436" spans="1:30">
      <c r="A436" s="144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3"/>
    </row>
    <row r="437" spans="1:30">
      <c r="A437" s="144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3"/>
    </row>
    <row r="438" spans="1:30">
      <c r="A438" s="144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3"/>
    </row>
    <row r="439" spans="1:30">
      <c r="A439" s="144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3"/>
    </row>
    <row r="440" spans="1:30">
      <c r="A440" s="144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3"/>
    </row>
    <row r="441" spans="1:30">
      <c r="A441" s="144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3"/>
    </row>
    <row r="442" spans="1:30">
      <c r="A442" s="144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3"/>
    </row>
    <row r="443" spans="1:30">
      <c r="A443" s="144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3"/>
    </row>
    <row r="444" spans="1:30">
      <c r="A444" s="144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3"/>
    </row>
    <row r="445" spans="1:30">
      <c r="A445" s="144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3"/>
    </row>
    <row r="446" spans="1:30">
      <c r="A446" s="144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3"/>
    </row>
    <row r="447" spans="1:30">
      <c r="A447" s="144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3"/>
    </row>
    <row r="448" spans="1:30">
      <c r="A448" s="144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3"/>
    </row>
    <row r="449" spans="1:30">
      <c r="A449" s="144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3"/>
    </row>
    <row r="450" spans="1:30">
      <c r="A450" s="144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3"/>
    </row>
    <row r="451" spans="1:30">
      <c r="A451" s="144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3"/>
    </row>
    <row r="452" spans="1:30">
      <c r="A452" s="144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3"/>
    </row>
    <row r="453" spans="1:30">
      <c r="A453" s="144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3"/>
    </row>
    <row r="454" spans="1:30">
      <c r="A454" s="144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3"/>
    </row>
    <row r="455" spans="1:30">
      <c r="A455" s="144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3"/>
    </row>
    <row r="456" spans="1:30">
      <c r="A456" s="144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3"/>
    </row>
    <row r="457" spans="1:30">
      <c r="A457" s="144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3"/>
    </row>
    <row r="458" spans="1:30">
      <c r="A458" s="144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3"/>
    </row>
    <row r="459" spans="1:30">
      <c r="A459" s="144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3"/>
    </row>
    <row r="460" spans="1:30">
      <c r="A460" s="144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3"/>
    </row>
    <row r="461" spans="1:30">
      <c r="A461" s="144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3"/>
    </row>
    <row r="462" spans="1:30">
      <c r="A462" s="144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3"/>
    </row>
    <row r="463" spans="1:30">
      <c r="A463" s="144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3"/>
    </row>
    <row r="464" spans="1:30">
      <c r="A464" s="144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3"/>
    </row>
    <row r="465" spans="1:30">
      <c r="A465" s="144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3"/>
    </row>
    <row r="466" spans="1:30">
      <c r="A466" s="144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3"/>
    </row>
    <row r="467" spans="1:30">
      <c r="A467" s="144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3"/>
    </row>
    <row r="468" spans="1:30">
      <c r="A468" s="144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3"/>
    </row>
    <row r="469" spans="1:30">
      <c r="A469" s="144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3"/>
    </row>
    <row r="470" spans="1:30">
      <c r="A470" s="144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3"/>
    </row>
    <row r="471" spans="1:30">
      <c r="A471" s="144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3"/>
    </row>
    <row r="472" spans="1:30">
      <c r="A472" s="144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3"/>
    </row>
    <row r="473" spans="1:30">
      <c r="A473" s="144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3"/>
    </row>
    <row r="474" spans="1:30">
      <c r="A474" s="144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3"/>
    </row>
    <row r="475" spans="1:30">
      <c r="A475" s="144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3"/>
    </row>
    <row r="476" spans="1:30">
      <c r="A476" s="144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3"/>
    </row>
    <row r="477" spans="1:30">
      <c r="A477" s="144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3"/>
    </row>
    <row r="478" spans="1:30">
      <c r="A478" s="144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3"/>
    </row>
    <row r="479" spans="1:30">
      <c r="A479" s="144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3"/>
    </row>
    <row r="480" spans="1:30">
      <c r="A480" s="144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3"/>
    </row>
    <row r="481" spans="1:30">
      <c r="A481" s="144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3"/>
    </row>
    <row r="482" spans="1:30">
      <c r="A482" s="144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3"/>
    </row>
    <row r="483" spans="1:30">
      <c r="A483" s="144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3"/>
    </row>
    <row r="484" spans="1:30">
      <c r="A484" s="144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3"/>
    </row>
    <row r="485" spans="1:30">
      <c r="A485" s="144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3"/>
    </row>
    <row r="486" spans="1:30">
      <c r="A486" s="144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3"/>
    </row>
    <row r="487" spans="1:30">
      <c r="A487" s="144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3"/>
    </row>
    <row r="488" spans="1:30">
      <c r="A488" s="144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3"/>
    </row>
    <row r="489" spans="1:30">
      <c r="A489" s="144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3"/>
    </row>
    <row r="490" spans="1:30">
      <c r="A490" s="144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3"/>
    </row>
    <row r="491" spans="1:30">
      <c r="A491" s="144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3"/>
    </row>
    <row r="492" spans="1:30">
      <c r="A492" s="144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3"/>
    </row>
    <row r="493" spans="1:30">
      <c r="A493" s="144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3"/>
    </row>
    <row r="494" spans="1:30">
      <c r="A494" s="144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3"/>
    </row>
    <row r="495" spans="1:30">
      <c r="A495" s="144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3"/>
    </row>
    <row r="496" spans="1:30">
      <c r="A496" s="144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3"/>
    </row>
    <row r="497" spans="1:30">
      <c r="A497" s="144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3"/>
    </row>
    <row r="498" spans="1:30">
      <c r="A498" s="144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3"/>
    </row>
    <row r="499" spans="1:30">
      <c r="A499" s="144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3"/>
    </row>
    <row r="500" spans="1:30">
      <c r="A500" s="144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3"/>
    </row>
    <row r="501" spans="1:30">
      <c r="A501" s="144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3"/>
    </row>
    <row r="502" spans="1:30">
      <c r="A502" s="144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3"/>
    </row>
    <row r="503" spans="1:30">
      <c r="A503" s="144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3"/>
    </row>
    <row r="504" spans="1:30">
      <c r="A504" s="144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3"/>
    </row>
    <row r="505" spans="1:30">
      <c r="A505" s="144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3"/>
    </row>
    <row r="506" spans="1:30">
      <c r="A506" s="144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3"/>
    </row>
    <row r="507" spans="1:30">
      <c r="A507" s="144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3"/>
    </row>
    <row r="508" spans="1:30">
      <c r="A508" s="144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3"/>
    </row>
    <row r="509" spans="1:30">
      <c r="A509" s="144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3"/>
    </row>
    <row r="510" spans="1:30">
      <c r="A510" s="144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3"/>
    </row>
    <row r="511" spans="1:30">
      <c r="A511" s="144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3"/>
    </row>
    <row r="512" spans="1:30">
      <c r="A512" s="144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3"/>
    </row>
    <row r="513" spans="1:30">
      <c r="A513" s="144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3"/>
    </row>
    <row r="514" spans="1:30">
      <c r="A514" s="144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3"/>
    </row>
    <row r="515" spans="1:30">
      <c r="A515" s="144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3"/>
    </row>
    <row r="516" spans="1:30">
      <c r="A516" s="144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3"/>
    </row>
    <row r="517" spans="1:30">
      <c r="A517" s="144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3"/>
    </row>
    <row r="518" spans="1:30">
      <c r="A518" s="144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3"/>
    </row>
    <row r="519" spans="1:30">
      <c r="A519" s="144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3"/>
    </row>
    <row r="520" spans="1:30">
      <c r="A520" s="144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3"/>
    </row>
    <row r="521" spans="1:30">
      <c r="A521" s="144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3"/>
    </row>
    <row r="522" spans="1:30">
      <c r="A522" s="144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3"/>
    </row>
    <row r="523" spans="1:30">
      <c r="A523" s="144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3"/>
    </row>
    <row r="524" spans="1:30">
      <c r="A524" s="144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3"/>
    </row>
    <row r="525" spans="1:30">
      <c r="A525" s="144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3"/>
    </row>
    <row r="526" spans="1:30">
      <c r="A526" s="144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3"/>
    </row>
    <row r="527" spans="1:30">
      <c r="A527" s="144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3"/>
    </row>
    <row r="528" spans="1:30">
      <c r="A528" s="144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3"/>
    </row>
    <row r="529" spans="1:30">
      <c r="A529" s="144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3"/>
    </row>
    <row r="530" spans="1:30">
      <c r="A530" s="144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3"/>
    </row>
    <row r="531" spans="1:30">
      <c r="A531" s="144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3"/>
    </row>
    <row r="532" spans="1:30">
      <c r="A532" s="144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3"/>
    </row>
    <row r="533" spans="1:30">
      <c r="A533" s="144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3"/>
    </row>
    <row r="534" spans="1:30">
      <c r="A534" s="144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3"/>
    </row>
    <row r="535" spans="1:30">
      <c r="A535" s="144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3"/>
    </row>
    <row r="536" spans="1:30">
      <c r="A536" s="144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3"/>
    </row>
    <row r="537" spans="1:30">
      <c r="A537" s="144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3"/>
    </row>
    <row r="538" spans="1:30">
      <c r="A538" s="144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3"/>
    </row>
    <row r="539" spans="1:30">
      <c r="A539" s="144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3"/>
    </row>
    <row r="540" spans="1:30">
      <c r="A540" s="144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3"/>
    </row>
    <row r="541" spans="1:30">
      <c r="A541" s="144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3"/>
    </row>
    <row r="542" spans="1:30">
      <c r="A542" s="144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3"/>
    </row>
    <row r="543" spans="1:30">
      <c r="A543" s="144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3"/>
    </row>
    <row r="544" spans="1:30">
      <c r="A544" s="144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3"/>
    </row>
    <row r="545" spans="1:30">
      <c r="A545" s="144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3"/>
    </row>
    <row r="546" spans="1:30">
      <c r="A546" s="144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3"/>
    </row>
    <row r="547" spans="1:30">
      <c r="A547" s="144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3"/>
    </row>
    <row r="548" spans="1:30">
      <c r="A548" s="144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3"/>
    </row>
    <row r="549" spans="1:30">
      <c r="A549" s="144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3"/>
    </row>
    <row r="550" spans="1:30">
      <c r="A550" s="144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3"/>
    </row>
    <row r="551" spans="1:30">
      <c r="A551" s="144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3"/>
    </row>
    <row r="552" spans="1:30">
      <c r="A552" s="144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3"/>
    </row>
    <row r="553" spans="1:30">
      <c r="A553" s="144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3"/>
    </row>
    <row r="554" spans="1:30">
      <c r="A554" s="144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3"/>
    </row>
    <row r="555" spans="1:30">
      <c r="A555" s="144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3"/>
    </row>
    <row r="556" spans="1:30">
      <c r="A556" s="144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3"/>
    </row>
    <row r="557" spans="1:30">
      <c r="A557" s="144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3"/>
    </row>
    <row r="558" spans="1:30">
      <c r="A558" s="144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3"/>
    </row>
    <row r="559" spans="1:30">
      <c r="A559" s="144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3"/>
    </row>
    <row r="560" spans="1:30">
      <c r="A560" s="144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3"/>
    </row>
    <row r="561" spans="1:30">
      <c r="A561" s="144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3"/>
    </row>
    <row r="562" spans="1:30">
      <c r="A562" s="144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3"/>
    </row>
    <row r="563" spans="1:30">
      <c r="A563" s="144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3"/>
    </row>
    <row r="564" spans="1:30">
      <c r="A564" s="144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3"/>
    </row>
    <row r="565" spans="1:30">
      <c r="A565" s="144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3"/>
    </row>
    <row r="566" spans="1:30">
      <c r="A566" s="144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3"/>
    </row>
    <row r="567" spans="1:30">
      <c r="A567" s="144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3"/>
    </row>
    <row r="568" spans="1:30">
      <c r="A568" s="144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3"/>
    </row>
    <row r="569" spans="1:30">
      <c r="A569" s="144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3"/>
    </row>
    <row r="570" spans="1:30">
      <c r="A570" s="144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3"/>
    </row>
    <row r="571" spans="1:30">
      <c r="A571" s="144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3"/>
    </row>
    <row r="572" spans="1:30">
      <c r="A572" s="144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3"/>
    </row>
    <row r="573" spans="1:30">
      <c r="A573" s="144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3"/>
    </row>
    <row r="574" spans="1:30">
      <c r="A574" s="144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3"/>
    </row>
    <row r="575" spans="1:30">
      <c r="A575" s="144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3"/>
    </row>
    <row r="576" spans="1:30">
      <c r="A576" s="144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3"/>
    </row>
    <row r="577" spans="1:30">
      <c r="A577" s="144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3"/>
    </row>
    <row r="578" spans="1:30">
      <c r="A578" s="144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3"/>
    </row>
    <row r="579" spans="1:30">
      <c r="A579" s="144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3"/>
    </row>
    <row r="580" spans="1:30">
      <c r="A580" s="144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3"/>
    </row>
    <row r="581" spans="1:30">
      <c r="A581" s="144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3"/>
    </row>
    <row r="582" spans="1:30">
      <c r="A582" s="144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3"/>
    </row>
    <row r="583" spans="1:30">
      <c r="A583" s="144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3"/>
    </row>
    <row r="584" spans="1:30">
      <c r="A584" s="144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3"/>
    </row>
    <row r="585" spans="1:30">
      <c r="A585" s="144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3"/>
    </row>
    <row r="586" spans="1:30">
      <c r="A586" s="144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3"/>
    </row>
    <row r="587" spans="1:30">
      <c r="A587" s="144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3"/>
    </row>
    <row r="588" spans="1:30">
      <c r="A588" s="144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3"/>
    </row>
    <row r="589" spans="1:30">
      <c r="A589" s="144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3"/>
    </row>
    <row r="590" spans="1:30">
      <c r="A590" s="144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3"/>
    </row>
    <row r="591" spans="1:30">
      <c r="A591" s="144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3"/>
    </row>
    <row r="592" spans="1:30">
      <c r="A592" s="144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3"/>
    </row>
    <row r="593" spans="1:30">
      <c r="A593" s="144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3"/>
    </row>
    <row r="594" spans="1:30">
      <c r="A594" s="144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3"/>
    </row>
    <row r="595" spans="1:30">
      <c r="A595" s="144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3"/>
    </row>
    <row r="596" spans="1:30">
      <c r="A596" s="144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3"/>
    </row>
    <row r="597" spans="1:30">
      <c r="A597" s="144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3"/>
    </row>
    <row r="598" spans="1:30">
      <c r="A598" s="144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3"/>
    </row>
    <row r="599" spans="1:30">
      <c r="A599" s="144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3"/>
    </row>
    <row r="600" spans="1:30">
      <c r="A600" s="144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3"/>
    </row>
    <row r="601" spans="1:30">
      <c r="A601" s="144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3"/>
    </row>
    <row r="602" spans="1:30">
      <c r="A602" s="144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3"/>
    </row>
    <row r="603" spans="1:30">
      <c r="A603" s="144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3"/>
    </row>
    <row r="604" spans="1:30">
      <c r="A604" s="144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3"/>
    </row>
    <row r="605" spans="1:30">
      <c r="A605" s="144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3"/>
    </row>
    <row r="606" spans="1:30">
      <c r="A606" s="144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3"/>
    </row>
    <row r="607" spans="1:30">
      <c r="A607" s="144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3"/>
    </row>
    <row r="608" spans="1:30">
      <c r="A608" s="144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3"/>
    </row>
    <row r="609" spans="1:30">
      <c r="A609" s="144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3"/>
    </row>
    <row r="610" spans="1:30">
      <c r="A610" s="144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3"/>
    </row>
    <row r="611" spans="1:30">
      <c r="A611" s="144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3"/>
    </row>
    <row r="612" spans="1:30">
      <c r="A612" s="144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3"/>
    </row>
    <row r="613" spans="1:30">
      <c r="A613" s="144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3"/>
    </row>
    <row r="614" spans="1:30">
      <c r="A614" s="144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3"/>
    </row>
    <row r="615" spans="1:30">
      <c r="A615" s="144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3"/>
    </row>
    <row r="616" spans="1:30">
      <c r="A616" s="144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3"/>
    </row>
    <row r="617" spans="1:30">
      <c r="A617" s="144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3"/>
    </row>
    <row r="618" spans="1:30">
      <c r="A618" s="144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3"/>
    </row>
    <row r="619" spans="1:30">
      <c r="A619" s="144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3"/>
    </row>
    <row r="620" spans="1:30">
      <c r="A620" s="144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3"/>
    </row>
    <row r="621" spans="1:30">
      <c r="A621" s="144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3"/>
    </row>
    <row r="622" spans="1:30">
      <c r="A622" s="144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3"/>
    </row>
    <row r="623" spans="1:30">
      <c r="A623" s="144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3"/>
    </row>
    <row r="624" spans="1:30">
      <c r="A624" s="144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3"/>
    </row>
    <row r="625" spans="1:30">
      <c r="A625" s="144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3"/>
    </row>
    <row r="626" spans="1:30">
      <c r="A626" s="144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3"/>
    </row>
    <row r="627" spans="1:30">
      <c r="A627" s="144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3"/>
    </row>
    <row r="628" spans="1:30">
      <c r="A628" s="144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3"/>
    </row>
    <row r="629" spans="1:30">
      <c r="A629" s="144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3"/>
    </row>
    <row r="630" spans="1:30">
      <c r="A630" s="144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3"/>
    </row>
    <row r="631" spans="1:30">
      <c r="A631" s="144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3"/>
    </row>
    <row r="632" spans="1:30">
      <c r="A632" s="144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3"/>
    </row>
    <row r="633" spans="1:30">
      <c r="A633" s="144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3"/>
    </row>
    <row r="634" spans="1:30">
      <c r="A634" s="144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3"/>
    </row>
    <row r="635" spans="1:30">
      <c r="A635" s="144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3"/>
    </row>
    <row r="636" spans="1:30">
      <c r="A636" s="144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3"/>
    </row>
    <row r="637" spans="1:30">
      <c r="A637" s="144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3"/>
    </row>
    <row r="638" spans="1:30">
      <c r="A638" s="144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3"/>
    </row>
    <row r="639" spans="1:30">
      <c r="A639" s="144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3"/>
    </row>
    <row r="640" spans="1:30">
      <c r="A640" s="144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3"/>
    </row>
    <row r="641" spans="1:30">
      <c r="A641" s="144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3"/>
    </row>
    <row r="642" spans="1:30">
      <c r="A642" s="144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3"/>
    </row>
    <row r="643" spans="1:30">
      <c r="A643" s="144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3"/>
    </row>
    <row r="644" spans="1:30">
      <c r="A644" s="144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3"/>
    </row>
    <row r="645" spans="1:30">
      <c r="A645" s="144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3"/>
    </row>
    <row r="646" spans="1:30">
      <c r="A646" s="144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3"/>
    </row>
    <row r="647" spans="1:30">
      <c r="A647" s="144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3"/>
    </row>
    <row r="648" spans="1:30">
      <c r="A648" s="144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3"/>
    </row>
    <row r="649" spans="1:30">
      <c r="A649" s="144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3"/>
    </row>
    <row r="650" spans="1:30">
      <c r="A650" s="144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3"/>
    </row>
    <row r="651" spans="1:30">
      <c r="A651" s="144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3"/>
    </row>
    <row r="652" spans="1:30">
      <c r="A652" s="144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3"/>
    </row>
    <row r="653" spans="1:30">
      <c r="A653" s="144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3"/>
    </row>
    <row r="654" spans="1:30">
      <c r="A654" s="144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3"/>
    </row>
    <row r="655" spans="1:30">
      <c r="A655" s="144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3"/>
    </row>
    <row r="656" spans="1:30">
      <c r="A656" s="144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3"/>
    </row>
    <row r="657" spans="1:30">
      <c r="A657" s="144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3"/>
    </row>
    <row r="658" spans="1:30">
      <c r="A658" s="144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3"/>
    </row>
    <row r="659" spans="1:30">
      <c r="A659" s="144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3"/>
    </row>
    <row r="660" spans="1:30">
      <c r="A660" s="144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3"/>
    </row>
    <row r="661" spans="1:30">
      <c r="A661" s="144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3"/>
    </row>
    <row r="662" spans="1:30">
      <c r="A662" s="144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3"/>
    </row>
    <row r="663" spans="1:30">
      <c r="A663" s="144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3"/>
    </row>
    <row r="664" spans="1:30">
      <c r="A664" s="144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3"/>
    </row>
    <row r="665" spans="1:30">
      <c r="A665" s="144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3"/>
    </row>
    <row r="666" spans="1:30">
      <c r="A666" s="144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3"/>
    </row>
    <row r="667" spans="1:30">
      <c r="A667" s="144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3"/>
    </row>
    <row r="668" spans="1:30">
      <c r="A668" s="144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3"/>
    </row>
    <row r="669" spans="1:30">
      <c r="A669" s="144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3"/>
    </row>
    <row r="670" spans="1:30">
      <c r="A670" s="144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3"/>
    </row>
    <row r="671" spans="1:30">
      <c r="A671" s="144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3"/>
    </row>
    <row r="672" spans="1:30">
      <c r="A672" s="144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3"/>
    </row>
    <row r="673" spans="1:30">
      <c r="A673" s="144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3"/>
    </row>
    <row r="674" spans="1:30">
      <c r="A674" s="144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3"/>
    </row>
    <row r="675" spans="1:30">
      <c r="A675" s="144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3"/>
    </row>
    <row r="676" spans="1:30">
      <c r="A676" s="144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3"/>
    </row>
    <row r="677" spans="1:30">
      <c r="A677" s="144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3"/>
    </row>
    <row r="678" spans="1:30">
      <c r="A678" s="144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3"/>
    </row>
    <row r="679" spans="1:30">
      <c r="A679" s="144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3"/>
    </row>
    <row r="680" spans="1:30">
      <c r="A680" s="144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3"/>
    </row>
    <row r="681" spans="1:30">
      <c r="A681" s="144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3"/>
    </row>
    <row r="682" spans="1:30">
      <c r="A682" s="144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3"/>
    </row>
    <row r="683" spans="1:30">
      <c r="A683" s="144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3"/>
    </row>
    <row r="684" spans="1:30">
      <c r="A684" s="144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3"/>
    </row>
    <row r="685" spans="1:30">
      <c r="A685" s="144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3"/>
    </row>
    <row r="686" spans="1:30">
      <c r="A686" s="144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3"/>
    </row>
    <row r="687" spans="1:30">
      <c r="A687" s="144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3"/>
    </row>
    <row r="688" spans="1:30">
      <c r="A688" s="144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3"/>
    </row>
    <row r="689" spans="1:30">
      <c r="A689" s="144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3"/>
    </row>
    <row r="690" spans="1:30">
      <c r="A690" s="144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3"/>
    </row>
    <row r="691" spans="1:30">
      <c r="A691" s="144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3"/>
    </row>
    <row r="692" spans="1:30">
      <c r="A692" s="144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3"/>
    </row>
    <row r="693" spans="1:30">
      <c r="A693" s="144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3"/>
    </row>
    <row r="694" spans="1:30">
      <c r="A694" s="144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3"/>
    </row>
    <row r="695" spans="1:30">
      <c r="A695" s="144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3"/>
    </row>
    <row r="696" spans="1:30">
      <c r="A696" s="144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3"/>
    </row>
    <row r="697" spans="1:30">
      <c r="A697" s="144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3"/>
    </row>
    <row r="698" spans="1:30">
      <c r="A698" s="144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3"/>
    </row>
    <row r="699" spans="1:30">
      <c r="A699" s="144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3"/>
    </row>
    <row r="700" spans="1:30">
      <c r="A700" s="144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3"/>
    </row>
    <row r="701" spans="1:30">
      <c r="A701" s="144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3"/>
    </row>
    <row r="702" spans="1:30">
      <c r="A702" s="144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3"/>
    </row>
    <row r="703" spans="1:30">
      <c r="A703" s="144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3"/>
    </row>
    <row r="704" spans="1:30">
      <c r="A704" s="144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3"/>
    </row>
    <row r="705" spans="1:30">
      <c r="A705" s="144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3"/>
    </row>
    <row r="706" spans="1:30">
      <c r="A706" s="144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3"/>
    </row>
    <row r="707" spans="1:30">
      <c r="A707" s="144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3"/>
    </row>
    <row r="708" spans="1:30">
      <c r="A708" s="144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3"/>
    </row>
    <row r="709" spans="1:30">
      <c r="A709" s="144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3"/>
    </row>
    <row r="710" spans="1:30">
      <c r="A710" s="144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3"/>
    </row>
    <row r="711" spans="1:30">
      <c r="A711" s="144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3"/>
    </row>
    <row r="712" spans="1:30">
      <c r="A712" s="144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3"/>
    </row>
    <row r="713" spans="1:30">
      <c r="A713" s="144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3"/>
    </row>
    <row r="714" spans="1:30">
      <c r="A714" s="144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3"/>
    </row>
    <row r="715" spans="1:30">
      <c r="A715" s="144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3"/>
    </row>
    <row r="716" spans="1:30">
      <c r="A716" s="144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3"/>
    </row>
    <row r="717" spans="1:30">
      <c r="A717" s="144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3"/>
    </row>
    <row r="718" spans="1:30">
      <c r="A718" s="144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3"/>
    </row>
    <row r="719" spans="1:30">
      <c r="A719" s="144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3"/>
    </row>
    <row r="720" spans="1:30">
      <c r="A720" s="144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3"/>
    </row>
    <row r="721" spans="1:30">
      <c r="A721" s="144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3"/>
    </row>
    <row r="722" spans="1:30">
      <c r="A722" s="144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3"/>
    </row>
    <row r="723" spans="1:30">
      <c r="A723" s="144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3"/>
    </row>
    <row r="724" spans="1:30">
      <c r="A724" s="144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3"/>
    </row>
    <row r="725" spans="1:30">
      <c r="A725" s="144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3"/>
    </row>
    <row r="726" spans="1:30">
      <c r="A726" s="144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3"/>
    </row>
    <row r="727" spans="1:30">
      <c r="A727" s="144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3"/>
    </row>
    <row r="728" spans="1:30">
      <c r="A728" s="144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3"/>
    </row>
    <row r="729" spans="1:30">
      <c r="A729" s="144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3"/>
    </row>
    <row r="730" spans="1:30">
      <c r="A730" s="144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3"/>
    </row>
    <row r="731" spans="1:30">
      <c r="A731" s="144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3"/>
    </row>
    <row r="732" spans="1:30">
      <c r="A732" s="144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3"/>
    </row>
    <row r="733" spans="1:30">
      <c r="A733" s="144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3"/>
    </row>
    <row r="734" spans="1:30">
      <c r="A734" s="144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3"/>
    </row>
    <row r="735" spans="1:30">
      <c r="A735" s="144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3"/>
    </row>
    <row r="736" spans="1:30">
      <c r="A736" s="144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3"/>
    </row>
    <row r="737" spans="1:30">
      <c r="A737" s="144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3"/>
    </row>
    <row r="738" spans="1:30">
      <c r="A738" s="144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3"/>
    </row>
    <row r="739" spans="1:30">
      <c r="A739" s="144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3"/>
    </row>
    <row r="740" spans="1:30">
      <c r="A740" s="144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3"/>
    </row>
    <row r="741" spans="1:30">
      <c r="A741" s="144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3"/>
    </row>
    <row r="742" spans="1:30">
      <c r="A742" s="144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3"/>
    </row>
    <row r="743" spans="1:30">
      <c r="A743" s="144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3"/>
    </row>
    <row r="744" spans="1:30">
      <c r="A744" s="144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3"/>
    </row>
    <row r="745" spans="1:30">
      <c r="A745" s="144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3"/>
    </row>
    <row r="746" spans="1:30">
      <c r="A746" s="144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3"/>
    </row>
    <row r="747" spans="1:30">
      <c r="A747" s="144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3"/>
    </row>
    <row r="748" spans="1:30">
      <c r="A748" s="144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3"/>
    </row>
    <row r="749" spans="1:30">
      <c r="A749" s="144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3"/>
    </row>
    <row r="750" spans="1:30">
      <c r="A750" s="144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3"/>
    </row>
    <row r="751" spans="1:30">
      <c r="A751" s="144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3"/>
    </row>
    <row r="752" spans="1:30">
      <c r="A752" s="144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3"/>
    </row>
    <row r="753" spans="1:30">
      <c r="A753" s="144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3"/>
    </row>
    <row r="754" spans="1:30">
      <c r="A754" s="144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3"/>
    </row>
    <row r="755" spans="1:30">
      <c r="A755" s="144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3"/>
    </row>
    <row r="756" spans="1:30">
      <c r="A756" s="144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3"/>
    </row>
    <row r="757" spans="1:30">
      <c r="A757" s="144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3"/>
    </row>
    <row r="758" spans="1:30">
      <c r="A758" s="144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3"/>
    </row>
    <row r="759" spans="1:30">
      <c r="A759" s="144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3"/>
    </row>
    <row r="760" spans="1:30">
      <c r="A760" s="144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3"/>
    </row>
    <row r="761" spans="1:30">
      <c r="A761" s="144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3"/>
    </row>
    <row r="762" spans="1:30">
      <c r="A762" s="144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3"/>
    </row>
    <row r="763" spans="1:30">
      <c r="A763" s="144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3"/>
    </row>
    <row r="764" spans="1:30">
      <c r="A764" s="144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3"/>
    </row>
    <row r="765" spans="1:30">
      <c r="A765" s="144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3"/>
    </row>
    <row r="766" spans="1:30">
      <c r="A766" s="144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3"/>
    </row>
    <row r="767" spans="1:30">
      <c r="A767" s="144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3"/>
    </row>
    <row r="768" spans="1:30">
      <c r="A768" s="144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3"/>
    </row>
    <row r="769" spans="1:30">
      <c r="A769" s="144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3"/>
    </row>
    <row r="770" spans="1:30">
      <c r="A770" s="144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3"/>
    </row>
    <row r="771" spans="1:30">
      <c r="A771" s="144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3"/>
    </row>
    <row r="772" spans="1:30">
      <c r="A772" s="144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3"/>
    </row>
    <row r="773" spans="1:30">
      <c r="A773" s="144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3"/>
    </row>
    <row r="774" spans="1:30">
      <c r="A774" s="144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3"/>
    </row>
    <row r="775" spans="1:30">
      <c r="A775" s="144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3"/>
    </row>
    <row r="776" spans="1:30">
      <c r="A776" s="144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3"/>
    </row>
    <row r="777" spans="1:30">
      <c r="A777" s="144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3"/>
    </row>
    <row r="778" spans="1:30">
      <c r="A778" s="144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3"/>
    </row>
    <row r="779" spans="1:30">
      <c r="A779" s="144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3"/>
    </row>
    <row r="780" spans="1:30">
      <c r="A780" s="144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3"/>
    </row>
    <row r="781" spans="1:30">
      <c r="A781" s="144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3"/>
    </row>
    <row r="782" spans="1:30">
      <c r="A782" s="144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3"/>
    </row>
    <row r="783" spans="1:30">
      <c r="A783" s="144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3"/>
    </row>
    <row r="784" spans="1:30">
      <c r="A784" s="144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3"/>
    </row>
    <row r="785" spans="1:30">
      <c r="A785" s="144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3"/>
    </row>
    <row r="786" spans="1:30">
      <c r="A786" s="144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3"/>
    </row>
    <row r="787" spans="1:30">
      <c r="A787" s="144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3"/>
    </row>
    <row r="788" spans="1:30">
      <c r="A788" s="144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3"/>
    </row>
    <row r="789" spans="1:30">
      <c r="A789" s="144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3"/>
    </row>
    <row r="790" spans="1:30">
      <c r="A790" s="144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3"/>
    </row>
    <row r="791" spans="1:30">
      <c r="A791" s="144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3"/>
    </row>
    <row r="792" spans="1:30">
      <c r="A792" s="144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3"/>
    </row>
    <row r="793" spans="1:30">
      <c r="A793" s="144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3"/>
    </row>
    <row r="794" spans="1:30">
      <c r="A794" s="144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3"/>
    </row>
    <row r="795" spans="1:30">
      <c r="A795" s="144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3"/>
    </row>
    <row r="796" spans="1:30">
      <c r="A796" s="144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3"/>
    </row>
    <row r="797" spans="1:30">
      <c r="A797" s="144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3"/>
    </row>
    <row r="798" spans="1:30">
      <c r="A798" s="144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3"/>
    </row>
    <row r="799" spans="1:30">
      <c r="A799" s="144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3"/>
    </row>
    <row r="800" spans="1:30">
      <c r="A800" s="144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3"/>
    </row>
    <row r="801" spans="1:30">
      <c r="A801" s="144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3"/>
    </row>
    <row r="802" spans="1:30">
      <c r="A802" s="144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3"/>
    </row>
    <row r="803" spans="1:30">
      <c r="A803" s="144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3"/>
    </row>
    <row r="804" spans="1:30">
      <c r="A804" s="144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3"/>
    </row>
    <row r="805" spans="1:30">
      <c r="A805" s="144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3"/>
    </row>
    <row r="806" spans="1:30">
      <c r="A806" s="144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3"/>
    </row>
    <row r="807" spans="1:30">
      <c r="A807" s="144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3"/>
    </row>
    <row r="808" spans="1:30">
      <c r="A808" s="144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3"/>
    </row>
    <row r="809" spans="1:30">
      <c r="A809" s="144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3"/>
    </row>
    <row r="810" spans="1:30">
      <c r="A810" s="144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3"/>
    </row>
    <row r="811" spans="1:30">
      <c r="A811" s="144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3"/>
    </row>
    <row r="812" spans="1:30">
      <c r="A812" s="144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3"/>
    </row>
    <row r="813" spans="1:30">
      <c r="A813" s="144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3"/>
    </row>
    <row r="814" spans="1:30">
      <c r="A814" s="144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3"/>
    </row>
    <row r="815" spans="1:30">
      <c r="A815" s="144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3"/>
    </row>
    <row r="816" spans="1:30">
      <c r="A816" s="144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3"/>
    </row>
    <row r="817" spans="1:30">
      <c r="A817" s="144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3"/>
    </row>
    <row r="818" spans="1:30">
      <c r="A818" s="144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3"/>
    </row>
    <row r="819" spans="1:30">
      <c r="A819" s="144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3"/>
    </row>
    <row r="820" spans="1:30">
      <c r="A820" s="144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3"/>
    </row>
    <row r="821" spans="1:30">
      <c r="A821" s="144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3"/>
    </row>
    <row r="822" spans="1:30">
      <c r="A822" s="144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3"/>
    </row>
    <row r="823" spans="1:30">
      <c r="A823" s="144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3"/>
    </row>
    <row r="824" spans="1:30">
      <c r="A824" s="144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3"/>
    </row>
    <row r="825" spans="1:30">
      <c r="A825" s="144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3"/>
    </row>
    <row r="826" spans="1:30">
      <c r="A826" s="144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3"/>
    </row>
    <row r="827" spans="1:30">
      <c r="A827" s="144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3"/>
    </row>
    <row r="828" spans="1:30">
      <c r="A828" s="144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3"/>
    </row>
    <row r="829" spans="1:30">
      <c r="A829" s="144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3"/>
    </row>
    <row r="830" spans="1:30">
      <c r="A830" s="144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3"/>
    </row>
    <row r="831" spans="1:30">
      <c r="A831" s="144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3"/>
    </row>
    <row r="832" spans="1:30">
      <c r="A832" s="144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3"/>
    </row>
    <row r="833" spans="1:30">
      <c r="A833" s="144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3"/>
    </row>
    <row r="834" spans="1:30">
      <c r="A834" s="144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3"/>
    </row>
    <row r="835" spans="1:30">
      <c r="A835" s="144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3"/>
    </row>
    <row r="836" spans="1:30">
      <c r="A836" s="144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3"/>
    </row>
    <row r="837" spans="1:30">
      <c r="A837" s="144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3"/>
    </row>
    <row r="838" spans="1:30">
      <c r="A838" s="144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3"/>
    </row>
    <row r="839" spans="1:30">
      <c r="A839" s="144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3"/>
    </row>
    <row r="840" spans="1:30">
      <c r="A840" s="144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3"/>
    </row>
    <row r="841" spans="1:30">
      <c r="A841" s="144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3"/>
    </row>
    <row r="842" spans="1:30">
      <c r="A842" s="144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3"/>
    </row>
    <row r="843" spans="1:30">
      <c r="A843" s="144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3"/>
    </row>
    <row r="844" spans="1:30">
      <c r="A844" s="144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3"/>
    </row>
    <row r="845" spans="1:30">
      <c r="A845" s="144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3"/>
    </row>
    <row r="846" spans="1:30">
      <c r="A846" s="144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3"/>
    </row>
    <row r="847" spans="1:30">
      <c r="A847" s="144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3"/>
    </row>
    <row r="848" spans="1:30">
      <c r="A848" s="144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3"/>
    </row>
    <row r="849" spans="1:30">
      <c r="A849" s="144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3"/>
    </row>
    <row r="850" spans="1:30">
      <c r="A850" s="144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3"/>
    </row>
    <row r="851" spans="1:30">
      <c r="A851" s="144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3"/>
    </row>
    <row r="852" spans="1:30">
      <c r="A852" s="144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3"/>
    </row>
    <row r="853" spans="1:30">
      <c r="A853" s="144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3"/>
    </row>
    <row r="854" spans="1:30">
      <c r="A854" s="144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3"/>
    </row>
    <row r="855" spans="1:30">
      <c r="A855" s="144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3"/>
    </row>
    <row r="856" spans="1:30">
      <c r="A856" s="144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3"/>
    </row>
    <row r="857" spans="1:30">
      <c r="A857" s="144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3"/>
    </row>
    <row r="858" spans="1:30">
      <c r="A858" s="144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3"/>
    </row>
    <row r="859" spans="1:30">
      <c r="A859" s="144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3"/>
    </row>
    <row r="860" spans="1:30">
      <c r="A860" s="144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3"/>
    </row>
    <row r="861" spans="1:30">
      <c r="A861" s="144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3"/>
    </row>
    <row r="862" spans="1:30">
      <c r="A862" s="144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3"/>
    </row>
    <row r="863" spans="1:30">
      <c r="A863" s="144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3"/>
    </row>
    <row r="864" spans="1:30">
      <c r="A864" s="144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3"/>
    </row>
    <row r="865" spans="1:30">
      <c r="A865" s="144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3"/>
    </row>
    <row r="866" spans="1:30">
      <c r="A866" s="144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3"/>
    </row>
    <row r="867" spans="1:30">
      <c r="A867" s="144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3"/>
    </row>
    <row r="868" spans="1:30">
      <c r="A868" s="144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3"/>
    </row>
    <row r="869" spans="1:30">
      <c r="A869" s="144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3"/>
    </row>
    <row r="870" spans="1:30">
      <c r="A870" s="144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3"/>
    </row>
    <row r="871" spans="1:30">
      <c r="A871" s="144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3"/>
    </row>
    <row r="872" spans="1:30">
      <c r="A872" s="144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3"/>
    </row>
    <row r="873" spans="1:30">
      <c r="A873" s="144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3"/>
    </row>
    <row r="874" spans="1:30">
      <c r="A874" s="144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3"/>
    </row>
    <row r="875" spans="1:30">
      <c r="A875" s="144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3"/>
    </row>
    <row r="876" spans="1:30">
      <c r="A876" s="144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3"/>
    </row>
    <row r="877" spans="1:30">
      <c r="A877" s="144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3"/>
    </row>
    <row r="878" spans="1:30">
      <c r="A878" s="144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3"/>
    </row>
    <row r="879" spans="1:30">
      <c r="A879" s="144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3"/>
    </row>
    <row r="880" spans="1:30">
      <c r="A880" s="144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3"/>
    </row>
    <row r="881" spans="1:30">
      <c r="A881" s="144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3"/>
    </row>
    <row r="882" spans="1:30">
      <c r="A882" s="144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3"/>
    </row>
    <row r="883" spans="1:30">
      <c r="A883" s="144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3"/>
    </row>
    <row r="884" spans="1:30">
      <c r="A884" s="144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3"/>
    </row>
    <row r="885" spans="1:30">
      <c r="A885" s="144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3"/>
    </row>
    <row r="886" spans="1:30">
      <c r="A886" s="144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3"/>
    </row>
    <row r="887" spans="1:30">
      <c r="A887" s="144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3"/>
    </row>
    <row r="888" spans="1:30">
      <c r="A888" s="144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3"/>
    </row>
    <row r="889" spans="1:30">
      <c r="A889" s="144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3"/>
    </row>
    <row r="890" spans="1:30">
      <c r="A890" s="144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3"/>
    </row>
    <row r="891" spans="1:30">
      <c r="A891" s="144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3"/>
    </row>
    <row r="892" spans="1:30">
      <c r="A892" s="144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3"/>
    </row>
    <row r="893" spans="1:30">
      <c r="A893" s="144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3"/>
    </row>
    <row r="894" spans="1:30">
      <c r="A894" s="144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3"/>
    </row>
    <row r="895" spans="1:30">
      <c r="A895" s="144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3"/>
    </row>
    <row r="896" spans="1:30">
      <c r="A896" s="144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3"/>
    </row>
    <row r="897" spans="1:30">
      <c r="A897" s="144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3"/>
    </row>
    <row r="898" spans="1:30">
      <c r="A898" s="144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3"/>
    </row>
    <row r="899" spans="1:30">
      <c r="A899" s="144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3"/>
    </row>
    <row r="900" spans="1:30">
      <c r="A900" s="144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3"/>
    </row>
    <row r="901" spans="1:30">
      <c r="A901" s="144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3"/>
    </row>
    <row r="902" spans="1:30">
      <c r="A902" s="144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3"/>
    </row>
    <row r="903" spans="1:30">
      <c r="A903" s="144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3"/>
    </row>
    <row r="904" spans="1:30">
      <c r="A904" s="144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3"/>
    </row>
    <row r="905" spans="1:30">
      <c r="A905" s="144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3"/>
    </row>
    <row r="906" spans="1:30">
      <c r="A906" s="144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3"/>
    </row>
    <row r="907" spans="1:30">
      <c r="A907" s="144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3"/>
    </row>
    <row r="908" spans="1:30">
      <c r="A908" s="144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3"/>
    </row>
    <row r="909" spans="1:30">
      <c r="A909" s="144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3"/>
    </row>
    <row r="910" spans="1:30">
      <c r="A910" s="144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3"/>
    </row>
    <row r="911" spans="1:30">
      <c r="A911" s="144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3"/>
    </row>
    <row r="912" spans="1:30">
      <c r="A912" s="144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3"/>
    </row>
    <row r="913" spans="1:30">
      <c r="A913" s="144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3"/>
    </row>
    <row r="914" spans="1:30">
      <c r="A914" s="144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3"/>
    </row>
    <row r="915" spans="1:30">
      <c r="A915" s="144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3"/>
    </row>
    <row r="916" spans="1:30">
      <c r="A916" s="144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3"/>
    </row>
    <row r="917" spans="1:30">
      <c r="A917" s="144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3"/>
    </row>
    <row r="918" spans="1:30">
      <c r="A918" s="144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3"/>
    </row>
    <row r="919" spans="1:30">
      <c r="A919" s="144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3"/>
    </row>
    <row r="920" spans="1:30">
      <c r="A920" s="144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3"/>
    </row>
    <row r="921" spans="1:30">
      <c r="A921" s="144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3"/>
    </row>
    <row r="922" spans="1:30">
      <c r="A922" s="144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3"/>
    </row>
    <row r="923" spans="1:30">
      <c r="A923" s="144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3"/>
    </row>
    <row r="924" spans="1:30">
      <c r="A924" s="144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3"/>
    </row>
    <row r="925" spans="1:30">
      <c r="A925" s="144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3"/>
    </row>
    <row r="926" spans="1:30">
      <c r="A926" s="144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3"/>
    </row>
    <row r="927" spans="1:30">
      <c r="A927" s="144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3"/>
    </row>
    <row r="928" spans="1:30">
      <c r="A928" s="144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3"/>
    </row>
    <row r="929" spans="1:30">
      <c r="A929" s="144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3"/>
    </row>
    <row r="930" spans="1:30">
      <c r="A930" s="144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3"/>
    </row>
    <row r="931" spans="1:30">
      <c r="A931" s="144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3"/>
    </row>
    <row r="932" spans="1:30">
      <c r="A932" s="144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3"/>
    </row>
    <row r="933" spans="1:30">
      <c r="A933" s="144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3"/>
    </row>
    <row r="934" spans="1:30">
      <c r="A934" s="144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3"/>
    </row>
    <row r="935" spans="1:30">
      <c r="A935" s="144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3"/>
    </row>
    <row r="936" spans="1:30">
      <c r="A936" s="144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3"/>
    </row>
    <row r="937" spans="1:30">
      <c r="A937" s="144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3"/>
    </row>
    <row r="938" spans="1:30">
      <c r="A938" s="144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3"/>
    </row>
    <row r="939" spans="1:30">
      <c r="A939" s="144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3"/>
    </row>
    <row r="940" spans="1:30">
      <c r="A940" s="144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3"/>
    </row>
    <row r="941" spans="1:30">
      <c r="A941" s="144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3"/>
    </row>
    <row r="942" spans="1:30">
      <c r="A942" s="144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3"/>
    </row>
    <row r="943" spans="1:30">
      <c r="A943" s="144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3"/>
    </row>
    <row r="944" spans="1:30">
      <c r="A944" s="144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3"/>
    </row>
    <row r="945" spans="1:30">
      <c r="A945" s="144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3"/>
    </row>
    <row r="946" spans="1:30">
      <c r="A946" s="144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3"/>
    </row>
    <row r="947" spans="1:30">
      <c r="A947" s="144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3"/>
    </row>
    <row r="948" spans="1:30">
      <c r="A948" s="144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3"/>
    </row>
    <row r="949" spans="1:30">
      <c r="A949" s="144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3"/>
    </row>
    <row r="950" spans="1:30">
      <c r="A950" s="144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3"/>
    </row>
    <row r="951" spans="1:30">
      <c r="A951" s="144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3"/>
    </row>
    <row r="952" spans="1:30">
      <c r="A952" s="144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3"/>
    </row>
    <row r="953" spans="1:30">
      <c r="A953" s="144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3"/>
    </row>
    <row r="954" spans="1:30">
      <c r="A954" s="144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3"/>
    </row>
    <row r="955" spans="1:30">
      <c r="A955" s="144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3"/>
    </row>
    <row r="956" spans="1:30">
      <c r="A956" s="144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3"/>
    </row>
    <row r="957" spans="1:30">
      <c r="A957" s="144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3"/>
    </row>
    <row r="958" spans="1:30">
      <c r="A958" s="144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3"/>
    </row>
    <row r="959" spans="1:30">
      <c r="A959" s="144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3"/>
    </row>
    <row r="960" spans="1:30">
      <c r="A960" s="144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3"/>
    </row>
    <row r="961" spans="1:30">
      <c r="A961" s="144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3"/>
    </row>
    <row r="962" spans="1:30">
      <c r="A962" s="144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3"/>
    </row>
    <row r="963" spans="1:30">
      <c r="A963" s="144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3"/>
    </row>
    <row r="964" spans="1:30">
      <c r="A964" s="144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3"/>
    </row>
    <row r="965" spans="1:30">
      <c r="A965" s="144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3"/>
    </row>
    <row r="966" spans="1:30">
      <c r="A966" s="144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3"/>
    </row>
    <row r="967" spans="1:30">
      <c r="A967" s="144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3"/>
    </row>
    <row r="968" spans="1:30">
      <c r="A968" s="144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3"/>
    </row>
    <row r="969" spans="1:30">
      <c r="A969" s="144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3"/>
    </row>
    <row r="970" spans="1:30">
      <c r="A970" s="144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3"/>
    </row>
    <row r="971" spans="1:30">
      <c r="A971" s="144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3"/>
    </row>
    <row r="972" spans="1:30">
      <c r="A972" s="144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3"/>
    </row>
    <row r="973" spans="1:30">
      <c r="A973" s="144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3"/>
    </row>
    <row r="974" spans="1:30">
      <c r="A974" s="144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3"/>
    </row>
    <row r="975" spans="1:30">
      <c r="A975" s="144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3"/>
    </row>
    <row r="976" spans="1:30">
      <c r="A976" s="144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3"/>
    </row>
    <row r="977" spans="1:30">
      <c r="A977" s="144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3"/>
    </row>
    <row r="978" spans="1:30">
      <c r="A978" s="144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3"/>
    </row>
    <row r="979" spans="1:30">
      <c r="A979" s="144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3"/>
    </row>
    <row r="980" spans="1:30">
      <c r="A980" s="144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3"/>
    </row>
    <row r="981" spans="1:30">
      <c r="A981" s="144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3"/>
    </row>
    <row r="982" spans="1:30">
      <c r="A982" s="144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3"/>
    </row>
    <row r="983" spans="1:30">
      <c r="A983" s="144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3"/>
    </row>
    <row r="984" spans="1:30">
      <c r="A984" s="144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3"/>
    </row>
    <row r="985" spans="1:30">
      <c r="A985" s="144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3"/>
    </row>
    <row r="986" spans="1:30">
      <c r="A986" s="144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3"/>
    </row>
    <row r="987" spans="1:30">
      <c r="A987" s="144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3"/>
    </row>
    <row r="988" spans="1:30">
      <c r="A988" s="144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3"/>
    </row>
    <row r="989" spans="1:30">
      <c r="A989" s="144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3"/>
    </row>
    <row r="990" spans="1:30">
      <c r="A990" s="144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3"/>
    </row>
    <row r="991" spans="1:30">
      <c r="A991" s="144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3"/>
    </row>
    <row r="992" spans="1:30">
      <c r="A992" s="144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3"/>
    </row>
    <row r="993" spans="1:30">
      <c r="A993" s="144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3"/>
    </row>
    <row r="994" spans="1:30">
      <c r="A994" s="144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3"/>
    </row>
    <row r="995" spans="1:30">
      <c r="A995" s="144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3"/>
    </row>
    <row r="996" spans="1:30">
      <c r="A996" s="144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3"/>
    </row>
    <row r="997" spans="1:30">
      <c r="A997" s="144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3"/>
    </row>
    <row r="998" spans="1:30">
      <c r="A998" s="144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3"/>
    </row>
    <row r="999" spans="1:30">
      <c r="A999" s="144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3"/>
    </row>
    <row r="1000" spans="1:30">
      <c r="A1000" s="144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3"/>
    </row>
    <row r="1001" spans="1:30">
      <c r="A1001" s="144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3"/>
    </row>
    <row r="1002" spans="1:30">
      <c r="A1002" s="144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3"/>
    </row>
    <row r="1003" spans="1:30">
      <c r="A1003" s="144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1"/>
      <c r="W1003" s="131"/>
      <c r="X1003" s="131"/>
      <c r="Y1003" s="131"/>
      <c r="Z1003" s="131"/>
      <c r="AA1003" s="131"/>
      <c r="AB1003" s="131"/>
      <c r="AC1003" s="131"/>
      <c r="AD1003" s="133"/>
    </row>
    <row r="1004" spans="1:30">
      <c r="A1004" s="144"/>
      <c r="B1004" s="131"/>
      <c r="C1004" s="131"/>
      <c r="D1004" s="131"/>
      <c r="E1004" s="131"/>
      <c r="F1004" s="131"/>
      <c r="G1004" s="131"/>
      <c r="H1004" s="131"/>
      <c r="I1004" s="131"/>
      <c r="J1004" s="131"/>
      <c r="K1004" s="131"/>
      <c r="L1004" s="131"/>
      <c r="M1004" s="131"/>
      <c r="N1004" s="131"/>
      <c r="O1004" s="131"/>
      <c r="P1004" s="131"/>
      <c r="Q1004" s="131"/>
      <c r="R1004" s="131"/>
      <c r="S1004" s="131"/>
      <c r="T1004" s="131"/>
      <c r="U1004" s="131"/>
      <c r="V1004" s="131"/>
      <c r="W1004" s="131"/>
      <c r="X1004" s="131"/>
      <c r="Y1004" s="131"/>
      <c r="Z1004" s="131"/>
      <c r="AA1004" s="131"/>
      <c r="AB1004" s="131"/>
      <c r="AC1004" s="131"/>
      <c r="AD1004" s="133"/>
    </row>
    <row r="1005" spans="1:30">
      <c r="A1005" s="144"/>
      <c r="B1005" s="131"/>
      <c r="C1005" s="131"/>
      <c r="D1005" s="131"/>
      <c r="E1005" s="131"/>
      <c r="F1005" s="131"/>
      <c r="G1005" s="131"/>
      <c r="H1005" s="131"/>
      <c r="I1005" s="131"/>
      <c r="J1005" s="131"/>
      <c r="K1005" s="131"/>
      <c r="L1005" s="131"/>
      <c r="M1005" s="131"/>
      <c r="N1005" s="131"/>
      <c r="O1005" s="131"/>
      <c r="P1005" s="131"/>
      <c r="Q1005" s="131"/>
      <c r="R1005" s="131"/>
      <c r="S1005" s="131"/>
      <c r="T1005" s="131"/>
      <c r="U1005" s="131"/>
      <c r="V1005" s="131"/>
      <c r="W1005" s="131"/>
      <c r="X1005" s="131"/>
      <c r="Y1005" s="131"/>
      <c r="Z1005" s="131"/>
      <c r="AA1005" s="131"/>
      <c r="AB1005" s="131"/>
      <c r="AC1005" s="131"/>
      <c r="AD1005" s="133"/>
    </row>
    <row r="1006" spans="1:30">
      <c r="A1006" s="144"/>
      <c r="B1006" s="131"/>
      <c r="C1006" s="131"/>
      <c r="D1006" s="131"/>
      <c r="E1006" s="131"/>
      <c r="F1006" s="131"/>
      <c r="G1006" s="131"/>
      <c r="H1006" s="131"/>
      <c r="I1006" s="131"/>
      <c r="J1006" s="131"/>
      <c r="K1006" s="131"/>
      <c r="L1006" s="131"/>
      <c r="M1006" s="131"/>
      <c r="N1006" s="131"/>
      <c r="O1006" s="131"/>
      <c r="P1006" s="131"/>
      <c r="Q1006" s="131"/>
      <c r="R1006" s="131"/>
      <c r="S1006" s="131"/>
      <c r="T1006" s="131"/>
      <c r="U1006" s="131"/>
      <c r="V1006" s="131"/>
      <c r="W1006" s="131"/>
      <c r="X1006" s="131"/>
      <c r="Y1006" s="131"/>
      <c r="Z1006" s="131"/>
      <c r="AA1006" s="131"/>
      <c r="AB1006" s="131"/>
      <c r="AC1006" s="131"/>
      <c r="AD1006" s="133"/>
    </row>
    <row r="1007" spans="1:30">
      <c r="A1007" s="144"/>
      <c r="B1007" s="131"/>
      <c r="C1007" s="131"/>
      <c r="D1007" s="131"/>
      <c r="E1007" s="131"/>
      <c r="F1007" s="131"/>
      <c r="G1007" s="131"/>
      <c r="H1007" s="131"/>
      <c r="I1007" s="131"/>
      <c r="J1007" s="131"/>
      <c r="K1007" s="131"/>
      <c r="L1007" s="131"/>
      <c r="M1007" s="131"/>
      <c r="N1007" s="131"/>
      <c r="O1007" s="131"/>
      <c r="P1007" s="131"/>
      <c r="Q1007" s="131"/>
      <c r="R1007" s="131"/>
      <c r="S1007" s="131"/>
      <c r="T1007" s="131"/>
      <c r="U1007" s="131"/>
      <c r="V1007" s="131"/>
      <c r="W1007" s="131"/>
      <c r="X1007" s="131"/>
      <c r="Y1007" s="131"/>
      <c r="Z1007" s="131"/>
      <c r="AA1007" s="131"/>
      <c r="AB1007" s="131"/>
      <c r="AC1007" s="131"/>
      <c r="AD1007" s="133"/>
    </row>
    <row r="1008" spans="1:30">
      <c r="A1008" s="144"/>
      <c r="B1008" s="131"/>
      <c r="C1008" s="131"/>
      <c r="D1008" s="131"/>
      <c r="E1008" s="131"/>
      <c r="F1008" s="131"/>
      <c r="G1008" s="131"/>
      <c r="H1008" s="131"/>
      <c r="I1008" s="131"/>
      <c r="J1008" s="131"/>
      <c r="K1008" s="131"/>
      <c r="L1008" s="131"/>
      <c r="M1008" s="131"/>
      <c r="N1008" s="131"/>
      <c r="O1008" s="131"/>
      <c r="P1008" s="131"/>
      <c r="Q1008" s="131"/>
      <c r="R1008" s="131"/>
      <c r="S1008" s="131"/>
      <c r="T1008" s="131"/>
      <c r="U1008" s="131"/>
      <c r="V1008" s="131"/>
      <c r="W1008" s="131"/>
      <c r="X1008" s="131"/>
      <c r="Y1008" s="131"/>
      <c r="Z1008" s="131"/>
      <c r="AA1008" s="131"/>
      <c r="AB1008" s="131"/>
      <c r="AC1008" s="131"/>
      <c r="AD1008" s="133"/>
    </row>
    <row r="1009" spans="1:30">
      <c r="A1009" s="144"/>
      <c r="B1009" s="131"/>
      <c r="C1009" s="131"/>
      <c r="D1009" s="131"/>
      <c r="E1009" s="131"/>
      <c r="F1009" s="131"/>
      <c r="G1009" s="131"/>
      <c r="H1009" s="131"/>
      <c r="I1009" s="131"/>
      <c r="J1009" s="131"/>
      <c r="K1009" s="131"/>
      <c r="L1009" s="131"/>
      <c r="M1009" s="131"/>
      <c r="N1009" s="131"/>
      <c r="O1009" s="131"/>
      <c r="P1009" s="131"/>
      <c r="Q1009" s="131"/>
      <c r="R1009" s="131"/>
      <c r="S1009" s="131"/>
      <c r="T1009" s="131"/>
      <c r="U1009" s="131"/>
      <c r="V1009" s="131"/>
      <c r="W1009" s="131"/>
      <c r="X1009" s="131"/>
      <c r="Y1009" s="131"/>
      <c r="Z1009" s="131"/>
      <c r="AA1009" s="131"/>
      <c r="AB1009" s="131"/>
      <c r="AC1009" s="131"/>
      <c r="AD1009" s="133"/>
    </row>
    <row r="1010" spans="1:30">
      <c r="A1010" s="145"/>
      <c r="B1010" s="146"/>
      <c r="C1010" s="146"/>
      <c r="D1010" s="146"/>
      <c r="E1010" s="146"/>
      <c r="F1010" s="146"/>
      <c r="G1010" s="146"/>
      <c r="H1010" s="146"/>
      <c r="I1010" s="146"/>
      <c r="J1010" s="146"/>
      <c r="K1010" s="146"/>
      <c r="L1010" s="146"/>
      <c r="M1010" s="146"/>
      <c r="N1010" s="146"/>
      <c r="O1010" s="146"/>
      <c r="P1010" s="146"/>
      <c r="Q1010" s="146"/>
      <c r="R1010" s="146"/>
      <c r="S1010" s="146"/>
      <c r="T1010" s="146"/>
      <c r="U1010" s="146"/>
      <c r="V1010" s="146"/>
      <c r="W1010" s="146"/>
      <c r="X1010" s="146"/>
      <c r="Y1010" s="146"/>
      <c r="Z1010" s="146"/>
      <c r="AA1010" s="146"/>
      <c r="AB1010" s="146"/>
      <c r="AC1010" s="146"/>
      <c r="AD1010" s="135"/>
    </row>
  </sheetData>
  <mergeCells count="12">
    <mergeCell ref="A5:A7"/>
    <mergeCell ref="A9:A10"/>
    <mergeCell ref="A11:A15"/>
    <mergeCell ref="A16:A22"/>
    <mergeCell ref="A24:A25"/>
    <mergeCell ref="B24:B25"/>
    <mergeCell ref="A1:A2"/>
    <mergeCell ref="B1:B2"/>
    <mergeCell ref="C1:C2"/>
    <mergeCell ref="D1:D2"/>
    <mergeCell ref="E1:G1"/>
    <mergeCell ref="H1:H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2026-07-23T05:28:23Z</dcterms:modified>
  <cp:category/>
  <cp:contentStatus/>
</cp:coreProperties>
</file>