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296" documentId="8_{4185217D-4006-4629-AD3A-0737CE05813A}" xr6:coauthVersionLast="47" xr6:coauthVersionMax="47" xr10:uidLastSave="{32273D18-F13F-4EEA-ADBA-95BFDC1C9C85}"/>
  <bookViews>
    <workbookView xWindow="-108" yWindow="-108" windowWidth="23256" windowHeight="12456" activeTab="1" xr2:uid="{5982D4A9-2AD8-4F8A-AE0B-0D729A27807E}"/>
  </bookViews>
  <sheets>
    <sheet name="Recruitment" sheetId="2" r:id="rId1"/>
    <sheet name="Dropdown" sheetId="3" r:id="rId2"/>
    <sheet name="Recruitment Funnel" sheetId="12" r:id="rId3"/>
    <sheet name="Cost Per Hire" sheetId="13" r:id="rId4"/>
  </sheets>
  <definedNames>
    <definedName name="_xlnm._FilterDatabase" localSheetId="0" hidden="1">Recruitment!$V$127:$V$127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9" i="2" l="1"/>
  <c r="B118" i="2"/>
  <c r="B119" i="2"/>
  <c r="B117" i="2"/>
  <c r="P119" i="2"/>
  <c r="Q119" i="2" s="1"/>
  <c r="N118" i="2"/>
  <c r="P118" i="2"/>
  <c r="Q118" i="2" s="1"/>
  <c r="P117" i="2"/>
  <c r="Q117" i="2" s="1"/>
  <c r="N117" i="2"/>
  <c r="B108" i="2"/>
  <c r="N108" i="2"/>
  <c r="P108" i="2"/>
  <c r="Q108" i="2" s="1"/>
  <c r="B112" i="2"/>
  <c r="B105" i="2"/>
  <c r="B101" i="2"/>
  <c r="B106" i="2"/>
  <c r="B100" i="2"/>
  <c r="B113" i="2"/>
  <c r="B107" i="2"/>
  <c r="B102" i="2"/>
  <c r="B109" i="2"/>
  <c r="B103" i="2"/>
  <c r="B114" i="2"/>
  <c r="B115" i="2"/>
  <c r="B110" i="2"/>
  <c r="B111" i="2"/>
  <c r="B116" i="2"/>
  <c r="B104" i="2"/>
  <c r="B99" i="2"/>
  <c r="B73" i="2"/>
  <c r="N3" i="2"/>
  <c r="N24" i="2"/>
  <c r="N39" i="2"/>
  <c r="N5" i="2"/>
  <c r="N6" i="2"/>
  <c r="N4" i="2"/>
  <c r="N7" i="2"/>
  <c r="N8" i="2"/>
  <c r="N10" i="2"/>
  <c r="N9" i="2"/>
  <c r="N13" i="2"/>
  <c r="N11" i="2"/>
  <c r="N12" i="2"/>
  <c r="N14" i="2"/>
  <c r="N2" i="2"/>
  <c r="N15" i="2"/>
  <c r="N45" i="2"/>
  <c r="N17" i="2"/>
  <c r="N16" i="2"/>
  <c r="N19" i="2"/>
  <c r="N18" i="2"/>
  <c r="N20" i="2"/>
  <c r="N30" i="2"/>
  <c r="N31" i="2"/>
  <c r="N22" i="2"/>
  <c r="N41" i="2"/>
  <c r="N23" i="2"/>
  <c r="N26" i="2"/>
  <c r="N32" i="2"/>
  <c r="N33" i="2"/>
  <c r="N28" i="2"/>
  <c r="N34" i="2"/>
  <c r="N36" i="2"/>
  <c r="N29" i="2"/>
  <c r="N27" i="2"/>
  <c r="N35" i="2"/>
  <c r="N21" i="2"/>
  <c r="N25" i="2"/>
  <c r="N51" i="2"/>
  <c r="N42" i="2"/>
  <c r="N38" i="2"/>
  <c r="N40" i="2"/>
  <c r="N50" i="2"/>
  <c r="N49" i="2"/>
  <c r="N46" i="2"/>
  <c r="N37" i="2"/>
  <c r="N43" i="2"/>
  <c r="N44" i="2"/>
  <c r="N53" i="2"/>
  <c r="N64" i="2"/>
  <c r="N52" i="2"/>
  <c r="N47" i="2"/>
  <c r="N48" i="2"/>
  <c r="N54" i="2"/>
  <c r="N57" i="2"/>
  <c r="N58" i="2"/>
  <c r="N55" i="2"/>
  <c r="N59" i="2"/>
  <c r="N60" i="2"/>
  <c r="N56" i="2"/>
  <c r="N63" i="2"/>
  <c r="N62" i="2"/>
  <c r="N61" i="2"/>
  <c r="N65" i="2"/>
  <c r="N68" i="2"/>
  <c r="N66" i="2"/>
  <c r="N67" i="2"/>
  <c r="N69" i="2"/>
  <c r="N70" i="2"/>
  <c r="N75" i="2"/>
  <c r="N73" i="2"/>
  <c r="N74" i="2"/>
  <c r="N72" i="2"/>
  <c r="N71" i="2"/>
  <c r="N81" i="2"/>
  <c r="N78" i="2"/>
  <c r="N77" i="2"/>
  <c r="N79" i="2"/>
  <c r="N76" i="2"/>
  <c r="N89" i="2"/>
  <c r="N85" i="2"/>
  <c r="N88" i="2"/>
  <c r="N84" i="2"/>
  <c r="N82" i="2"/>
  <c r="N80" i="2"/>
  <c r="N86" i="2"/>
  <c r="N93" i="2"/>
  <c r="N92" i="2"/>
  <c r="N87" i="2"/>
  <c r="N90" i="2"/>
  <c r="N83" i="2"/>
  <c r="N96" i="2"/>
  <c r="N98" i="2"/>
  <c r="N91" i="2"/>
  <c r="N95" i="2"/>
  <c r="N97" i="2"/>
  <c r="N94" i="2"/>
  <c r="N99" i="2"/>
  <c r="N103" i="2"/>
  <c r="N104" i="2"/>
  <c r="N105" i="2"/>
  <c r="N101" i="2"/>
  <c r="N100" i="2"/>
  <c r="N102" i="2"/>
  <c r="N106" i="2"/>
  <c r="N107" i="2"/>
  <c r="N109" i="2"/>
  <c r="N111" i="2"/>
  <c r="N110" i="2"/>
  <c r="N115" i="2"/>
  <c r="N113" i="2"/>
  <c r="N116" i="2"/>
  <c r="N114" i="2"/>
  <c r="N112" i="2"/>
  <c r="P3" i="2"/>
  <c r="Q3" i="2" s="1"/>
  <c r="P24" i="2"/>
  <c r="Q24" i="2" s="1"/>
  <c r="P39" i="2"/>
  <c r="P5" i="2"/>
  <c r="P6" i="2"/>
  <c r="Q6" i="2" s="1"/>
  <c r="P4" i="2"/>
  <c r="Q4" i="2" s="1"/>
  <c r="P7" i="2"/>
  <c r="Q7" i="2" s="1"/>
  <c r="P8" i="2"/>
  <c r="Q8" i="2" s="1"/>
  <c r="P10" i="2"/>
  <c r="Q10" i="2" s="1"/>
  <c r="P9" i="2"/>
  <c r="Q9" i="2" s="1"/>
  <c r="P13" i="2"/>
  <c r="Q13" i="2" s="1"/>
  <c r="P11" i="2"/>
  <c r="Q11" i="2" s="1"/>
  <c r="P12" i="2"/>
  <c r="Q12" i="2" s="1"/>
  <c r="P14" i="2"/>
  <c r="Q14" i="2" s="1"/>
  <c r="P2" i="2"/>
  <c r="Q2" i="2" s="1"/>
  <c r="P15" i="2"/>
  <c r="Q15" i="2" s="1"/>
  <c r="P45" i="2"/>
  <c r="Q45" i="2" s="1"/>
  <c r="P17" i="2"/>
  <c r="Q17" i="2" s="1"/>
  <c r="P16" i="2"/>
  <c r="P19" i="2"/>
  <c r="Q19" i="2" s="1"/>
  <c r="P18" i="2"/>
  <c r="Q18" i="2" s="1"/>
  <c r="P20" i="2"/>
  <c r="Q20" i="2" s="1"/>
  <c r="P30" i="2"/>
  <c r="Q30" i="2" s="1"/>
  <c r="P31" i="2"/>
  <c r="Q31" i="2" s="1"/>
  <c r="P22" i="2"/>
  <c r="Q22" i="2" s="1"/>
  <c r="P41" i="2"/>
  <c r="Q41" i="2" s="1"/>
  <c r="P23" i="2"/>
  <c r="Q23" i="2" s="1"/>
  <c r="P26" i="2"/>
  <c r="Q26" i="2" s="1"/>
  <c r="P32" i="2"/>
  <c r="Q32" i="2" s="1"/>
  <c r="P33" i="2"/>
  <c r="Q33" i="2" s="1"/>
  <c r="P28" i="2"/>
  <c r="Q28" i="2" s="1"/>
  <c r="P34" i="2"/>
  <c r="Q34" i="2" s="1"/>
  <c r="P36" i="2"/>
  <c r="Q36" i="2" s="1"/>
  <c r="P29" i="2"/>
  <c r="Q29" i="2" s="1"/>
  <c r="P27" i="2"/>
  <c r="Q27" i="2" s="1"/>
  <c r="P35" i="2"/>
  <c r="Q35" i="2" s="1"/>
  <c r="P21" i="2"/>
  <c r="Q21" i="2" s="1"/>
  <c r="P25" i="2"/>
  <c r="Q25" i="2" s="1"/>
  <c r="P51" i="2"/>
  <c r="Q51" i="2" s="1"/>
  <c r="P42" i="2"/>
  <c r="Q42" i="2" s="1"/>
  <c r="P38" i="2"/>
  <c r="Q38" i="2" s="1"/>
  <c r="P40" i="2"/>
  <c r="Q40" i="2" s="1"/>
  <c r="P50" i="2"/>
  <c r="Q50" i="2" s="1"/>
  <c r="P49" i="2"/>
  <c r="Q49" i="2" s="1"/>
  <c r="P46" i="2"/>
  <c r="Q46" i="2" s="1"/>
  <c r="P37" i="2"/>
  <c r="Q37" i="2" s="1"/>
  <c r="P43" i="2"/>
  <c r="Q43" i="2" s="1"/>
  <c r="P44" i="2"/>
  <c r="Q44" i="2" s="1"/>
  <c r="P53" i="2"/>
  <c r="Q53" i="2" s="1"/>
  <c r="P64" i="2"/>
  <c r="Q64" i="2" s="1"/>
  <c r="P52" i="2"/>
  <c r="Q52" i="2" s="1"/>
  <c r="P47" i="2"/>
  <c r="Q47" i="2" s="1"/>
  <c r="P48" i="2"/>
  <c r="Q48" i="2" s="1"/>
  <c r="P54" i="2"/>
  <c r="Q54" i="2" s="1"/>
  <c r="P57" i="2"/>
  <c r="Q57" i="2" s="1"/>
  <c r="P58" i="2"/>
  <c r="Q58" i="2" s="1"/>
  <c r="P55" i="2"/>
  <c r="Q55" i="2" s="1"/>
  <c r="P59" i="2"/>
  <c r="Q59" i="2" s="1"/>
  <c r="P60" i="2"/>
  <c r="Q60" i="2" s="1"/>
  <c r="P56" i="2"/>
  <c r="Q56" i="2" s="1"/>
  <c r="P63" i="2"/>
  <c r="Q63" i="2" s="1"/>
  <c r="P62" i="2"/>
  <c r="Q62" i="2" s="1"/>
  <c r="P61" i="2"/>
  <c r="Q61" i="2" s="1"/>
  <c r="P65" i="2"/>
  <c r="Q65" i="2" s="1"/>
  <c r="P68" i="2"/>
  <c r="Q68" i="2" s="1"/>
  <c r="P66" i="2"/>
  <c r="Q66" i="2" s="1"/>
  <c r="P67" i="2"/>
  <c r="Q67" i="2" s="1"/>
  <c r="P69" i="2"/>
  <c r="Q69" i="2" s="1"/>
  <c r="P70" i="2"/>
  <c r="Q70" i="2" s="1"/>
  <c r="P75" i="2"/>
  <c r="Q75" i="2" s="1"/>
  <c r="P73" i="2"/>
  <c r="Q73" i="2" s="1"/>
  <c r="P74" i="2"/>
  <c r="Q74" i="2" s="1"/>
  <c r="P72" i="2"/>
  <c r="Q72" i="2" s="1"/>
  <c r="P71" i="2"/>
  <c r="Q71" i="2" s="1"/>
  <c r="P81" i="2"/>
  <c r="Q81" i="2" s="1"/>
  <c r="P78" i="2"/>
  <c r="Q78" i="2" s="1"/>
  <c r="P77" i="2"/>
  <c r="Q77" i="2" s="1"/>
  <c r="P79" i="2"/>
  <c r="Q79" i="2" s="1"/>
  <c r="P76" i="2"/>
  <c r="Q76" i="2" s="1"/>
  <c r="P89" i="2"/>
  <c r="Q89" i="2" s="1"/>
  <c r="P85" i="2"/>
  <c r="Q85" i="2" s="1"/>
  <c r="P88" i="2"/>
  <c r="Q88" i="2" s="1"/>
  <c r="P84" i="2"/>
  <c r="Q84" i="2" s="1"/>
  <c r="P82" i="2"/>
  <c r="Q82" i="2" s="1"/>
  <c r="P80" i="2"/>
  <c r="Q80" i="2" s="1"/>
  <c r="P86" i="2"/>
  <c r="Q86" i="2" s="1"/>
  <c r="P93" i="2"/>
  <c r="Q93" i="2" s="1"/>
  <c r="P92" i="2"/>
  <c r="Q92" i="2" s="1"/>
  <c r="P87" i="2"/>
  <c r="Q87" i="2" s="1"/>
  <c r="P90" i="2"/>
  <c r="Q90" i="2" s="1"/>
  <c r="P83" i="2"/>
  <c r="Q83" i="2" s="1"/>
  <c r="P96" i="2"/>
  <c r="Q96" i="2" s="1"/>
  <c r="P98" i="2"/>
  <c r="Q98" i="2" s="1"/>
  <c r="P91" i="2"/>
  <c r="Q91" i="2" s="1"/>
  <c r="P95" i="2"/>
  <c r="Q95" i="2" s="1"/>
  <c r="P97" i="2"/>
  <c r="Q97" i="2" s="1"/>
  <c r="P94" i="2"/>
  <c r="Q94" i="2" s="1"/>
  <c r="P99" i="2"/>
  <c r="Q99" i="2" s="1"/>
  <c r="P103" i="2"/>
  <c r="Q103" i="2" s="1"/>
  <c r="P104" i="2"/>
  <c r="Q104" i="2" s="1"/>
  <c r="P105" i="2"/>
  <c r="Q105" i="2" s="1"/>
  <c r="P101" i="2"/>
  <c r="Q101" i="2" s="1"/>
  <c r="P100" i="2"/>
  <c r="Q100" i="2" s="1"/>
  <c r="P102" i="2"/>
  <c r="Q102" i="2" s="1"/>
  <c r="P106" i="2"/>
  <c r="Q106" i="2" s="1"/>
  <c r="P107" i="2"/>
  <c r="Q107" i="2" s="1"/>
  <c r="P109" i="2"/>
  <c r="Q109" i="2" s="1"/>
  <c r="P111" i="2"/>
  <c r="Q111" i="2" s="1"/>
  <c r="P110" i="2"/>
  <c r="Q110" i="2" s="1"/>
  <c r="P115" i="2"/>
  <c r="Q115" i="2" s="1"/>
  <c r="P113" i="2"/>
  <c r="Q113" i="2" s="1"/>
  <c r="P116" i="2"/>
  <c r="Q116" i="2" s="1"/>
  <c r="P114" i="2"/>
  <c r="Q114" i="2" s="1"/>
  <c r="P112" i="2"/>
  <c r="Q112" i="2" s="1"/>
  <c r="Q39" i="2"/>
  <c r="Q5" i="2"/>
  <c r="Q16" i="2"/>
  <c r="B74" i="2"/>
  <c r="B72" i="2"/>
  <c r="B71" i="2"/>
  <c r="B81" i="2"/>
  <c r="B78" i="2"/>
  <c r="B77" i="2"/>
  <c r="B79" i="2"/>
  <c r="B76" i="2"/>
  <c r="B89" i="2"/>
  <c r="B85" i="2"/>
  <c r="B88" i="2"/>
  <c r="B84" i="2"/>
  <c r="B82" i="2"/>
  <c r="B80" i="2"/>
  <c r="B86" i="2"/>
  <c r="B93" i="2"/>
  <c r="B92" i="2"/>
  <c r="B87" i="2"/>
  <c r="B90" i="2"/>
  <c r="B83" i="2"/>
  <c r="B96" i="2"/>
  <c r="B98" i="2"/>
  <c r="B91" i="2"/>
  <c r="B95" i="2"/>
  <c r="B97" i="2"/>
  <c r="B94" i="2"/>
  <c r="B3" i="2"/>
  <c r="B24" i="2"/>
  <c r="B39" i="2"/>
  <c r="B5" i="2"/>
  <c r="B6" i="2"/>
  <c r="B4" i="2"/>
  <c r="B7" i="2"/>
  <c r="B8" i="2"/>
  <c r="B10" i="2"/>
  <c r="B9" i="2"/>
  <c r="B13" i="2"/>
  <c r="B11" i="2"/>
  <c r="B12" i="2"/>
  <c r="B14" i="2"/>
  <c r="B2" i="2"/>
  <c r="B15" i="2"/>
  <c r="B45" i="2"/>
  <c r="B17" i="2"/>
  <c r="B16" i="2"/>
  <c r="B19" i="2"/>
  <c r="B18" i="2"/>
  <c r="B20" i="2"/>
  <c r="B30" i="2"/>
  <c r="B31" i="2"/>
  <c r="B22" i="2"/>
  <c r="B41" i="2"/>
  <c r="B23" i="2"/>
  <c r="B26" i="2"/>
  <c r="B32" i="2"/>
  <c r="B33" i="2"/>
  <c r="B28" i="2"/>
  <c r="B34" i="2"/>
  <c r="B36" i="2"/>
  <c r="B29" i="2"/>
  <c r="B27" i="2"/>
  <c r="B35" i="2"/>
  <c r="B21" i="2"/>
  <c r="B25" i="2"/>
  <c r="B51" i="2"/>
  <c r="B42" i="2"/>
  <c r="B38" i="2"/>
  <c r="B40" i="2"/>
  <c r="B50" i="2"/>
  <c r="B49" i="2"/>
  <c r="B46" i="2"/>
  <c r="B37" i="2"/>
  <c r="B43" i="2"/>
  <c r="B44" i="2"/>
  <c r="B53" i="2"/>
  <c r="B64" i="2"/>
  <c r="B52" i="2"/>
  <c r="B47" i="2"/>
  <c r="B48" i="2"/>
  <c r="B54" i="2"/>
  <c r="B57" i="2"/>
  <c r="B58" i="2"/>
  <c r="B55" i="2"/>
  <c r="B59" i="2"/>
  <c r="B60" i="2"/>
  <c r="B56" i="2"/>
  <c r="B63" i="2"/>
  <c r="B62" i="2"/>
  <c r="B61" i="2"/>
  <c r="B65" i="2"/>
  <c r="B68" i="2"/>
  <c r="B66" i="2"/>
  <c r="B67" i="2"/>
  <c r="B69" i="2"/>
  <c r="B70" i="2"/>
  <c r="B75" i="2"/>
  <c r="C5" i="12"/>
  <c r="C4" i="12"/>
  <c r="C3" i="12"/>
  <c r="C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Suchat Sermsaiprasit (Sermsaiprasit Suchat)</author>
    <author>Lapat Jitwongwai (Jitwongwai Lapat)</author>
  </authors>
  <commentList>
    <comment ref="D111" authorId="0" shapeId="0" xr:uid="{BBC1413D-A397-4560-ACCB-833B8DA51EA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หมด JDB - ไม่ Match Marketing
</t>
        </r>
      </text>
    </comment>
    <comment ref="D112" authorId="0" shapeId="0" xr:uid="{8ABDD3D8-5D65-43BF-B38C-07CDF71C993D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หมด JDB, Form</t>
        </r>
      </text>
    </comment>
    <comment ref="D113" authorId="0" shapeId="0" xr:uid="{343D2E87-2A3E-4CAA-B9DF-6E7EE7281CF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ส่งเพิ่ม 2 29/6/26
หมดเว็บ เหลือ JDB
</t>
        </r>
      </text>
    </comment>
    <comment ref="M117" authorId="1" shapeId="0" xr:uid="{5A08EBA2-79DB-446F-82F3-697F602812C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Lapat Jitwongwai (Jitwongwai Lapat):Memo เดิมใช้ของ Service creativity 11/6/2026 มีโยกย้ายและเปลี่ยนมาสรรหาตำแหน่งทีมพี่หน่องแทน
</t>
        </r>
      </text>
    </comment>
    <comment ref="D118" authorId="0" shapeId="0" xr:uid="{CE549874-9D6F-4731-8D28-5807218DD42A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ส่งเพิ่มอีก TU</t>
        </r>
      </text>
    </comment>
    <comment ref="D119" authorId="0" shapeId="0" xr:uid="{595F43E7-6687-492B-BBA3-0136290C31F7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น่าจะจบที่พร</t>
        </r>
      </text>
    </comment>
  </commentList>
</comments>
</file>

<file path=xl/sharedStrings.xml><?xml version="1.0" encoding="utf-8"?>
<sst xmlns="http://schemas.openxmlformats.org/spreadsheetml/2006/main" count="1817" uniqueCount="590">
  <si>
    <t>Year</t>
  </si>
  <si>
    <t>Month</t>
  </si>
  <si>
    <t>Location</t>
  </si>
  <si>
    <t>Position_Request</t>
  </si>
  <si>
    <t>Position_Announce</t>
  </si>
  <si>
    <t>Division</t>
  </si>
  <si>
    <t>Dept</t>
  </si>
  <si>
    <t>Work Unit</t>
  </si>
  <si>
    <t>Type</t>
  </si>
  <si>
    <t>Memo Status</t>
  </si>
  <si>
    <t>Inter/Exter</t>
  </si>
  <si>
    <t>Recruitment Status</t>
  </si>
  <si>
    <t>Approved_Date</t>
  </si>
  <si>
    <t>Target_Date</t>
  </si>
  <si>
    <t>Final Date</t>
  </si>
  <si>
    <t>Diff Date</t>
  </si>
  <si>
    <t>KPI</t>
  </si>
  <si>
    <t>Propose As</t>
  </si>
  <si>
    <t>ID (Being Replaced)</t>
  </si>
  <si>
    <t>Name (being replaced)</t>
  </si>
  <si>
    <t>ID New Employee</t>
  </si>
  <si>
    <t>Name New Employee</t>
  </si>
  <si>
    <t>Join Date</t>
  </si>
  <si>
    <t>Probation Status</t>
  </si>
  <si>
    <t>Start Date</t>
  </si>
  <si>
    <t>Recruitment Channel</t>
  </si>
  <si>
    <t>Remark</t>
  </si>
  <si>
    <t>Notes Qualification</t>
  </si>
  <si>
    <t>Applied Profile</t>
  </si>
  <si>
    <t>First</t>
  </si>
  <si>
    <t>Final</t>
  </si>
  <si>
    <t>Offer</t>
  </si>
  <si>
    <t>Reject Offer</t>
  </si>
  <si>
    <t>hired</t>
  </si>
  <si>
    <t>Link to Jd</t>
  </si>
  <si>
    <t>SKCN</t>
  </si>
  <si>
    <t>Climate Change Solutions Development Researcher</t>
  </si>
  <si>
    <t xml:space="preserve">Agri Researcher </t>
  </si>
  <si>
    <t>Sustainability Development Division</t>
  </si>
  <si>
    <t>KUBOTA Solutions Department</t>
  </si>
  <si>
    <t>Climate Change Solutions Development</t>
  </si>
  <si>
    <t>S-General</t>
  </si>
  <si>
    <t>Approved</t>
  </si>
  <si>
    <t>Effective</t>
  </si>
  <si>
    <t>suggestion</t>
  </si>
  <si>
    <t>SKCA</t>
  </si>
  <si>
    <t>Engineer</t>
  </si>
  <si>
    <t>IT Infrastructure Engineer</t>
  </si>
  <si>
    <t>Digital Technology Division</t>
  </si>
  <si>
    <t>Cyber Security and Infrastructure Department</t>
  </si>
  <si>
    <t>Amata City Infrastructure</t>
  </si>
  <si>
    <t>S-Special</t>
  </si>
  <si>
    <t>Both</t>
  </si>
  <si>
    <t>JobTopGun</t>
  </si>
  <si>
    <t>KIN</t>
  </si>
  <si>
    <t>Agriculture Academic Executive</t>
  </si>
  <si>
    <t>Agriculture Academic Executive (นักวิชาการเกษตร)</t>
  </si>
  <si>
    <t>Solution Business Office</t>
  </si>
  <si>
    <t>Farming Service</t>
  </si>
  <si>
    <t>Parts Marketing Management Executive</t>
  </si>
  <si>
    <t>Marketing Executive (Parts)</t>
  </si>
  <si>
    <t>Parts Division</t>
  </si>
  <si>
    <t>Overseas Parts Sales &amp; Marketing Department</t>
  </si>
  <si>
    <t>Marketing Management</t>
  </si>
  <si>
    <t>Sales Operation System Development Executive</t>
  </si>
  <si>
    <t>System Development</t>
  </si>
  <si>
    <t>Distribution Network Development Division</t>
  </si>
  <si>
    <t>Sales Operation Excellence Department</t>
  </si>
  <si>
    <t>Sales Operation System Development</t>
  </si>
  <si>
    <t>Marketing</t>
  </si>
  <si>
    <t>Commerce Business Office</t>
  </si>
  <si>
    <t>Marketing Communication</t>
  </si>
  <si>
    <t>Internal</t>
  </si>
  <si>
    <t>Business Planning Executive</t>
  </si>
  <si>
    <t>Business Planning</t>
  </si>
  <si>
    <t>Corporate Strategy Division</t>
  </si>
  <si>
    <t>Business Development Department</t>
  </si>
  <si>
    <t>Mechanic</t>
  </si>
  <si>
    <t>ช่าง</t>
  </si>
  <si>
    <t>Navanakorn Manufacturing Division</t>
  </si>
  <si>
    <t>Engine &amp; Hay baler Production Department</t>
  </si>
  <si>
    <t>-</t>
  </si>
  <si>
    <t>O-General</t>
  </si>
  <si>
    <t>Hold</t>
  </si>
  <si>
    <t>Cancel</t>
  </si>
  <si>
    <t>Service Mechanic</t>
  </si>
  <si>
    <t>ช่างบริการ</t>
  </si>
  <si>
    <t>Customer Service Division</t>
  </si>
  <si>
    <t>Southern Area After - Sales Service</t>
  </si>
  <si>
    <t>Engineer (Product Development)</t>
  </si>
  <si>
    <t>Strategic Marketing Division</t>
  </si>
  <si>
    <t>Product Development Department</t>
  </si>
  <si>
    <t>Tractor &amp; Implement</t>
  </si>
  <si>
    <t>Warehouse Engineer</t>
  </si>
  <si>
    <t>Parts Distribution Department</t>
  </si>
  <si>
    <t>Warehouse System &amp; Automation Development</t>
  </si>
  <si>
    <t>Data Engineer</t>
  </si>
  <si>
    <t>Customer Success System Department</t>
  </si>
  <si>
    <t>Data Engineering</t>
  </si>
  <si>
    <t>Domestic After - Sales Service Department</t>
  </si>
  <si>
    <t>Carbon Neutrality Engineer,   Environment Engineer</t>
  </si>
  <si>
    <t>Carbon Neutrality Department</t>
  </si>
  <si>
    <t>Carbon Neutrality Technology &amp; Solutions</t>
  </si>
  <si>
    <t>Dealers Sales Development Executive</t>
  </si>
  <si>
    <t>Parts Planning &amp; Development Department</t>
  </si>
  <si>
    <t>Engineer (Domestic Dealer Service Development)</t>
  </si>
  <si>
    <t>Service Value Creation Department</t>
  </si>
  <si>
    <t>Domestic Dealer Service Development</t>
  </si>
  <si>
    <t>Engineer (Domestics After-Sales Service)</t>
  </si>
  <si>
    <t>financial analyst</t>
  </si>
  <si>
    <t>Financial Analyst</t>
  </si>
  <si>
    <t>Planning &amp; Control Division</t>
  </si>
  <si>
    <t>Finance &amp; Credit Department</t>
  </si>
  <si>
    <t>Credit Management</t>
  </si>
  <si>
    <t>External</t>
  </si>
  <si>
    <t xml:space="preserve">Operator </t>
  </si>
  <si>
    <t>พนักงานธุรการ</t>
  </si>
  <si>
    <t>Operator</t>
  </si>
  <si>
    <t>Production Development</t>
  </si>
  <si>
    <t>Harvester &amp; Rotary Manufacturing Division</t>
  </si>
  <si>
    <t>Combine Harvester Production Department</t>
  </si>
  <si>
    <t>Production Development 2</t>
  </si>
  <si>
    <t xml:space="preserve">Production Planning </t>
  </si>
  <si>
    <t>Production Planning &amp; Logistics Division</t>
  </si>
  <si>
    <t>Amata City Production Planning &amp; Control Department</t>
  </si>
  <si>
    <t>Part Planning - Tractor</t>
  </si>
  <si>
    <t>Puchasing Engineer</t>
  </si>
  <si>
    <t>Purchasing Division</t>
  </si>
  <si>
    <t>Purchasing 1 Department</t>
  </si>
  <si>
    <t>Purchasing Engineer</t>
  </si>
  <si>
    <t>Purchasing - 1B</t>
  </si>
  <si>
    <t>Purchasing Engineering Staff</t>
  </si>
  <si>
    <t>Purchasing Engineering Department</t>
  </si>
  <si>
    <t>Supplier KPS Promotion</t>
  </si>
  <si>
    <t>Administration staff</t>
  </si>
  <si>
    <t>Administrative Staff</t>
  </si>
  <si>
    <t>Strategic Partnership Management Department</t>
  </si>
  <si>
    <t xml:space="preserve">Education Partnership development </t>
  </si>
  <si>
    <t>Data Analyst</t>
  </si>
  <si>
    <t xml:space="preserve">Data Driven Business </t>
  </si>
  <si>
    <t>Data Analytic</t>
  </si>
  <si>
    <t xml:space="preserve">Farm Experince Developer </t>
  </si>
  <si>
    <t>KUBOTA FARM Department</t>
  </si>
  <si>
    <t xml:space="preserve">Farm experince developer </t>
  </si>
  <si>
    <t>Inspection (Engineer)</t>
  </si>
  <si>
    <t>Inspection Division</t>
  </si>
  <si>
    <t>Engine-Power Tiller Inspection Department</t>
  </si>
  <si>
    <t>New Product Inspection</t>
  </si>
  <si>
    <t>Marketing Executive</t>
  </si>
  <si>
    <t>Construction &amp; Engine Division</t>
  </si>
  <si>
    <t>Engine &amp; Power Tiller Business</t>
  </si>
  <si>
    <t>Marketing researcher</t>
  </si>
  <si>
    <t>Marketing Researcher</t>
  </si>
  <si>
    <t xml:space="preserve">Marketing Research </t>
  </si>
  <si>
    <t>Media Production officer</t>
  </si>
  <si>
    <t>Media Production Officer (Producer)</t>
  </si>
  <si>
    <t>Marketing Communication Department</t>
  </si>
  <si>
    <t>Design and muitimedia</t>
  </si>
  <si>
    <t xml:space="preserve">System Analyst </t>
  </si>
  <si>
    <t>Customer Experience system</t>
  </si>
  <si>
    <t>Internship</t>
  </si>
  <si>
    <t>Admin Service Technician</t>
  </si>
  <si>
    <t>ช่างเทคนิคบริการ</t>
  </si>
  <si>
    <t>Customer Management</t>
  </si>
  <si>
    <t>วิศวกรไฟฟ้า</t>
  </si>
  <si>
    <t>Electrical Engineering</t>
  </si>
  <si>
    <t>Accountant</t>
  </si>
  <si>
    <t>Amata City Accounting Department</t>
  </si>
  <si>
    <t>Manufacturing Cost Analysis 1</t>
  </si>
  <si>
    <t>Environmental Engineer</t>
  </si>
  <si>
    <t>Safety,   Occupational Health and Environment Division</t>
  </si>
  <si>
    <t>Environment Department</t>
  </si>
  <si>
    <t>Social Media</t>
  </si>
  <si>
    <t>Factory Services Staff</t>
  </si>
  <si>
    <t>Human Resources &amp; Administration Division</t>
  </si>
  <si>
    <t>Amata City Administration Department</t>
  </si>
  <si>
    <t>Factory Services</t>
  </si>
  <si>
    <t>Tractor Manufacturing Division</t>
  </si>
  <si>
    <t>L Tractor Production Department</t>
  </si>
  <si>
    <t>Production Development - Assembling</t>
  </si>
  <si>
    <t xml:space="preserve">Engineer </t>
  </si>
  <si>
    <t>Project Engineer</t>
  </si>
  <si>
    <t>Manufacturing Engineering Division</t>
  </si>
  <si>
    <t>Project Management Engineering Department</t>
  </si>
  <si>
    <t>Amata City - Engineering Project 1</t>
  </si>
  <si>
    <t xml:space="preserve">Data Analyst </t>
  </si>
  <si>
    <t>Data Anlyst</t>
  </si>
  <si>
    <t>Digital Accounting Specialist</t>
  </si>
  <si>
    <t>Accounting Solutions and Process Development Department</t>
  </si>
  <si>
    <t>Digital Accounting &amp; Process Design</t>
  </si>
  <si>
    <t>Engineer (Service Publication)</t>
  </si>
  <si>
    <t>Service Publication</t>
  </si>
  <si>
    <t>Engineer (Tractor product support)</t>
  </si>
  <si>
    <t>Technical Service Solutions Department</t>
  </si>
  <si>
    <t>Tractor Technical Service</t>
  </si>
  <si>
    <t>Engineering Assistant</t>
  </si>
  <si>
    <t>Navanakorn Process Development</t>
  </si>
  <si>
    <t>Navanakorn - Engineering Project</t>
  </si>
  <si>
    <t>Technology Innovation Executive,   Senior Technology Innovation Executive</t>
  </si>
  <si>
    <t>Product Development (Farm &amp; machinery management system)</t>
  </si>
  <si>
    <t>Grand Design &amp; Technology Innovation</t>
  </si>
  <si>
    <t>Sustainable Solutions Promotion Executive</t>
  </si>
  <si>
    <t>Kubota Solutions Department</t>
  </si>
  <si>
    <t>Sustainable solutions promotion</t>
  </si>
  <si>
    <t>พนักงานวิเคราะห์ และควบคุมความเคลื่อนไหวของชิ้นส่วนอะไหล่ และสินค้าคงคลัง</t>
  </si>
  <si>
    <t>พนักงานคลังสินค้า</t>
  </si>
  <si>
    <t>Inventory Control</t>
  </si>
  <si>
    <t>พนักงานธุรการขาย</t>
  </si>
  <si>
    <t>Tractor &amp; Farm Machinery Sales Division</t>
  </si>
  <si>
    <t>Northern Region Sales Office</t>
  </si>
  <si>
    <t>Business Intelligence</t>
  </si>
  <si>
    <t>Purchasing - 1A</t>
  </si>
  <si>
    <t>Product Purchasing and Administration Department</t>
  </si>
  <si>
    <t>Product Purchasing</t>
  </si>
  <si>
    <t>Parts Supply Chain Solution</t>
  </si>
  <si>
    <t>Jobdb</t>
  </si>
  <si>
    <t>Production Support</t>
  </si>
  <si>
    <t>Navanakorn Production Planning &amp; Control Department</t>
  </si>
  <si>
    <t>Logistic System</t>
  </si>
  <si>
    <t>KOSEN</t>
  </si>
  <si>
    <t>Finance Planning and Analysis</t>
  </si>
  <si>
    <t>ช่างเทคนิคบริการ(กระบี่)</t>
  </si>
  <si>
    <t>Central and Southern Region After Sales</t>
  </si>
  <si>
    <t>Advance Product Quality Planning Engineer</t>
  </si>
  <si>
    <t>Advance Product Quality Planning Department</t>
  </si>
  <si>
    <t>New Model Managament</t>
  </si>
  <si>
    <t>Production Development - Welding and Painting</t>
  </si>
  <si>
    <t>Safety Officer</t>
  </si>
  <si>
    <t>Safety and Occupational Health Department</t>
  </si>
  <si>
    <t>Amata City Safety and Occupational Health</t>
  </si>
  <si>
    <t xml:space="preserve"> Engineer </t>
  </si>
  <si>
    <t>Overseas Service Engineer</t>
  </si>
  <si>
    <t>Overseas service operation</t>
  </si>
  <si>
    <t>Overseas Service</t>
  </si>
  <si>
    <t xml:space="preserve">Sales Executive </t>
  </si>
  <si>
    <t>Sales Executive (Domestic Parts Sales &amp; Marketing Parts)</t>
  </si>
  <si>
    <t>Domestic Parts Sales &amp; Marketing Department</t>
  </si>
  <si>
    <t>System Analyst</t>
  </si>
  <si>
    <t>Service Sales Solutions</t>
  </si>
  <si>
    <t>พนักงานประสานงานบริการ</t>
  </si>
  <si>
    <t>พนักงานประสานงานบริการ(สุราษฎร์ธานี)</t>
  </si>
  <si>
    <t>Part Logistics Staff</t>
  </si>
  <si>
    <t>พนักงานโลจิสติกส์อะไหล่</t>
  </si>
  <si>
    <t>Parts Logistics</t>
  </si>
  <si>
    <t>Accounting Department</t>
  </si>
  <si>
    <t>ย้ายโมเดลไปรับที่นวนคร</t>
  </si>
  <si>
    <t>Digital Communication</t>
  </si>
  <si>
    <t>Digital Communication (Martech Skill)</t>
  </si>
  <si>
    <t>Engineer (Part Supply &amp; Planning )</t>
  </si>
  <si>
    <t>Part Supply &amp;Planning Management</t>
  </si>
  <si>
    <t>Event Management Executive</t>
  </si>
  <si>
    <t>Event Management</t>
  </si>
  <si>
    <t>Corporate Branding Management Department</t>
  </si>
  <si>
    <t>Service Creativity Executive</t>
  </si>
  <si>
    <t>Service Creativity</t>
  </si>
  <si>
    <t>ชุดาพร</t>
  </si>
  <si>
    <t>Inventory Strategy &amp; Data Analyst</t>
  </si>
  <si>
    <t>Maintenance Engineer</t>
  </si>
  <si>
    <t>Navanakorn Production Engineering Department</t>
  </si>
  <si>
    <t>Maintenance</t>
  </si>
  <si>
    <t>Software Developer</t>
  </si>
  <si>
    <t>Digital Enterprise System Department</t>
  </si>
  <si>
    <t>Manufacturing Software Development</t>
  </si>
  <si>
    <t>System Developer</t>
  </si>
  <si>
    <t>Amata City Environment</t>
  </si>
  <si>
    <t>Purchasing Officer</t>
  </si>
  <si>
    <t>Navanakorn Human Resources Department</t>
  </si>
  <si>
    <t>General Purchasing</t>
  </si>
  <si>
    <t>Product Development Engineer</t>
  </si>
  <si>
    <t>Trading</t>
  </si>
  <si>
    <t>Senior Overseas Part Sales - Cambodia</t>
  </si>
  <si>
    <t>Cambodia - Parts Sales</t>
  </si>
  <si>
    <t>Carbon Neutrality Business Executive</t>
  </si>
  <si>
    <t>Carbon Neutrality Business</t>
  </si>
  <si>
    <t xml:space="preserve"> Carbon Neutrality</t>
  </si>
  <si>
    <t>Overseas Smart Contact Center and Privilege Executive</t>
  </si>
  <si>
    <t>Customer Relationship Management Department</t>
  </si>
  <si>
    <t>Overseas Smart Contact Center &amp; Privilege</t>
  </si>
  <si>
    <t>ERP Developer</t>
  </si>
  <si>
    <t>New Business support</t>
  </si>
  <si>
    <t>Inspection Engineer</t>
  </si>
  <si>
    <t>Tractor &amp; Implement Inspection Department</t>
  </si>
  <si>
    <t>Support Product Inspection</t>
  </si>
  <si>
    <t>Engineer(Part Supply Planning)</t>
  </si>
  <si>
    <t>CSP Engineer</t>
  </si>
  <si>
    <t>QA Engineer</t>
  </si>
  <si>
    <t>Quality Assurance Division</t>
  </si>
  <si>
    <t>CSP Tractor Department</t>
  </si>
  <si>
    <t>Tractor 1</t>
  </si>
  <si>
    <t xml:space="preserve">Risk Management Officer </t>
  </si>
  <si>
    <t>Risk Management</t>
  </si>
  <si>
    <t>GRC &amp; Internal Audit Division</t>
  </si>
  <si>
    <t>Risk Management Department</t>
  </si>
  <si>
    <t>ผู้จัดการสหกรณ์</t>
  </si>
  <si>
    <t>Corporate Human Resources &amp; Administration Department</t>
  </si>
  <si>
    <t>Information System &amp; Operation</t>
  </si>
  <si>
    <t>พนักงานธุุรการ</t>
  </si>
  <si>
    <t>Navanakorn Administration Department</t>
  </si>
  <si>
    <t>Office Services</t>
  </si>
  <si>
    <t>Reporting &amp; Taxation</t>
  </si>
  <si>
    <t>Resign</t>
  </si>
  <si>
    <t>นุจรินทร์ อินต๊ะ</t>
  </si>
  <si>
    <t>ชุดาพร พิทักษ์หุ่นตระกูล</t>
  </si>
  <si>
    <t>Apr16,2026</t>
  </si>
  <si>
    <t>Under Review</t>
  </si>
  <si>
    <t>Credit Analyst</t>
  </si>
  <si>
    <t>Finance &amp; Credit Development</t>
  </si>
  <si>
    <t>ขวัญจิรา ช่วยธานี</t>
  </si>
  <si>
    <t>บัณฑิตา อาจวิชัย</t>
  </si>
  <si>
    <t>July 1,2026</t>
  </si>
  <si>
    <t>Business System Analyst</t>
  </si>
  <si>
    <t>Supply Chain System</t>
  </si>
  <si>
    <t>กุลณัฐ ดามัง</t>
  </si>
  <si>
    <t>June 16,2026</t>
  </si>
  <si>
    <t>Electrical Engineer</t>
  </si>
  <si>
    <t>Business Support Department</t>
  </si>
  <si>
    <t>Products Innovation Business</t>
  </si>
  <si>
    <t>Not Started</t>
  </si>
  <si>
    <t>Government &amp; Legal Affairs Officer</t>
  </si>
  <si>
    <t>Legal &amp; Compliance Department</t>
  </si>
  <si>
    <t>Government &amp; Legal Affairs</t>
  </si>
  <si>
    <t>External Only</t>
  </si>
  <si>
    <t>อัครชาภา ชลสุวรรณ</t>
  </si>
  <si>
    <t>ณิชาพร ภาคเพียร</t>
  </si>
  <si>
    <t>Apr 4,2026</t>
  </si>
  <si>
    <t>Parts Sales Solutions</t>
  </si>
  <si>
    <t>ชนิกานต์ โสตถิวนิชย์วงศ์</t>
  </si>
  <si>
    <t>May 16,2026</t>
  </si>
  <si>
    <t>ณัฐธนิสชา อัมพรชัยรัชต์</t>
  </si>
  <si>
    <t>เจ้าหน้าที่สหกรณ์</t>
  </si>
  <si>
    <t>Cooperative Officer</t>
  </si>
  <si>
    <t>New Model</t>
  </si>
  <si>
    <t>นรีพัฒน์ จินดามรกฎ</t>
  </si>
  <si>
    <t>June 1,2026</t>
  </si>
  <si>
    <t>Pass</t>
  </si>
  <si>
    <t>Digital Communication Division</t>
  </si>
  <si>
    <t>Domestic Communication - Farm Machinery</t>
  </si>
  <si>
    <t>อนัญญา กาญจนกันทร์</t>
  </si>
  <si>
    <t>พิมพ์มาดา เศรษฐเมธีกุล</t>
  </si>
  <si>
    <t>Special Licensing &amp; Legal Support Officer</t>
  </si>
  <si>
    <t>Special Licensing &amp; Legal Support</t>
  </si>
  <si>
    <t>Rotation</t>
  </si>
  <si>
    <t>ภาวินี สุขสว่าง</t>
  </si>
  <si>
    <t>ธันย์ชนก สีสุวรรณ์</t>
  </si>
  <si>
    <t>Parts Supply Planning &amp; Management</t>
  </si>
  <si>
    <t>16728)</t>
  </si>
  <si>
    <t>ยลดา ประทุม</t>
  </si>
  <si>
    <t xml:space="preserve">ณฐินี พงศ์ปิยะประเสริฐ </t>
  </si>
  <si>
    <t>July 16,2026</t>
  </si>
  <si>
    <t>Service Business Intelligence Engineer/Executive</t>
  </si>
  <si>
    <t xml:space="preserve">Service Business Intelligence </t>
  </si>
  <si>
    <t>Service Business Intelligence</t>
  </si>
  <si>
    <t>ธนัท สระแก้ว</t>
  </si>
  <si>
    <t>ชิษณุพงศ์ พลศรี</t>
  </si>
  <si>
    <t>Aug 1,2026</t>
  </si>
  <si>
    <t>https://kubotagroup.sharepoint.com/:w:/r/sites/SKC-0AAFVK4bNBX3wUk9PVA/Shared%20Documents/(1)%20HRM/Recruitment/JD/Customer%20Service/JD/JD%20SKCN%20Service%20Business%20Intelligence%20Engineer.docx?d=w276f79d7e9dc4bab8d11cd855fc35533&amp;csf=1&amp;web=1&amp;e=Q3msZO</t>
  </si>
  <si>
    <t xml:space="preserve">Service Creativity Executive </t>
  </si>
  <si>
    <t>Wait to Join</t>
  </si>
  <si>
    <t>วิภาวี ชัยนนถี</t>
  </si>
  <si>
    <t>Accountant-Budget Mgt</t>
  </si>
  <si>
    <t>Accountant(Budget Management)</t>
  </si>
  <si>
    <t>Cost Accounting and Budgeting Department</t>
  </si>
  <si>
    <t>Budget Management</t>
  </si>
  <si>
    <t>Final Interview</t>
  </si>
  <si>
    <t>มี Lot นึง</t>
  </si>
  <si>
    <t>https://kubotagroup.sharepoint.com/:x:/r/sites/SKC-0AAFVK4bNBX3wUk9PVA/Shared%20Documents/(1)%20HRM/Recruitment/JD/Planning%20and%20Control/JD/JD%202026BudgetManagement_Accountant.xlsx?d=wd80c1a3981a544718d62c8a2c060e0a8&amp;csf=1&amp;web=1&amp;e=7as0qq</t>
  </si>
  <si>
    <t>ณัฐนิชา สุภาสืบ</t>
  </si>
  <si>
    <t>Aug 16,2026</t>
  </si>
  <si>
    <t>ทำระบบสำหรับการเก็บข้อมูล เพื่อให้ทาง Data Analyst นำไปวิเคราะห์อีกที - เน้น Coding ต้องรู้โครงสร้างของระบบ, เคยทำ Data Warehouse, Pipeline - 0</t>
  </si>
  <si>
    <t>https://kubotagroup.sharepoint.com/:x:/r/sites/SKC-0AAFVK4bNBX3wUk9PVA/Shared%20Documents/(1)%20HRM/Recruitment/JD/Digital%20Technology/JD/JD%20Data%20Engineer.xlsx?d=w996ce4c70e024098a9426d1ad244ae8e&amp;csf=1&amp;web=1&amp;e=wvM4TE</t>
  </si>
  <si>
    <t>HR Officer</t>
  </si>
  <si>
    <t>Strategy &amp; System</t>
  </si>
  <si>
    <t>คละได้ - 0</t>
  </si>
  <si>
    <t>https://superrecruit.jobtopgun.com/SERC?view=jobpostPreview&amp;idPosition=863</t>
  </si>
  <si>
    <t xml:space="preserve">Risk Management </t>
  </si>
  <si>
    <t>ปิยะนุช อโณทยานนท์</t>
  </si>
  <si>
    <t>https://kubotagroup.sharepoint.com/:w:/r/sites/SKC-0AAFVK4bNBX3wUk9PVA/Shared%20Documents/(1)%20HRM/Recruitment/JD/GRC%20%26%20Internal%20Audit%20Division/JD_SKCN_Risk%20Management%20Officer_RM2026_BCM.docx?d=w04b889ec0ed243d0b5da40e501d46bd1&amp;csf=1&amp;web=1&amp;e=NSJh12</t>
  </si>
  <si>
    <t>Associate Business System</t>
  </si>
  <si>
    <t>พนธกร วิชาพร</t>
  </si>
  <si>
    <t>https://kubotagroup.sharepoint.com/:b:/r/sites/SKC-0AAFVK4bNBX3wUk9PVA/Shared%20Documents/(1)%20HRM/Recruitment/JD/Digital%20Technology/JD/Job%20Description%20-%20Software%20Developer%20-%20ABS.pdf?csf=1&amp;web=1&amp;e=zGgfQP</t>
  </si>
  <si>
    <t>Communication Strategy</t>
  </si>
  <si>
    <t>Screening</t>
  </si>
  <si>
    <r>
      <rPr>
        <sz val="12"/>
        <color rgb="FF000000"/>
        <rFont val="Century Gothic"/>
      </rPr>
      <t xml:space="preserve">วางกลยุทธ์และแคมเปญสื่อสาร: พัฒนาแคมเปญสื่อสารการตลาดทั้ง Online และ Offline โดยออกแบบตั้งแต่ Big Idea, Key Message, Content Pillars ไปจนถึง Channel Roles และ Customer Journey
วิเคราะห์ข้อมูลและอินไซท์: ศึกษา Consumer Insights, เทรนด์ตลาด, การเคลื่อนไหวของคู่แข่ง และพฤติกรรมกลุ่มเป้าหมายเพื่อสร้างสรรค์ไอเดีย
คุมทิศทางแบรนด์และคุณภาพภาษา: ดูแลให้ชิ้นงานตรงตาม Brand Guidelines และ Tone of Voice รวมถึงรีวิวภาษาและการแปลร่วมกับทีม Local เพื่อความถูกต้องและเหมาะสมทางวัฒนธรรม 
ดีล คุยงานกับเอเจนซี่ 
</t>
    </r>
    <r>
      <rPr>
        <b/>
        <sz val="12"/>
        <color rgb="FF000000"/>
        <rFont val="Century Gothic"/>
      </rPr>
      <t>ขอคนมีประสบการณ์เอเจนซี่มาก่อน 1-2 ปี</t>
    </r>
  </si>
  <si>
    <t>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</t>
  </si>
  <si>
    <t xml:space="preserve">จบใหม่ได้, เน้น TU CU, Eng ดีๆ เวลาร่างคอนแทรคต้องใช้ คุยเอเจนซี </t>
  </si>
  <si>
    <t>https://th.jobsdb.com/job/93127572</t>
  </si>
  <si>
    <t>Engineer (Strategic Parts Planning &amp; Localization)</t>
  </si>
  <si>
    <t>Strategic Parts Planning &amp; Localization</t>
  </si>
  <si>
    <t>อภิชญา ปิยะปราโมทย์</t>
  </si>
  <si>
    <t>พัฒนาชิ้นส่วนอะไหล่ของ TR SKC วางแผนพัฒนาชิ้นส่วนทั้งหมด อันไหนควรพัฒนาเอง โคงานเยอะกับทางฝั่งทั้ง QA CS Supplier ทั้งบริษัทการลดต้นทุน
ดู Drawing 
จบใหม่ ปสก 3-5 ปี
ประสานงาน
ถ้าได้สาย Project Management, Procurement</t>
  </si>
  <si>
    <t>https://kubotagroup.sharepoint.com/:b:/r/sites/SKC-0AAFVK4bNBX3wUk9PVA/Shared%20Documents/(1)%20HRM/Recruitment/JD/Parts/JD/JD-Strategic%20Parts%20Planning%20%26%20Localization.pdf?csf=1&amp;web=1&amp;e=PizvdD</t>
  </si>
  <si>
    <t>Holidays</t>
  </si>
  <si>
    <t>Recruit Status</t>
  </si>
  <si>
    <t>Branch</t>
  </si>
  <si>
    <t>Prioritize</t>
  </si>
  <si>
    <t>Channels</t>
  </si>
  <si>
    <t>Probation</t>
  </si>
  <si>
    <t>Division2</t>
  </si>
  <si>
    <t>Department2</t>
  </si>
  <si>
    <t>Work Unit2</t>
  </si>
  <si>
    <t>Column1</t>
  </si>
  <si>
    <t>Production Line - Assembling</t>
  </si>
  <si>
    <t>Second</t>
  </si>
  <si>
    <t>Not Pass</t>
  </si>
  <si>
    <t>On Process</t>
  </si>
  <si>
    <t>Production Line</t>
  </si>
  <si>
    <t>Scholarship</t>
  </si>
  <si>
    <t>Thrid</t>
  </si>
  <si>
    <t>Product Inspection</t>
  </si>
  <si>
    <t>First Interview</t>
  </si>
  <si>
    <t>FriendsGetFriends</t>
  </si>
  <si>
    <t>Safety, Occupational Health and Environment Division</t>
  </si>
  <si>
    <t>Internal Recruit</t>
  </si>
  <si>
    <t>Roadshow</t>
  </si>
  <si>
    <t>Purchasing 2 Department</t>
  </si>
  <si>
    <t>Assembly Line - Final A</t>
  </si>
  <si>
    <t>Retirement</t>
  </si>
  <si>
    <t>Social Media(FB,TikTok)</t>
  </si>
  <si>
    <t>B Tractor &amp; Part Production Department</t>
  </si>
  <si>
    <t>Production Line - Welding and Painting</t>
  </si>
  <si>
    <t>Part Logistics Department</t>
  </si>
  <si>
    <t>Part Logistics - Tractor Plant</t>
  </si>
  <si>
    <t>Not Completed</t>
  </si>
  <si>
    <t>Parts Production Line</t>
  </si>
  <si>
    <t>Production Technology Development Division</t>
  </si>
  <si>
    <t>Supplier Quality Kaizen 1</t>
  </si>
  <si>
    <t>Assembly Line</t>
  </si>
  <si>
    <t>Warehouse Operation</t>
  </si>
  <si>
    <t>Part Logistics - Combine Harvester Plant</t>
  </si>
  <si>
    <t>Production Line - FGL</t>
  </si>
  <si>
    <t>Amata City - Process Development</t>
  </si>
  <si>
    <t>Production Development - Rotary</t>
  </si>
  <si>
    <t>Harvester Inspection Department</t>
  </si>
  <si>
    <t>Tool Engineering</t>
  </si>
  <si>
    <t>Export/Import Shipping Administration Department</t>
  </si>
  <si>
    <t>Indirect Material Purchasing</t>
  </si>
  <si>
    <t>Amata City Human Resources Department</t>
  </si>
  <si>
    <t>Transportation</t>
  </si>
  <si>
    <t>Sugarcane Harvester &amp; Rotary Production Department</t>
  </si>
  <si>
    <t>Part Planning &amp; Control - FGL</t>
  </si>
  <si>
    <t>Finished Goods Logistics Department</t>
  </si>
  <si>
    <t>Assembly Line - Mission B</t>
  </si>
  <si>
    <t>Amata City Production Engineering Department</t>
  </si>
  <si>
    <t>Import Administration</t>
  </si>
  <si>
    <t>Free Zone</t>
  </si>
  <si>
    <t>KPS Promotion Department</t>
  </si>
  <si>
    <t>Purchasing - 2B</t>
  </si>
  <si>
    <t>Automation Technology Department</t>
  </si>
  <si>
    <t>Purchasing Administration</t>
  </si>
  <si>
    <t>Utility</t>
  </si>
  <si>
    <t>Assembly Line - Mission A</t>
  </si>
  <si>
    <t>Production Development- Sugarcane Harvester</t>
  </si>
  <si>
    <t>General Accounting</t>
  </si>
  <si>
    <t>Manufacturing Cost Analysis 3</t>
  </si>
  <si>
    <t>Part Logistics Engineering</t>
  </si>
  <si>
    <t>Part Inspection</t>
  </si>
  <si>
    <t>Assembly Line - Final B</t>
  </si>
  <si>
    <t>Advanced Product Quality Planning - 1</t>
  </si>
  <si>
    <t>Part Control</t>
  </si>
  <si>
    <t>Production Development 1</t>
  </si>
  <si>
    <t>Siam Kubota Academy</t>
  </si>
  <si>
    <t>Advanced Product Quality Planning - 2</t>
  </si>
  <si>
    <t>Government Affairs &amp; Office Services</t>
  </si>
  <si>
    <t>Accounting System &amp; Process Development</t>
  </si>
  <si>
    <t>Support Part Inspection</t>
  </si>
  <si>
    <t>Supplier Quality Kaizen 2</t>
  </si>
  <si>
    <t>Smart Maintenance</t>
  </si>
  <si>
    <t>GRC Department</t>
  </si>
  <si>
    <t>Employee Relations</t>
  </si>
  <si>
    <t>Internal Audit Department</t>
  </si>
  <si>
    <t>KPS Fundamental</t>
  </si>
  <si>
    <t>Indirect Material Purchasing and Indirect Material Purchasing Engineering</t>
  </si>
  <si>
    <t>Production Planning</t>
  </si>
  <si>
    <t>Privilege &amp; Process Development</t>
  </si>
  <si>
    <t>Production Support - New business</t>
  </si>
  <si>
    <t>Part Planning - Harvester &amp; Implement</t>
  </si>
  <si>
    <t>Power Tiller Production Department</t>
  </si>
  <si>
    <t>Sustainable Environment Development</t>
  </si>
  <si>
    <t>Amata City - Engineering Project 2</t>
  </si>
  <si>
    <t>Export Administration</t>
  </si>
  <si>
    <t>Technology Development - Logistics</t>
  </si>
  <si>
    <t>Overseas &amp; Service Business Department</t>
  </si>
  <si>
    <t>Indirect Material Purchasing Engineering</t>
  </si>
  <si>
    <t>KBT's Export Logistics</t>
  </si>
  <si>
    <t>KPS Administration</t>
  </si>
  <si>
    <t>Marketing Management Department</t>
  </si>
  <si>
    <t>Technology Development - Manufacturing</t>
  </si>
  <si>
    <t>Production Development - FGL</t>
  </si>
  <si>
    <t>Overseas Sales Office</t>
  </si>
  <si>
    <t>Central &amp; Southern Region Sales Office</t>
  </si>
  <si>
    <t>Amata city IT Service</t>
  </si>
  <si>
    <t>Northeastern Region Sales Office</t>
  </si>
  <si>
    <t>Manufacturing Execution System</t>
  </si>
  <si>
    <t>Manufacturing System Planning</t>
  </si>
  <si>
    <t>Construction Business</t>
  </si>
  <si>
    <t>PU1 New Model Costing</t>
  </si>
  <si>
    <t>Distribution Channel Development Department</t>
  </si>
  <si>
    <t>Purchasing - 2A</t>
  </si>
  <si>
    <t>CSP Farm Machinery Department</t>
  </si>
  <si>
    <t>New Project Control</t>
  </si>
  <si>
    <t>CSP Construction &amp; Implement Department</t>
  </si>
  <si>
    <t>PU2 New Model Costing</t>
  </si>
  <si>
    <t>Human Resources Management &amp; Recruitment</t>
  </si>
  <si>
    <t>KLC</t>
  </si>
  <si>
    <t>Manufacturing Cost Analysis 2</t>
  </si>
  <si>
    <t>Data Driven Business</t>
  </si>
  <si>
    <t>Human Resources Development</t>
  </si>
  <si>
    <t>Production Development - Assembly</t>
  </si>
  <si>
    <t>Purchasing - 2C</t>
  </si>
  <si>
    <t>Production Development - Parts Production</t>
  </si>
  <si>
    <t>Digital Communication Department</t>
  </si>
  <si>
    <t>Accounting Solutions and Process 
Development</t>
  </si>
  <si>
    <t>Overseas &amp; Service Operation Department</t>
  </si>
  <si>
    <t>Digital Enterprise System</t>
  </si>
  <si>
    <t>Marketing Research</t>
  </si>
  <si>
    <t xml:space="preserve"> Parts Planning &amp; Development Department</t>
  </si>
  <si>
    <t>Farm experince developer</t>
  </si>
  <si>
    <t>Education Partnership development</t>
  </si>
  <si>
    <t>Service Operation excellence</t>
  </si>
  <si>
    <t>Overseas service Creativity</t>
  </si>
  <si>
    <t>Overseas Network Management</t>
  </si>
  <si>
    <t>Navanakorn Distribution Center</t>
  </si>
  <si>
    <t>Hay Baler Assembling</t>
  </si>
  <si>
    <t>Machining for Navanakorn</t>
  </si>
  <si>
    <t>Cost Analysis 2</t>
  </si>
  <si>
    <t>Subsidiary Support</t>
  </si>
  <si>
    <t>Carbon Neutrality</t>
  </si>
  <si>
    <t>Manufacturing Business Analysis</t>
  </si>
  <si>
    <t xml:space="preserve">Domestic Communication - Farm Machinery 
</t>
  </si>
  <si>
    <t>Stage</t>
  </si>
  <si>
    <t>No.of Resume</t>
  </si>
  <si>
    <t>Applied</t>
  </si>
  <si>
    <t>Hired</t>
  </si>
  <si>
    <t>Phase</t>
  </si>
  <si>
    <t>Details</t>
  </si>
  <si>
    <t>Wage/Price</t>
  </si>
  <si>
    <t>Notes</t>
  </si>
  <si>
    <t>No. Candidates</t>
  </si>
  <si>
    <t>Period (Hr/Per Candidate)</t>
  </si>
  <si>
    <t>S Special</t>
  </si>
  <si>
    <t>Recruiter</t>
  </si>
  <si>
    <t>Total Hire 2025 : 47 (As of December 2025)</t>
  </si>
  <si>
    <t>Dep Mgr</t>
  </si>
  <si>
    <t>Sourcing</t>
  </si>
  <si>
    <t>Div Mgr</t>
  </si>
  <si>
    <t>Job Board</t>
  </si>
  <si>
    <t>1.Job Top Gun</t>
  </si>
  <si>
    <t>12 months</t>
  </si>
  <si>
    <t>Invigilator</t>
  </si>
  <si>
    <t>2.Job DB</t>
  </si>
  <si>
    <t>Assist Mgr</t>
  </si>
  <si>
    <t>Total Per Hire</t>
  </si>
  <si>
    <t>Agency</t>
  </si>
  <si>
    <t>Test</t>
  </si>
  <si>
    <t>คุมสอบ</t>
  </si>
  <si>
    <t>THB/1hr</t>
  </si>
  <si>
    <t>Total</t>
  </si>
  <si>
    <t>Recruiter 1 pp</t>
  </si>
  <si>
    <t>Assistant Mgr 1 pp</t>
  </si>
  <si>
    <t>2025 Turnover</t>
  </si>
  <si>
    <t>O General</t>
  </si>
  <si>
    <t>Replacement</t>
  </si>
  <si>
    <t>S General</t>
  </si>
  <si>
    <t>Not Replace</t>
  </si>
  <si>
    <t>Japan Mgr.</t>
  </si>
  <si>
    <t>Dep Mgr 1 pp</t>
  </si>
  <si>
    <t>Div Mgr. 1 pp</t>
  </si>
  <si>
    <t>HR Dep Mgr 1 pp</t>
  </si>
  <si>
    <t>Total O General</t>
  </si>
  <si>
    <t>Total S General</t>
  </si>
  <si>
    <t>Total S Special</t>
  </si>
  <si>
    <t>Support</t>
  </si>
  <si>
    <t>Travel Allowance</t>
  </si>
  <si>
    <t>เพื่อน</t>
  </si>
  <si>
    <t>Health Check Up</t>
  </si>
  <si>
    <t>Medical Health Check Up</t>
  </si>
  <si>
    <t>Men</t>
  </si>
  <si>
    <t>JTG</t>
  </si>
  <si>
    <t>Women</t>
  </si>
  <si>
    <t>DB</t>
  </si>
  <si>
    <t>Not include Medical Helth Check</t>
  </si>
  <si>
    <t>S - General</t>
  </si>
  <si>
    <t>Total 42</t>
  </si>
  <si>
    <t>S - Special</t>
  </si>
  <si>
    <t>ทำแหล่งที่มาว่ามาจากทางไหนมากกว่า</t>
  </si>
  <si>
    <t>Ratio</t>
  </si>
  <si>
    <t>Avg Apply</t>
  </si>
  <si>
    <t>Joiners</t>
  </si>
  <si>
    <t>General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</si>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</sst>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87" formatCode="_-* #,##0_-;\-* #,##0_-;_-* &quot;-&quot;??_-;_-@_-"/>
    <numFmt numFmtId="188" formatCode="[$-1010000]d/m/yyyy;@"/>
    <numFmt numFmtId="189" formatCode="B1d\-mmm\-yy"/>
    <numFmt numFmtId="190" formatCode="d/mm/yyyy;@"/>
  </numFmts>
  <fonts count="23">
    <font>
      <sz val="11"/>
      <color theme="1"/>
      <name val="Tahoma"/>
      <family val="2"/>
      <charset val="222"/>
      <scheme val="minor"/>
    </font>
    <font>
      <b/>
      <sz val="12"/>
      <color theme="1"/>
      <name val="TH Sarabun New"/>
      <family val="2"/>
    </font>
    <font>
      <sz val="12"/>
      <color theme="1"/>
      <name val="TH Sarabun New"/>
      <family val="2"/>
    </font>
    <font>
      <sz val="14"/>
      <color theme="1"/>
      <name val="TH Sarabun New"/>
      <family val="2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1"/>
      <color theme="10"/>
      <name val="Century Gothic"/>
    </font>
    <font>
      <sz val="11"/>
      <color rgb="FF000000"/>
      <name val="Century Gothic"/>
    </font>
    <font>
      <sz val="11"/>
      <name val="Century Gothic"/>
    </font>
    <font>
      <sz val="11"/>
      <color theme="1"/>
      <name val="Century Gothic"/>
    </font>
    <font>
      <b/>
      <sz val="14"/>
      <color rgb="FF000000"/>
      <name val="TH Sarabun New"/>
    </font>
    <font>
      <sz val="11"/>
      <color rgb="FF000000"/>
      <name val="Tahoma"/>
      <scheme val="major"/>
    </font>
    <font>
      <sz val="11"/>
      <name val="Tahoma"/>
      <scheme val="major"/>
    </font>
    <font>
      <sz val="12"/>
      <color rgb="FF000000"/>
      <name val="Tahoma"/>
      <scheme val="major"/>
    </font>
    <font>
      <sz val="12"/>
      <name val="Tahoma"/>
      <scheme val="major"/>
    </font>
    <font>
      <sz val="10"/>
      <color theme="1"/>
      <name val="Arial"/>
      <charset val="1"/>
    </font>
    <font>
      <sz val="18"/>
      <color theme="1"/>
      <name val="Angsana New"/>
    </font>
    <font>
      <sz val="10"/>
      <color theme="1"/>
      <name val="Sarabun"/>
      <charset val="1"/>
    </font>
    <font>
      <b/>
      <sz val="12"/>
      <color rgb="FF000000"/>
      <name val="Century Gothic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3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60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wrapText="1"/>
    </xf>
    <xf numFmtId="14" fontId="1" fillId="0" borderId="0" xfId="0" applyNumberFormat="1" applyFont="1"/>
    <xf numFmtId="14" fontId="2" fillId="0" borderId="0" xfId="0" applyNumberFormat="1" applyFont="1"/>
    <xf numFmtId="0" fontId="3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190" fontId="8" fillId="2" borderId="9" xfId="0" applyNumberFormat="1" applyFont="1" applyFill="1" applyBorder="1" applyAlignment="1">
      <alignment horizontal="left" vertical="top"/>
    </xf>
    <xf numFmtId="0" fontId="8" fillId="2" borderId="0" xfId="0" applyFont="1" applyFill="1" applyAlignment="1">
      <alignment horizontal="left"/>
    </xf>
    <xf numFmtId="0" fontId="8" fillId="2" borderId="9" xfId="0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top" wrapText="1"/>
    </xf>
    <xf numFmtId="14" fontId="8" fillId="2" borderId="9" xfId="0" applyNumberFormat="1" applyFont="1" applyFill="1" applyBorder="1" applyAlignment="1">
      <alignment horizontal="left" vertical="top" wrapText="1"/>
    </xf>
    <xf numFmtId="187" fontId="8" fillId="2" borderId="9" xfId="1" applyNumberFormat="1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wrapText="1"/>
    </xf>
    <xf numFmtId="0" fontId="8" fillId="2" borderId="9" xfId="0" applyFont="1" applyFill="1" applyBorder="1" applyAlignment="1">
      <alignment horizontal="left"/>
    </xf>
    <xf numFmtId="0" fontId="8" fillId="0" borderId="9" xfId="0" applyFont="1" applyBorder="1" applyAlignment="1">
      <alignment horizontal="left" readingOrder="1"/>
    </xf>
    <xf numFmtId="0" fontId="8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/>
    </xf>
    <xf numFmtId="0" fontId="8" fillId="0" borderId="9" xfId="0" applyFont="1" applyBorder="1" applyAlignment="1">
      <alignment vertical="center" wrapText="1" readingOrder="1"/>
    </xf>
    <xf numFmtId="0" fontId="8" fillId="2" borderId="12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 vertical="top"/>
    </xf>
    <xf numFmtId="0" fontId="8" fillId="2" borderId="15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190" fontId="8" fillId="2" borderId="9" xfId="0" applyNumberFormat="1" applyFont="1" applyFill="1" applyBorder="1" applyAlignment="1">
      <alignment horizontal="left"/>
    </xf>
    <xf numFmtId="190" fontId="8" fillId="0" borderId="9" xfId="0" applyNumberFormat="1" applyFont="1" applyBorder="1" applyAlignment="1">
      <alignment horizontal="left" readingOrder="1"/>
    </xf>
    <xf numFmtId="0" fontId="8" fillId="0" borderId="14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8" fillId="0" borderId="16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3" xfId="0" applyFont="1" applyBorder="1" applyAlignment="1">
      <alignment readingOrder="1"/>
    </xf>
    <xf numFmtId="0" fontId="8" fillId="0" borderId="17" xfId="0" applyFont="1" applyBorder="1" applyAlignment="1">
      <alignment readingOrder="1"/>
    </xf>
    <xf numFmtId="190" fontId="8" fillId="5" borderId="9" xfId="0" applyNumberFormat="1" applyFont="1" applyFill="1" applyBorder="1" applyAlignment="1">
      <alignment horizontal="left" readingOrder="1"/>
    </xf>
    <xf numFmtId="0" fontId="8" fillId="0" borderId="18" xfId="0" applyFont="1" applyBorder="1" applyAlignment="1">
      <alignment readingOrder="1"/>
    </xf>
    <xf numFmtId="0" fontId="8" fillId="0" borderId="19" xfId="0" applyFont="1" applyBorder="1" applyAlignment="1">
      <alignment readingOrder="1"/>
    </xf>
    <xf numFmtId="14" fontId="8" fillId="2" borderId="12" xfId="0" applyNumberFormat="1" applyFont="1" applyFill="1" applyBorder="1" applyAlignment="1">
      <alignment horizontal="left" vertical="top"/>
    </xf>
    <xf numFmtId="0" fontId="8" fillId="2" borderId="14" xfId="0" applyFont="1" applyFill="1" applyBorder="1" applyAlignment="1">
      <alignment horizontal="left"/>
    </xf>
    <xf numFmtId="190" fontId="9" fillId="6" borderId="10" xfId="0" applyNumberFormat="1" applyFont="1" applyFill="1" applyBorder="1" applyAlignment="1">
      <alignment horizontal="left" readingOrder="1"/>
    </xf>
    <xf numFmtId="190" fontId="9" fillId="0" borderId="14" xfId="0" applyNumberFormat="1" applyFont="1" applyBorder="1" applyAlignment="1">
      <alignment horizontal="left" readingOrder="1"/>
    </xf>
    <xf numFmtId="190" fontId="9" fillId="6" borderId="11" xfId="0" applyNumberFormat="1" applyFont="1" applyFill="1" applyBorder="1" applyAlignment="1">
      <alignment horizontal="left" readingOrder="1"/>
    </xf>
    <xf numFmtId="190" fontId="9" fillId="0" borderId="10" xfId="0" applyNumberFormat="1" applyFont="1" applyBorder="1" applyAlignment="1">
      <alignment horizontal="left" readingOrder="1"/>
    </xf>
    <xf numFmtId="0" fontId="8" fillId="2" borderId="19" xfId="0" applyFont="1" applyFill="1" applyBorder="1" applyAlignment="1">
      <alignment horizontal="left"/>
    </xf>
    <xf numFmtId="190" fontId="8" fillId="0" borderId="17" xfId="0" applyNumberFormat="1" applyFont="1" applyBorder="1" applyAlignment="1">
      <alignment horizontal="left" readingOrder="1"/>
    </xf>
    <xf numFmtId="0" fontId="10" fillId="2" borderId="4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center" wrapText="1"/>
    </xf>
    <xf numFmtId="188" fontId="11" fillId="2" borderId="9" xfId="0" applyNumberFormat="1" applyFont="1" applyFill="1" applyBorder="1" applyAlignment="1">
      <alignment horizontal="left" vertical="top"/>
    </xf>
    <xf numFmtId="190" fontId="11" fillId="2" borderId="9" xfId="0" applyNumberFormat="1" applyFont="1" applyFill="1" applyBorder="1" applyAlignment="1">
      <alignment horizontal="left" vertical="top"/>
    </xf>
    <xf numFmtId="187" fontId="11" fillId="2" borderId="9" xfId="1" applyNumberFormat="1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top"/>
    </xf>
    <xf numFmtId="0" fontId="11" fillId="2" borderId="12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/>
    </xf>
    <xf numFmtId="188" fontId="12" fillId="2" borderId="5" xfId="0" applyNumberFormat="1" applyFont="1" applyFill="1" applyBorder="1" applyAlignment="1">
      <alignment horizontal="left" vertical="top" wrapText="1"/>
    </xf>
    <xf numFmtId="14" fontId="12" fillId="2" borderId="5" xfId="0" applyNumberFormat="1" applyFont="1" applyFill="1" applyBorder="1" applyAlignment="1">
      <alignment horizontal="left" vertical="top" wrapText="1"/>
    </xf>
    <xf numFmtId="190" fontId="13" fillId="2" borderId="2" xfId="0" applyNumberFormat="1" applyFont="1" applyFill="1" applyBorder="1" applyAlignment="1">
      <alignment horizontal="left" readingOrder="1"/>
    </xf>
    <xf numFmtId="187" fontId="12" fillId="2" borderId="5" xfId="1" applyNumberFormat="1" applyFont="1" applyFill="1" applyBorder="1" applyAlignment="1">
      <alignment horizontal="left" vertical="top"/>
    </xf>
    <xf numFmtId="0" fontId="12" fillId="2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top"/>
    </xf>
    <xf numFmtId="188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/>
    </xf>
    <xf numFmtId="187" fontId="12" fillId="2" borderId="2" xfId="1" applyNumberFormat="1" applyFont="1" applyFill="1" applyBorder="1" applyAlignment="1">
      <alignment horizontal="left" vertical="top"/>
    </xf>
    <xf numFmtId="0" fontId="12" fillId="2" borderId="4" xfId="0" applyFont="1" applyFill="1" applyBorder="1" applyAlignment="1">
      <alignment horizontal="left" vertical="top"/>
    </xf>
    <xf numFmtId="0" fontId="12" fillId="2" borderId="3" xfId="0" applyFont="1" applyFill="1" applyBorder="1" applyAlignment="1">
      <alignment horizontal="left" vertical="top"/>
    </xf>
    <xf numFmtId="187" fontId="12" fillId="2" borderId="7" xfId="1" applyNumberFormat="1" applyFont="1" applyFill="1" applyBorder="1" applyAlignment="1">
      <alignment horizontal="left" vertical="top"/>
    </xf>
    <xf numFmtId="187" fontId="12" fillId="2" borderId="4" xfId="1" applyNumberFormat="1" applyFont="1" applyFill="1" applyBorder="1" applyAlignment="1">
      <alignment horizontal="left" vertical="top"/>
    </xf>
    <xf numFmtId="0" fontId="6" fillId="2" borderId="4" xfId="2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 wrapText="1"/>
    </xf>
    <xf numFmtId="188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/>
    </xf>
    <xf numFmtId="187" fontId="12" fillId="2" borderId="6" xfId="1" applyNumberFormat="1" applyFont="1" applyFill="1" applyBorder="1" applyAlignment="1">
      <alignment horizontal="left" vertical="top"/>
    </xf>
    <xf numFmtId="0" fontId="12" fillId="2" borderId="7" xfId="0" applyFont="1" applyFill="1" applyBorder="1" applyAlignment="1">
      <alignment horizontal="left" vertical="top"/>
    </xf>
    <xf numFmtId="0" fontId="10" fillId="2" borderId="7" xfId="2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vertical="center"/>
    </xf>
    <xf numFmtId="14" fontId="11" fillId="2" borderId="9" xfId="0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left" vertical="top" wrapText="1"/>
    </xf>
    <xf numFmtId="190" fontId="11" fillId="7" borderId="9" xfId="0" applyNumberFormat="1" applyFont="1" applyFill="1" applyBorder="1" applyAlignment="1">
      <alignment horizontal="left" vertical="top" wrapText="1"/>
    </xf>
    <xf numFmtId="188" fontId="11" fillId="7" borderId="9" xfId="0" applyNumberFormat="1" applyFont="1" applyFill="1" applyBorder="1" applyAlignment="1">
      <alignment horizontal="left" vertical="top"/>
    </xf>
    <xf numFmtId="190" fontId="11" fillId="7" borderId="9" xfId="0" applyNumberFormat="1" applyFont="1" applyFill="1" applyBorder="1" applyAlignment="1">
      <alignment horizontal="left" vertical="top"/>
    </xf>
    <xf numFmtId="14" fontId="11" fillId="7" borderId="9" xfId="0" applyNumberFormat="1" applyFont="1" applyFill="1" applyBorder="1" applyAlignment="1">
      <alignment horizontal="left" vertical="top" wrapText="1"/>
    </xf>
    <xf numFmtId="187" fontId="11" fillId="7" borderId="9" xfId="1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top"/>
    </xf>
    <xf numFmtId="0" fontId="11" fillId="7" borderId="12" xfId="0" applyFont="1" applyFill="1" applyBorder="1" applyAlignment="1">
      <alignment horizontal="left" vertical="top"/>
    </xf>
    <xf numFmtId="0" fontId="11" fillId="7" borderId="0" xfId="0" applyFont="1" applyFill="1" applyAlignment="1">
      <alignment horizontal="left" vertical="top"/>
    </xf>
    <xf numFmtId="189" fontId="13" fillId="2" borderId="2" xfId="0" applyNumberFormat="1" applyFont="1" applyFill="1" applyBorder="1" applyAlignment="1">
      <alignment horizontal="left" readingOrder="1"/>
    </xf>
    <xf numFmtId="14" fontId="13" fillId="2" borderId="2" xfId="0" applyNumberFormat="1" applyFont="1" applyFill="1" applyBorder="1" applyAlignment="1">
      <alignment horizontal="left" readingOrder="1"/>
    </xf>
    <xf numFmtId="0" fontId="14" fillId="0" borderId="1" xfId="0" applyFont="1" applyBorder="1" applyAlignment="1">
      <alignment wrapText="1"/>
    </xf>
    <xf numFmtId="0" fontId="7" fillId="2" borderId="8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/>
    </xf>
    <xf numFmtId="188" fontId="7" fillId="2" borderId="6" xfId="0" applyNumberFormat="1" applyFont="1" applyFill="1" applyBorder="1" applyAlignment="1">
      <alignment horizontal="left" vertical="center" wrapText="1"/>
    </xf>
    <xf numFmtId="14" fontId="7" fillId="2" borderId="6" xfId="0" applyNumberFormat="1" applyFont="1" applyFill="1" applyBorder="1" applyAlignment="1">
      <alignment horizontal="left" vertical="center" wrapText="1"/>
    </xf>
    <xf numFmtId="190" fontId="7" fillId="2" borderId="6" xfId="0" applyNumberFormat="1" applyFont="1" applyFill="1" applyBorder="1" applyAlignment="1">
      <alignment horizontal="left" vertical="center"/>
    </xf>
    <xf numFmtId="14" fontId="7" fillId="2" borderId="6" xfId="0" applyNumberFormat="1" applyFont="1" applyFill="1" applyBorder="1" applyAlignment="1">
      <alignment horizontal="left" vertical="center"/>
    </xf>
    <xf numFmtId="187" fontId="7" fillId="2" borderId="6" xfId="1" applyNumberFormat="1" applyFont="1" applyFill="1" applyBorder="1" applyAlignment="1">
      <alignment horizontal="left" vertical="center"/>
    </xf>
    <xf numFmtId="187" fontId="7" fillId="2" borderId="7" xfId="1" applyNumberFormat="1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/>
    </xf>
    <xf numFmtId="0" fontId="6" fillId="2" borderId="20" xfId="2" applyFill="1" applyBorder="1" applyAlignment="1">
      <alignment horizontal="left" vertical="center"/>
    </xf>
    <xf numFmtId="0" fontId="7" fillId="8" borderId="6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top"/>
    </xf>
    <xf numFmtId="0" fontId="15" fillId="7" borderId="9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/>
    </xf>
    <xf numFmtId="0" fontId="16" fillId="2" borderId="6" xfId="0" applyFont="1" applyFill="1" applyBorder="1" applyAlignment="1">
      <alignment horizontal="left" vertical="top"/>
    </xf>
    <xf numFmtId="0" fontId="18" fillId="2" borderId="6" xfId="0" applyFont="1" applyFill="1" applyBorder="1" applyAlignment="1">
      <alignment horizontal="left" vertical="center"/>
    </xf>
    <xf numFmtId="0" fontId="15" fillId="2" borderId="9" xfId="0" applyFont="1" applyFill="1" applyBorder="1" applyAlignment="1">
      <alignment horizontal="left" vertical="top"/>
    </xf>
    <xf numFmtId="0" fontId="16" fillId="2" borderId="9" xfId="0" applyFont="1" applyFill="1" applyBorder="1" applyAlignment="1">
      <alignment horizontal="left" vertical="top"/>
    </xf>
    <xf numFmtId="0" fontId="17" fillId="0" borderId="9" xfId="0" applyFont="1" applyBorder="1"/>
    <xf numFmtId="0" fontId="12" fillId="2" borderId="8" xfId="0" applyFont="1" applyFill="1" applyBorder="1" applyAlignment="1">
      <alignment horizontal="left" vertical="top"/>
    </xf>
    <xf numFmtId="0" fontId="7" fillId="9" borderId="6" xfId="0" applyFont="1" applyFill="1" applyBorder="1" applyAlignment="1">
      <alignment horizontal="left" vertical="center"/>
    </xf>
    <xf numFmtId="0" fontId="20" fillId="0" borderId="25" xfId="0" applyFont="1" applyBorder="1" applyAlignment="1">
      <alignment readingOrder="1"/>
    </xf>
    <xf numFmtId="0" fontId="20" fillId="0" borderId="26" xfId="0" applyFont="1" applyBorder="1" applyAlignment="1">
      <alignment readingOrder="1"/>
    </xf>
    <xf numFmtId="0" fontId="20" fillId="0" borderId="0" xfId="0" applyFont="1"/>
    <xf numFmtId="0" fontId="20" fillId="5" borderId="27" xfId="0" applyFont="1" applyFill="1" applyBorder="1" applyAlignment="1">
      <alignment readingOrder="1"/>
    </xf>
    <xf numFmtId="0" fontId="20" fillId="11" borderId="27" xfId="0" applyFont="1" applyFill="1" applyBorder="1" applyAlignment="1">
      <alignment readingOrder="1"/>
    </xf>
    <xf numFmtId="0" fontId="20" fillId="0" borderId="28" xfId="0" applyFont="1" applyBorder="1" applyAlignment="1">
      <alignment readingOrder="1"/>
    </xf>
    <xf numFmtId="3" fontId="20" fillId="0" borderId="28" xfId="0" applyNumberFormat="1" applyFont="1" applyBorder="1" applyAlignment="1">
      <alignment readingOrder="1"/>
    </xf>
    <xf numFmtId="0" fontId="20" fillId="0" borderId="29" xfId="0" applyFont="1" applyBorder="1" applyAlignment="1">
      <alignment readingOrder="1"/>
    </xf>
    <xf numFmtId="0" fontId="20" fillId="0" borderId="11" xfId="0" applyFont="1" applyBorder="1" applyAlignment="1">
      <alignment readingOrder="1"/>
    </xf>
    <xf numFmtId="0" fontId="20" fillId="0" borderId="27" xfId="0" applyFont="1" applyBorder="1" applyAlignment="1">
      <alignment readingOrder="1"/>
    </xf>
    <xf numFmtId="4" fontId="20" fillId="0" borderId="28" xfId="0" applyNumberFormat="1" applyFont="1" applyBorder="1" applyAlignment="1">
      <alignment readingOrder="1"/>
    </xf>
    <xf numFmtId="3" fontId="20" fillId="0" borderId="27" xfId="0" applyNumberFormat="1" applyFont="1" applyBorder="1" applyAlignment="1">
      <alignment readingOrder="1"/>
    </xf>
    <xf numFmtId="0" fontId="20" fillId="12" borderId="27" xfId="0" applyFont="1" applyFill="1" applyBorder="1" applyAlignment="1">
      <alignment readingOrder="1"/>
    </xf>
    <xf numFmtId="0" fontId="20" fillId="0" borderId="31" xfId="0" applyFont="1" applyBorder="1" applyAlignment="1">
      <alignment readingOrder="1"/>
    </xf>
    <xf numFmtId="0" fontId="20" fillId="0" borderId="32" xfId="0" applyFont="1" applyBorder="1" applyAlignment="1">
      <alignment readingOrder="1"/>
    </xf>
    <xf numFmtId="0" fontId="20" fillId="0" borderId="33" xfId="0" applyFont="1" applyBorder="1" applyAlignment="1">
      <alignment readingOrder="1"/>
    </xf>
    <xf numFmtId="0" fontId="19" fillId="0" borderId="34" xfId="0" applyFont="1" applyBorder="1" applyAlignment="1">
      <alignment readingOrder="1"/>
    </xf>
    <xf numFmtId="0" fontId="21" fillId="0" borderId="25" xfId="0" applyFont="1" applyBorder="1" applyAlignment="1">
      <alignment readingOrder="1"/>
    </xf>
    <xf numFmtId="0" fontId="21" fillId="0" borderId="26" xfId="0" applyFont="1" applyBorder="1" applyAlignment="1">
      <alignment readingOrder="1"/>
    </xf>
    <xf numFmtId="0" fontId="21" fillId="0" borderId="31" xfId="0" applyFont="1" applyBorder="1" applyAlignment="1">
      <alignment readingOrder="1"/>
    </xf>
    <xf numFmtId="0" fontId="21" fillId="0" borderId="28" xfId="0" applyFont="1" applyBorder="1" applyAlignment="1">
      <alignment readingOrder="1"/>
    </xf>
    <xf numFmtId="0" fontId="21" fillId="0" borderId="29" xfId="0" applyFont="1" applyBorder="1" applyAlignment="1">
      <alignment readingOrder="1"/>
    </xf>
    <xf numFmtId="0" fontId="21" fillId="0" borderId="32" xfId="0" applyFont="1" applyBorder="1" applyAlignment="1">
      <alignment readingOrder="1"/>
    </xf>
    <xf numFmtId="0" fontId="21" fillId="0" borderId="33" xfId="0" applyFont="1" applyBorder="1" applyAlignment="1">
      <alignment readingOrder="1"/>
    </xf>
    <xf numFmtId="0" fontId="21" fillId="0" borderId="27" xfId="0" applyFont="1" applyBorder="1" applyAlignment="1">
      <alignment readingOrder="1"/>
    </xf>
    <xf numFmtId="0" fontId="8" fillId="2" borderId="6" xfId="0" applyFont="1" applyFill="1" applyBorder="1" applyAlignment="1">
      <alignment horizontal="left" vertical="center" wrapText="1"/>
    </xf>
    <xf numFmtId="0" fontId="20" fillId="10" borderId="23" xfId="0" applyFont="1" applyFill="1" applyBorder="1" applyAlignment="1">
      <alignment horizontal="center" readingOrder="1"/>
    </xf>
    <xf numFmtId="0" fontId="20" fillId="10" borderId="24" xfId="0" applyFont="1" applyFill="1" applyBorder="1" applyAlignment="1">
      <alignment horizontal="center" readingOrder="1"/>
    </xf>
    <xf numFmtId="0" fontId="20" fillId="10" borderId="15" xfId="0" applyFont="1" applyFill="1" applyBorder="1" applyAlignment="1">
      <alignment horizontal="center" readingOrder="1"/>
    </xf>
    <xf numFmtId="0" fontId="20" fillId="10" borderId="21" xfId="0" applyFont="1" applyFill="1" applyBorder="1" applyAlignment="1">
      <alignment readingOrder="1"/>
    </xf>
    <xf numFmtId="0" fontId="20" fillId="10" borderId="22" xfId="0" applyFont="1" applyFill="1" applyBorder="1" applyAlignment="1">
      <alignment readingOrder="1"/>
    </xf>
    <xf numFmtId="0" fontId="20" fillId="0" borderId="30" xfId="0" applyFont="1" applyBorder="1" applyAlignment="1">
      <alignment readingOrder="1"/>
    </xf>
    <xf numFmtId="0" fontId="20" fillId="0" borderId="22" xfId="0" applyFont="1" applyBorder="1" applyAlignment="1">
      <alignment readingOrder="1"/>
    </xf>
    <xf numFmtId="0" fontId="20" fillId="10" borderId="17" xfId="0" applyFont="1" applyFill="1" applyBorder="1" applyAlignment="1">
      <alignment readingOrder="1"/>
    </xf>
    <xf numFmtId="0" fontId="20" fillId="10" borderId="19" xfId="0" applyFont="1" applyFill="1" applyBorder="1" applyAlignment="1">
      <alignment readingOrder="1"/>
    </xf>
    <xf numFmtId="0" fontId="20" fillId="0" borderId="16" xfId="0" applyFont="1" applyBorder="1" applyAlignment="1">
      <alignment readingOrder="1"/>
    </xf>
    <xf numFmtId="0" fontId="20" fillId="0" borderId="18" xfId="0" applyFont="1" applyBorder="1" applyAlignment="1">
      <alignment readingOrder="1"/>
    </xf>
    <xf numFmtId="0" fontId="20" fillId="0" borderId="19" xfId="0" applyFont="1" applyBorder="1" applyAlignment="1">
      <alignment readingOrder="1"/>
    </xf>
  </cellXfs>
  <cellStyles count="3">
    <cellStyle name="Comma" xfId="1" builtinId="3"/>
    <cellStyle name="Hyperlink" xfId="2" builtinId="8"/>
    <cellStyle name="Normal" xfId="0" builtinId="0"/>
  </cellStyles>
  <dxfs count="63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8" formatCode="[$-1010000]d/m/yyyy;@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scheme val="none"/>
      </font>
      <fill>
        <patternFill patternType="solid">
          <fgColor indexed="64"/>
          <bgColor theme="5" tint="0.5999938962981048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26EEB-FDFE-42FC-817A-963B6C771FE3}" name="Master" displayName="Master" ref="A1:AI119" totalsRowShown="0" headerRowDxfId="62" dataDxfId="61" tableBorderDxfId="60">
  <autoFilter ref="A1:AI119" xr:uid="{2A626EEB-FDFE-42FC-817A-963B6C771FE3}"/>
  <tableColumns count="35">
    <tableColumn id="1" xr3:uid="{FF1CE6B1-DB01-49DC-BA43-064CD949FF4D}" name="Year" dataDxfId="59"/>
    <tableColumn id="2" xr3:uid="{7F3A3465-03B1-4D22-80CE-2DF0F09BDF7E}" name="Month" dataDxfId="58">
      <calculatedColumnFormula>IF(M2="", "", TEXT(M2, "[$-en-US]mmmm"))</calculatedColumnFormula>
    </tableColumn>
    <tableColumn id="3" xr3:uid="{A2440747-CD3B-4669-ADF2-9F1CFEF7F3CD}" name="Location" dataDxfId="57"/>
    <tableColumn id="4" xr3:uid="{3A370C0B-3F07-4F40-9C8A-74B066E4B831}" name="Position_Request" dataDxfId="56"/>
    <tableColumn id="5" xr3:uid="{EB078B5D-0D69-4818-99C8-D6E68D752B4E}" name="Position_Announce" dataDxfId="55"/>
    <tableColumn id="6" xr3:uid="{3F127422-0ABD-4AAF-8809-8BBE66B85179}" name="Division" dataDxfId="54"/>
    <tableColumn id="7" xr3:uid="{E002CC14-16CD-4A5B-9C19-21F733EBD1E4}" name="Dept" dataDxfId="53"/>
    <tableColumn id="8" xr3:uid="{29F07533-A51F-4912-9E03-6F726DBCFC9C}" name="Work Unit" dataDxfId="52"/>
    <tableColumn id="9" xr3:uid="{32FCFA25-C37A-4783-A3B2-126CAC832954}" name="Type" dataDxfId="51"/>
    <tableColumn id="10" xr3:uid="{9AD246F5-95E1-4522-997B-12E3A0B09065}" name="Memo Status" dataDxfId="50"/>
    <tableColumn id="11" xr3:uid="{2AE93E46-B5B7-4299-B18C-93970D71B544}" name="Inter/Exter" dataDxfId="49"/>
    <tableColumn id="12" xr3:uid="{7C57089A-6E18-4556-9430-87C32D050DDB}" name="Recruitment Status" dataDxfId="48"/>
    <tableColumn id="13" xr3:uid="{C2F77F35-83CD-4E36-A33E-290B84C04D98}" name="Approved_Date" dataDxfId="47"/>
    <tableColumn id="14" xr3:uid="{52AE79A9-73D6-43D5-8E9F-760888E3DE25}" name="Target_Date" dataDxfId="46">
      <calculatedColumnFormula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calculatedColumnFormula>
    </tableColumn>
    <tableColumn id="15" xr3:uid="{9D7BFBDF-A805-4573-8724-696BD4DE55FC}" name="Final Date" dataDxfId="45"/>
    <tableColumn id="16" xr3:uid="{AEF87AE4-B425-478E-B70E-5B935C739E8F}" name="Diff Date" dataDxfId="44">
      <calculatedColumnFormula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calculatedColumnFormula>
    </tableColumn>
    <tableColumn id="17" xr3:uid="{77DA1B66-9D49-4273-AF86-193D0808B330}" name="KPI" dataDxfId="43">
      <calculatedColumnFormula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calculatedColumnFormula>
    </tableColumn>
    <tableColumn id="23" xr3:uid="{F7FE7E4D-8884-4507-8915-672581B1A2EE}" name="Propose As" dataDxfId="42"/>
    <tableColumn id="18" xr3:uid="{9C93B32A-3262-498B-8E32-2D7BC990E59A}" name="ID (Being Replaced)" dataDxfId="41"/>
    <tableColumn id="19" xr3:uid="{A61748A5-F711-42D2-BB1A-6DA213D2B3AD}" name="Name (being replaced)" dataDxfId="40"/>
    <tableColumn id="21" xr3:uid="{730663BB-D195-4833-B4DA-C7592858B43E}" name="ID New Employee" dataDxfId="39"/>
    <tableColumn id="22" xr3:uid="{D1F0078F-697F-4186-991F-F3A0FEE3C762}" name="Name New Employee" dataDxfId="38"/>
    <tableColumn id="34" xr3:uid="{9EC82B84-A07C-4040-A4C3-B6A5BEE858A1}" name="Join Date" dataDxfId="37"/>
    <tableColumn id="33" xr3:uid="{F69EB419-2824-4BC1-9AAF-FC48B485B353}" name="Probation Status" dataDxfId="36"/>
    <tableColumn id="24" xr3:uid="{0A660594-4051-4127-BD9E-2C601C5CC781}" name="Start Date" dataDxfId="35"/>
    <tableColumn id="25" xr3:uid="{93F5B910-1CF2-464B-8C92-806BA9BF0DE7}" name="Recruitment Channel" dataDxfId="34"/>
    <tableColumn id="26" xr3:uid="{ADFCA5A2-EA66-4841-AA3C-3470C585FA51}" name="Remark" dataDxfId="33"/>
    <tableColumn id="28" xr3:uid="{4EA54873-5BBE-4914-8C9A-B48E9C4983D5}" name="Notes Qualification" dataDxfId="32"/>
    <tableColumn id="30" xr3:uid="{4D08EC1B-0A3A-4A94-B31A-24A8052CFC9F}" name="Applied Profile" dataDxfId="31" dataCellStyle="Comma"/>
    <tableColumn id="31" xr3:uid="{7446C0AF-09AA-4A23-82C1-17EF8B161C36}" name="First" dataDxfId="30" dataCellStyle="Comma"/>
    <tableColumn id="32" xr3:uid="{038EFFC9-6E6F-41CB-8C8A-F6B0D0F714F0}" name="Final" dataDxfId="29" dataCellStyle="Comma"/>
    <tableColumn id="38" xr3:uid="{28E86828-3972-47EE-AB17-9FE941222406}" name="Offer" dataDxfId="28" dataCellStyle="Comma"/>
    <tableColumn id="39" xr3:uid="{C672E10F-6CBC-4EBA-BFE1-BFDADEAA1116}" name="Reject Offer" dataDxfId="27" dataCellStyle="Comma"/>
    <tableColumn id="35" xr3:uid="{531E9309-515F-44A6-A2FD-1822E3AF3610}" name="hired" dataDxfId="26"/>
    <tableColumn id="37" xr3:uid="{436C193C-97DC-41B6-AE40-7FE868949069}" name="Link to Jd" dataDxfId="2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58A6E7-1F6C-4A9C-AF1C-94E69FBBAB9F}" name="Table2" displayName="Table2" ref="A1:N1048576" totalsRowShown="0" headerRowDxfId="24" dataDxfId="23">
  <autoFilter ref="A1:N1048576" xr:uid="{9C58A6E7-1F6C-4A9C-AF1C-94E69FBBAB9F}"/>
  <tableColumns count="14">
    <tableColumn id="1" xr3:uid="{C4193DF0-9CE7-4180-ABDC-36145D403167}" name="Holidays" dataDxfId="22"/>
    <tableColumn id="5" xr3:uid="{B19B46CB-5054-4CC5-A61A-8BBACDF4439F}" name="Type" dataDxfId="21"/>
    <tableColumn id="6" xr3:uid="{BC3FD27E-0D84-4B1C-9569-EF6AFA629FA1}" name="Recruit Status" dataDxfId="20"/>
    <tableColumn id="7" xr3:uid="{B272A2F8-FD98-477E-8A86-67395E430DAB}" name="Branch" dataDxfId="19"/>
    <tableColumn id="8" xr3:uid="{A720D319-55D0-4FD3-8256-6F13AE0FDC3B}" name="Prioritize" dataDxfId="18"/>
    <tableColumn id="9" xr3:uid="{472EDD7A-7457-494B-B4F2-F3384C125D45}" name="Channels" dataDxfId="17"/>
    <tableColumn id="10" xr3:uid="{1BD2545C-E119-472F-9242-F3F597824223}" name="Internal" dataDxfId="16"/>
    <tableColumn id="11" xr3:uid="{0B54F1A7-F5B4-46E2-935C-0BAD5FD0E017}" name="Probation" dataDxfId="15"/>
    <tableColumn id="12" xr3:uid="{4A889E20-3FAA-4375-A85C-ED8F79BA3E8E}" name="Memo Status" dataDxfId="14"/>
    <tableColumn id="13" xr3:uid="{552F7BC3-8053-4350-BC3A-7EA550CF9142}" name="Division2" dataDxfId="13"/>
    <tableColumn id="14" xr3:uid="{8EFA9A74-9A81-4C0C-A73D-C62F83024972}" name="Department2" dataDxfId="12"/>
    <tableColumn id="15" xr3:uid="{2146B206-AB03-439A-8BEF-22CB50E6537A}" name="Work Unit2" dataDxfId="11"/>
    <tableColumn id="2" xr3:uid="{A2285670-202B-48CF-BFBE-A59C12D7AFF5}" name="Probation Status" dataDxfId="10"/>
    <tableColumn id="3" xr3:uid="{9952BC8D-49A3-43D8-BD7E-4887BC16DFFF}" name="Column1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.jobsdb.com/job/93127572" TargetMode="External"/><Relationship Id="rId3" Type="http://schemas.openxmlformats.org/officeDocument/2006/relationships/hyperlink" Target="https://kubotagroup.sharepoint.com/:b:/r/sites/SKC-0AAFVK4bNBX3wUk9PVA/Shared%20Documents/(1)%20HRM/Recruitment/JD/Digital%20Technology/JD/Job%20Description%20-%20Software%20Developer%20-%20ABS.pdf?csf=1&amp;web=1&amp;e=zGgfQP" TargetMode="External"/><Relationship Id="rId7" Type="http://schemas.openxmlformats.org/officeDocument/2006/relationships/hyperlink" Target="https://kubotagroup.sharepoint.com/:b:/r/sites/SKC-0AAFVK4bNBX3wUk9PVA/Shared%20Documents/(1)%20HRM/Recruitment/JD/Parts/JD/JD-Strategic%20Parts%20Planning%20%26%20Localization.pdf?csf=1&amp;web=1&amp;e=PizvdD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1" Type="http://schemas.openxmlformats.org/officeDocument/2006/relationships/hyperlink" Target="https://kubotagroup.sharepoint.com/:x:/r/sites/SKC-0AAFVK4bNBX3wUk9PVA/Shared%20Documents/(1)%20HRM/Recruitment/JD/Digital%20Technology/JD/JD%20Data%20Engineer.xlsx?d=w996ce4c70e024098a9426d1ad244ae8e&amp;csf=1&amp;web=1&amp;e=wvM4TE" TargetMode="External"/><Relationship Id="rId6" Type="http://schemas.openxmlformats.org/officeDocument/2006/relationships/hyperlink" Target="https://kubotagroup.sharepoint.com/:w:/r/sites/SKC-0AAFVK4bNBX3wUk9PVA/Shared%20Documents/(1)%20HRM/Recruitment/JD/Customer%20Service/JD/JD%20SKCN%20Service%20Business%20Intelligence%20Engineer.docx?d=w276f79d7e9dc4bab8d11cd855fc35533&amp;csf=1&amp;web=1&amp;e=Q3msZO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superrecruit.jobtopgun.com/SERC?view=jobpostPreview&amp;idPosition=863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kubotagroup.sharepoint.com/:x:/r/sites/SKC-0AAFVK4bNBX3wUk9PVA/Shared%20Documents/(1)%20HRM/Recruitment/JD/Planning%20and%20Control/JD/JD%202026BudgetManagement_Accountant.xlsx?d=wd80c1a3981a544718d62c8a2c060e0a8&amp;csf=1&amp;web=1&amp;e=7as0qq" TargetMode="External"/><Relationship Id="rId9" Type="http://schemas.openxmlformats.org/officeDocument/2006/relationships/hyperlink" Target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D080-0396-428F-B39B-215D57916061}">
  <dimension ref="A1:AI119"/>
  <sheetViews>
    <sheetView workbookViewId="0">
      <pane xSplit="4" ySplit="1" topLeftCell="E112" activePane="bottomRight" state="frozen"/>
      <selection pane="topRight" activeCell="E1" sqref="E1"/>
      <selection pane="bottomLeft" activeCell="A2" sqref="A2"/>
      <selection pane="bottomRight" activeCell="E123" sqref="E123"/>
    </sheetView>
  </sheetViews>
  <sheetFormatPr defaultColWidth="14" defaultRowHeight="20.25" customHeight="1"/>
  <cols>
    <col min="1" max="1" width="9.59765625" style="78" customWidth="1"/>
    <col min="2" max="2" width="9" style="79" customWidth="1"/>
    <col min="3" max="3" width="9.59765625" style="79" customWidth="1"/>
    <col min="4" max="4" width="45.3984375" style="79" bestFit="1" customWidth="1"/>
    <col min="5" max="5" width="56.5" style="50" bestFit="1" customWidth="1"/>
    <col min="6" max="6" width="58.59765625" style="50" bestFit="1" customWidth="1"/>
    <col min="7" max="7" width="81.3984375" style="50" customWidth="1"/>
    <col min="8" max="8" width="48.09765625" style="50" bestFit="1" customWidth="1"/>
    <col min="9" max="9" width="12" style="50" bestFit="1" customWidth="1"/>
    <col min="10" max="10" width="17.69921875" style="50" bestFit="1" customWidth="1"/>
    <col min="11" max="11" width="15.3984375" style="50" bestFit="1" customWidth="1"/>
    <col min="12" max="12" width="24.09765625" style="50" bestFit="1" customWidth="1"/>
    <col min="13" max="13" width="16.19921875" style="48" bestFit="1" customWidth="1"/>
    <col min="14" max="14" width="16.69921875" style="47" bestFit="1" customWidth="1"/>
    <col min="15" max="15" width="17.3984375" style="48" bestFit="1" customWidth="1"/>
    <col min="16" max="16" width="13.3984375" style="50" bestFit="1" customWidth="1"/>
    <col min="17" max="17" width="11.09765625" style="50" bestFit="1" customWidth="1"/>
    <col min="18" max="18" width="11.09765625" style="50" customWidth="1"/>
    <col min="19" max="19" width="19.19921875" style="50" bestFit="1" customWidth="1"/>
    <col min="20" max="20" width="21.69921875" style="50" bestFit="1" customWidth="1"/>
    <col min="21" max="21" width="17.59765625" style="50" bestFit="1" customWidth="1"/>
    <col min="22" max="22" width="20.19921875" style="117" bestFit="1" customWidth="1"/>
    <col min="23" max="23" width="13.8984375" style="48" bestFit="1" customWidth="1"/>
    <col min="24" max="24" width="22.09765625" style="50" bestFit="1" customWidth="1"/>
    <col min="25" max="25" width="14.5" style="80" bestFit="1" customWidth="1"/>
    <col min="26" max="26" width="22.69921875" style="50" bestFit="1" customWidth="1"/>
    <col min="27" max="27" width="11.69921875" style="50" bestFit="1" customWidth="1"/>
    <col min="28" max="28" width="63.3984375" style="50" customWidth="1"/>
    <col min="29" max="29" width="21.5" style="49" bestFit="1" customWidth="1"/>
    <col min="30" max="30" width="9.3984375" style="49" bestFit="1" customWidth="1"/>
    <col min="31" max="31" width="9.8984375" style="49" bestFit="1" customWidth="1"/>
    <col min="32" max="32" width="10.3984375" style="49" bestFit="1" customWidth="1"/>
    <col min="33" max="33" width="17.8984375" style="49" bestFit="1" customWidth="1"/>
    <col min="34" max="34" width="9" style="50" bestFit="1" customWidth="1"/>
    <col min="35" max="35" width="40.19921875" style="51" customWidth="1"/>
    <col min="36" max="16384" width="14" style="52"/>
  </cols>
  <sheetData>
    <row r="1" spans="1:35" s="91" customFormat="1" ht="20.25" customHeight="1">
      <c r="A1" s="81" t="s">
        <v>0</v>
      </c>
      <c r="B1" s="82" t="s">
        <v>1</v>
      </c>
      <c r="C1" s="82" t="s">
        <v>2</v>
      </c>
      <c r="D1" s="82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3" t="s">
        <v>10</v>
      </c>
      <c r="L1" s="83" t="s">
        <v>11</v>
      </c>
      <c r="M1" s="84" t="s">
        <v>12</v>
      </c>
      <c r="N1" s="85" t="s">
        <v>13</v>
      </c>
      <c r="O1" s="86" t="s">
        <v>14</v>
      </c>
      <c r="P1" s="83" t="s">
        <v>15</v>
      </c>
      <c r="Q1" s="83" t="s">
        <v>16</v>
      </c>
      <c r="R1" s="83" t="s">
        <v>17</v>
      </c>
      <c r="S1" s="83" t="s">
        <v>18</v>
      </c>
      <c r="T1" s="83" t="s">
        <v>19</v>
      </c>
      <c r="U1" s="83" t="s">
        <v>20</v>
      </c>
      <c r="V1" s="111" t="s">
        <v>21</v>
      </c>
      <c r="W1" s="84" t="s">
        <v>22</v>
      </c>
      <c r="X1" s="83" t="s">
        <v>23</v>
      </c>
      <c r="Y1" s="87" t="s">
        <v>24</v>
      </c>
      <c r="Z1" s="83" t="s">
        <v>25</v>
      </c>
      <c r="AA1" s="83" t="s">
        <v>26</v>
      </c>
      <c r="AB1" s="83" t="s">
        <v>27</v>
      </c>
      <c r="AC1" s="88" t="s">
        <v>28</v>
      </c>
      <c r="AD1" s="88" t="s">
        <v>29</v>
      </c>
      <c r="AE1" s="88" t="s">
        <v>30</v>
      </c>
      <c r="AF1" s="88" t="s">
        <v>31</v>
      </c>
      <c r="AG1" s="88" t="s">
        <v>32</v>
      </c>
      <c r="AH1" s="89" t="s">
        <v>33</v>
      </c>
      <c r="AI1" s="90" t="s">
        <v>34</v>
      </c>
    </row>
    <row r="2" spans="1:35" s="9" customFormat="1" ht="41.4" customHeight="1">
      <c r="A2" s="19">
        <v>2024</v>
      </c>
      <c r="B2" s="19" t="str">
        <f t="shared" ref="B2:B33" si="0">IF(M2="",   "",   TEXT(M2,   "[$-en-US]mmm"))</f>
        <v>Feb</v>
      </c>
      <c r="C2" s="19" t="s">
        <v>35</v>
      </c>
      <c r="D2" s="19" t="s">
        <v>36</v>
      </c>
      <c r="E2" s="13" t="s">
        <v>37</v>
      </c>
      <c r="F2" s="13" t="s">
        <v>38</v>
      </c>
      <c r="G2" s="13" t="s">
        <v>39</v>
      </c>
      <c r="H2" s="13" t="s">
        <v>40</v>
      </c>
      <c r="I2" s="12" t="s">
        <v>41</v>
      </c>
      <c r="J2" s="12" t="s">
        <v>42</v>
      </c>
      <c r="K2" s="12"/>
      <c r="L2" s="12" t="s">
        <v>43</v>
      </c>
      <c r="M2" s="27">
        <v>45707</v>
      </c>
      <c r="N2" s="14">
        <f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45749</v>
      </c>
      <c r="O2" s="27">
        <v>45716</v>
      </c>
      <c r="P2" s="13">
        <f ca="1"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2" s="13" t="str">
        <f t="shared" ref="Q2:Q33" ca="1" si="1"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" s="13"/>
      <c r="S2" s="12"/>
      <c r="T2" s="12"/>
      <c r="U2" s="12"/>
      <c r="V2" s="12"/>
      <c r="W2" s="10">
        <v>45839</v>
      </c>
      <c r="X2" s="12"/>
      <c r="Y2" s="12"/>
      <c r="Z2" s="28" t="s">
        <v>44</v>
      </c>
      <c r="AA2" s="12"/>
      <c r="AB2" s="12"/>
      <c r="AC2" s="12"/>
      <c r="AD2" s="12"/>
      <c r="AE2" s="12"/>
      <c r="AF2" s="12"/>
      <c r="AG2" s="12"/>
      <c r="AH2" s="12"/>
      <c r="AI2" s="8"/>
    </row>
    <row r="3" spans="1:35" s="9" customFormat="1" ht="41.4" customHeight="1">
      <c r="A3" s="19">
        <v>2024</v>
      </c>
      <c r="B3" s="19" t="str">
        <f t="shared" si="0"/>
        <v>Apr</v>
      </c>
      <c r="C3" s="19" t="s">
        <v>45</v>
      </c>
      <c r="D3" s="19" t="s">
        <v>46</v>
      </c>
      <c r="E3" s="13" t="s">
        <v>47</v>
      </c>
      <c r="F3" s="13" t="s">
        <v>48</v>
      </c>
      <c r="G3" s="13" t="s">
        <v>49</v>
      </c>
      <c r="H3" s="13" t="s">
        <v>50</v>
      </c>
      <c r="I3" s="12" t="s">
        <v>51</v>
      </c>
      <c r="J3" s="12" t="s">
        <v>42</v>
      </c>
      <c r="K3" s="12" t="s">
        <v>52</v>
      </c>
      <c r="L3" s="12" t="s">
        <v>43</v>
      </c>
      <c r="M3" s="27">
        <v>45405</v>
      </c>
      <c r="N3" s="14">
        <f>IF(M3="",                                                                                                                                                                                                  "",
   WORKDAY(
      M3,
      IF(I3="S-Special",                                                                                                                                                                                                   45,
         IF(OR(I3="O-General",                                                                                                                                                                                                   I3="S-General"),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45468</v>
      </c>
      <c r="O3" s="27">
        <v>45814</v>
      </c>
      <c r="P3" s="13">
        <f ca="1">IF(M3="",                                                                                                                                                                                                   "",
   NETWORKDAYS(
      M3,
      IF(O3&lt;&gt;"",                                                                                                                                                                                                   O3,                                                                                                                                                                                                   TODAY()),
      Dropdown!$A$2:$A$100
   )
)</f>
        <v>294</v>
      </c>
      <c r="Q3" s="13" t="str">
        <f t="shared" ca="1" si="1"/>
        <v>OVER KPI</v>
      </c>
      <c r="R3" s="13"/>
      <c r="S3" s="12"/>
      <c r="T3" s="12"/>
      <c r="U3" s="12"/>
      <c r="V3" s="12"/>
      <c r="W3" s="10">
        <v>45839</v>
      </c>
      <c r="X3" s="12"/>
      <c r="Y3" s="12"/>
      <c r="Z3" s="29" t="s">
        <v>53</v>
      </c>
      <c r="AA3" s="12"/>
      <c r="AB3" s="12"/>
      <c r="AC3" s="12"/>
      <c r="AD3" s="12"/>
      <c r="AE3" s="12"/>
      <c r="AF3" s="12"/>
      <c r="AG3" s="12"/>
      <c r="AH3" s="12"/>
      <c r="AI3" s="8"/>
    </row>
    <row r="4" spans="1:35" s="9" customFormat="1" ht="41.4" customHeight="1">
      <c r="A4" s="19">
        <v>2024</v>
      </c>
      <c r="B4" s="19" t="str">
        <f t="shared" si="0"/>
        <v>Aug</v>
      </c>
      <c r="C4" s="19" t="s">
        <v>54</v>
      </c>
      <c r="D4" s="19" t="s">
        <v>55</v>
      </c>
      <c r="E4" s="13" t="s">
        <v>56</v>
      </c>
      <c r="F4" s="13" t="s">
        <v>54</v>
      </c>
      <c r="G4" s="13" t="s">
        <v>57</v>
      </c>
      <c r="H4" s="13" t="s">
        <v>58</v>
      </c>
      <c r="I4" s="12" t="s">
        <v>51</v>
      </c>
      <c r="J4" s="12" t="s">
        <v>42</v>
      </c>
      <c r="K4" s="12"/>
      <c r="L4" s="12" t="s">
        <v>43</v>
      </c>
      <c r="M4" s="27">
        <v>45530</v>
      </c>
      <c r="N4" s="14">
        <f>IF(M4="",                                                                                                                                                                                                  "",
   WORKDAY(
      M4,
      IF(I4="S-Special",                                                                                                                                                                                                   45,
         IF(OR(I4="O-General",                                                                                                                                                                                                   I4="S-General"),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4" s="27">
        <v>45684</v>
      </c>
      <c r="P4" s="13">
        <f ca="1">IF(M4="",                                                                                                                                                                                                   "",
   NETWORKDAYS(
      M4,
      IF(O4&lt;&gt;"",                                                                                                                                                                                                   O4,                                                                                                                                                                                                   TODAY()),
      Dropdown!$A$2:$A$100
   )
)</f>
        <v>111</v>
      </c>
      <c r="Q4" s="13" t="str">
        <f t="shared" ca="1" si="1"/>
        <v>OVER KPI</v>
      </c>
      <c r="R4" s="13"/>
      <c r="S4" s="12"/>
      <c r="T4" s="12"/>
      <c r="U4" s="12"/>
      <c r="V4" s="12"/>
      <c r="W4" s="10"/>
      <c r="X4" s="12"/>
      <c r="Y4" s="12"/>
      <c r="Z4" s="29" t="s">
        <v>53</v>
      </c>
      <c r="AA4" s="12"/>
      <c r="AB4" s="12"/>
      <c r="AC4" s="12"/>
      <c r="AD4" s="12"/>
      <c r="AE4" s="12"/>
      <c r="AF4" s="12"/>
      <c r="AG4" s="12"/>
      <c r="AH4" s="12"/>
      <c r="AI4" s="8"/>
    </row>
    <row r="5" spans="1:35" s="9" customFormat="1" ht="41.4" customHeight="1">
      <c r="A5" s="19">
        <v>2024</v>
      </c>
      <c r="B5" s="19" t="str">
        <f t="shared" si="0"/>
        <v>Aug</v>
      </c>
      <c r="C5" s="19" t="s">
        <v>35</v>
      </c>
      <c r="D5" s="19" t="s">
        <v>59</v>
      </c>
      <c r="E5" s="13" t="s">
        <v>60</v>
      </c>
      <c r="F5" s="13" t="s">
        <v>61</v>
      </c>
      <c r="G5" s="13" t="s">
        <v>62</v>
      </c>
      <c r="H5" s="13" t="s">
        <v>63</v>
      </c>
      <c r="I5" s="12" t="s">
        <v>41</v>
      </c>
      <c r="J5" s="12" t="s">
        <v>42</v>
      </c>
      <c r="K5" s="12"/>
      <c r="L5" s="12" t="s">
        <v>43</v>
      </c>
      <c r="M5" s="27">
        <v>45505</v>
      </c>
      <c r="N5" s="14">
        <f>IF(M5="",                                                                                                                                                                                                  "",
   WORKDAY(
      M5,
      IF(I5="S-Special",                                                                                                                                                                                                   45,
         IF(OR(I5="O-General",                                                                                                                                                                                                   I5="S-General"),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45547</v>
      </c>
      <c r="O5" s="27">
        <v>45575</v>
      </c>
      <c r="P5" s="13">
        <f ca="1">IF(M5="",                                                                                                                                                                                                   "",
   NETWORKDAYS(
      M5,
      IF(O5&lt;&gt;"",                                                                                                                                                                                                   O5,                                                                                                                                                                                                   TODAY()),
      Dropdown!$A$2:$A$100
   )
)</f>
        <v>51</v>
      </c>
      <c r="Q5" s="13" t="str">
        <f t="shared" ca="1" si="1"/>
        <v>OVER KPI</v>
      </c>
      <c r="R5" s="13"/>
      <c r="S5" s="12"/>
      <c r="T5" s="12"/>
      <c r="U5" s="12"/>
      <c r="V5" s="12"/>
      <c r="W5" s="10">
        <v>45673</v>
      </c>
      <c r="X5" s="12"/>
      <c r="Y5" s="12"/>
      <c r="Z5" s="28" t="s">
        <v>53</v>
      </c>
      <c r="AA5" s="12"/>
      <c r="AB5" s="12"/>
      <c r="AC5" s="12"/>
      <c r="AD5" s="12"/>
      <c r="AE5" s="12"/>
      <c r="AF5" s="12"/>
      <c r="AG5" s="12"/>
      <c r="AH5" s="12"/>
      <c r="AI5" s="8"/>
    </row>
    <row r="6" spans="1:35" s="9" customFormat="1" ht="41.4" customHeight="1">
      <c r="A6" s="19">
        <v>2024</v>
      </c>
      <c r="B6" s="19" t="str">
        <f t="shared" si="0"/>
        <v>Aug</v>
      </c>
      <c r="C6" s="19" t="s">
        <v>35</v>
      </c>
      <c r="D6" s="19" t="s">
        <v>64</v>
      </c>
      <c r="E6" s="13" t="s">
        <v>65</v>
      </c>
      <c r="F6" s="13" t="s">
        <v>66</v>
      </c>
      <c r="G6" s="13" t="s">
        <v>67</v>
      </c>
      <c r="H6" s="13" t="s">
        <v>68</v>
      </c>
      <c r="I6" s="12" t="s">
        <v>41</v>
      </c>
      <c r="J6" s="12" t="s">
        <v>42</v>
      </c>
      <c r="K6" s="12"/>
      <c r="L6" s="12" t="s">
        <v>43</v>
      </c>
      <c r="M6" s="27">
        <v>45530</v>
      </c>
      <c r="N6" s="14">
        <f>IF(M6="",                                                                                                                                                                                                  "",
   WORKDAY(
      M6,
      IF(I6="S-Special",                                                                                                                                                                                                   45,
         IF(OR(I6="O-General",                                                                                                                                                                                                   I6="S-General"),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45572</v>
      </c>
      <c r="O6" s="27">
        <v>45649</v>
      </c>
      <c r="P6" s="13">
        <f ca="1">IF(M6="",                                                                                                                                                                                                   "",
   NETWORKDAYS(
      M6,
      IF(O6&lt;&gt;"",                                                                                                                                                                                                   O6,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6" s="13" t="str">
        <f t="shared" ca="1" si="1"/>
        <v>OVER KPI</v>
      </c>
      <c r="R6" s="13"/>
      <c r="S6" s="12"/>
      <c r="T6" s="12"/>
      <c r="U6" s="12"/>
      <c r="V6" s="12"/>
      <c r="W6" s="10"/>
      <c r="X6" s="12"/>
      <c r="Y6" s="12"/>
      <c r="Z6" s="28" t="s">
        <v>53</v>
      </c>
      <c r="AA6" s="12"/>
      <c r="AB6" s="12"/>
      <c r="AC6" s="12"/>
      <c r="AD6" s="12"/>
      <c r="AE6" s="12"/>
      <c r="AF6" s="12"/>
      <c r="AG6" s="12"/>
      <c r="AH6" s="12"/>
      <c r="AI6" s="8"/>
    </row>
    <row r="7" spans="1:35" s="9" customFormat="1" ht="41.4" customHeight="1">
      <c r="A7" s="19">
        <v>2024</v>
      </c>
      <c r="B7" s="19" t="str">
        <f t="shared" si="0"/>
        <v>Sep</v>
      </c>
      <c r="C7" s="19" t="s">
        <v>54</v>
      </c>
      <c r="D7" s="19" t="s">
        <v>69</v>
      </c>
      <c r="E7" s="13" t="s">
        <v>69</v>
      </c>
      <c r="F7" s="13" t="s">
        <v>54</v>
      </c>
      <c r="G7" s="13" t="s">
        <v>70</v>
      </c>
      <c r="H7" s="13" t="s">
        <v>71</v>
      </c>
      <c r="I7" s="12" t="s">
        <v>41</v>
      </c>
      <c r="J7" s="12" t="s">
        <v>42</v>
      </c>
      <c r="K7" s="12"/>
      <c r="L7" s="12" t="s">
        <v>43</v>
      </c>
      <c r="M7" s="27">
        <v>45552</v>
      </c>
      <c r="N7" s="14">
        <f>IF(M7="",                                                                                                                                                                                                  "",
   WORKDAY(
      M7,
      IF(I7="S-Special",                                                                                                                                                                                                   45,
         IF(OR(I7="O-General",                                                                                                                                                                                                   I7="S-General"),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7" s="27">
        <v>45742</v>
      </c>
      <c r="P7" s="13">
        <f ca="1">IF(M7="",                                                                                                                                                                                                   "",
   NETWORKDAYS(
      M7,
      IF(O7&lt;&gt;"",                                                                                                                                                                                                   O7,                                                                                                                                                                                                   TODAY()),
      Dropdown!$A$2:$A$100
   )
)</f>
        <v>137</v>
      </c>
      <c r="Q7" s="13" t="str">
        <f t="shared" ca="1" si="1"/>
        <v>OVER KPI</v>
      </c>
      <c r="R7" s="13"/>
      <c r="S7" s="12"/>
      <c r="T7" s="12"/>
      <c r="U7" s="12"/>
      <c r="V7" s="12"/>
      <c r="W7" s="10"/>
      <c r="X7" s="12"/>
      <c r="Y7" s="12"/>
      <c r="Z7" s="28" t="s">
        <v>72</v>
      </c>
      <c r="AA7" s="12"/>
      <c r="AB7" s="12"/>
      <c r="AC7" s="12"/>
      <c r="AD7" s="12"/>
      <c r="AE7" s="12"/>
      <c r="AF7" s="12"/>
      <c r="AG7" s="12"/>
      <c r="AH7" s="12"/>
      <c r="AI7" s="8"/>
    </row>
    <row r="8" spans="1:35" s="9" customFormat="1" ht="41.4" customHeight="1">
      <c r="A8" s="19">
        <v>2024</v>
      </c>
      <c r="B8" s="19" t="str">
        <f t="shared" si="0"/>
        <v>Sep</v>
      </c>
      <c r="C8" s="19" t="s">
        <v>35</v>
      </c>
      <c r="D8" s="19" t="s">
        <v>73</v>
      </c>
      <c r="E8" s="13" t="s">
        <v>74</v>
      </c>
      <c r="F8" s="13" t="s">
        <v>75</v>
      </c>
      <c r="G8" s="13" t="s">
        <v>76</v>
      </c>
      <c r="H8" s="13" t="s">
        <v>74</v>
      </c>
      <c r="I8" s="12" t="s">
        <v>41</v>
      </c>
      <c r="J8" s="12" t="s">
        <v>42</v>
      </c>
      <c r="K8" s="12" t="s">
        <v>52</v>
      </c>
      <c r="L8" s="12" t="s">
        <v>43</v>
      </c>
      <c r="M8" s="27">
        <v>45551</v>
      </c>
      <c r="N8" s="14">
        <f>IF(M8="",                                                                                                                                                                                                  "",
   WORKDAY(
      M8,
      IF(I8="S-Special",                                                                                                                                                                                                   45,
         IF(OR(I8="O-General",                                                                                                                                                                                                   I8="S-General"),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8" s="27">
        <v>45712</v>
      </c>
      <c r="P8" s="13">
        <f ca="1">IF(M8="",                                                                                                                                                                                                   "",
   NETWORKDAYS(
      M8,
      IF(O8&lt;&gt;"",                                                                                                                                                                                                   O8,                                                                                                                                                                                                   TODAY()),
      Dropdown!$A$2:$A$100
   )
)</f>
        <v>116</v>
      </c>
      <c r="Q8" s="13" t="str">
        <f t="shared" ca="1" si="1"/>
        <v>OVER KPI</v>
      </c>
      <c r="R8" s="13"/>
      <c r="S8" s="12"/>
      <c r="T8" s="12"/>
      <c r="U8" s="12"/>
      <c r="V8" s="12"/>
      <c r="W8" s="10">
        <v>45824</v>
      </c>
      <c r="X8" s="12"/>
      <c r="Y8" s="12"/>
      <c r="Z8" s="29" t="s">
        <v>44</v>
      </c>
      <c r="AA8" s="12"/>
      <c r="AB8" s="12"/>
      <c r="AC8" s="12"/>
      <c r="AD8" s="12"/>
      <c r="AE8" s="12"/>
      <c r="AF8" s="12"/>
      <c r="AG8" s="12"/>
      <c r="AH8" s="12"/>
      <c r="AI8" s="8"/>
    </row>
    <row r="9" spans="1:35" s="9" customFormat="1" ht="41.4" customHeight="1">
      <c r="A9" s="19">
        <v>2024</v>
      </c>
      <c r="B9" s="19" t="str">
        <f t="shared" si="0"/>
        <v>Sep</v>
      </c>
      <c r="C9" s="19" t="s">
        <v>35</v>
      </c>
      <c r="D9" s="19" t="s">
        <v>77</v>
      </c>
      <c r="E9" s="13" t="s">
        <v>78</v>
      </c>
      <c r="F9" s="13" t="s">
        <v>79</v>
      </c>
      <c r="G9" s="13" t="s">
        <v>80</v>
      </c>
      <c r="H9" s="13" t="s">
        <v>81</v>
      </c>
      <c r="I9" s="12" t="s">
        <v>82</v>
      </c>
      <c r="J9" s="12" t="s">
        <v>83</v>
      </c>
      <c r="K9" s="12"/>
      <c r="L9" s="12" t="s">
        <v>84</v>
      </c>
      <c r="M9" s="27">
        <v>45552</v>
      </c>
      <c r="N9" s="14">
        <f>IF(M9="",                                                                                                                                                                                                  "",
   WORKDAY(
      M9,
      IF(I9="S-Special",                                                                                                                                                                                                   45,
         IF(OR(I9="O-General",                                                                                                                                                                                                   I9="S-General"),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9" s="27">
        <v>45616</v>
      </c>
      <c r="P9" s="13">
        <f ca="1">IF(M9="",                                                                                                                                                                                                   "",
   NETWORKDAYS(
      M9,
      IF(O9&lt;&gt;"",                                                                                                                                                                                                   O9,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" s="13" t="str">
        <f t="shared" ca="1" si="1"/>
        <v>OVER KPI</v>
      </c>
      <c r="R9" s="13"/>
      <c r="S9" s="12"/>
      <c r="T9" s="12"/>
      <c r="U9" s="12"/>
      <c r="V9" s="12"/>
      <c r="W9" s="10"/>
      <c r="X9" s="12"/>
      <c r="Y9" s="12"/>
      <c r="Z9" s="29"/>
      <c r="AA9" s="12"/>
      <c r="AB9" s="12"/>
      <c r="AC9" s="12"/>
      <c r="AD9" s="12"/>
      <c r="AE9" s="12"/>
      <c r="AF9" s="12"/>
      <c r="AG9" s="12"/>
      <c r="AH9" s="12"/>
      <c r="AI9" s="8"/>
    </row>
    <row r="10" spans="1:35" s="9" customFormat="1" ht="41.4" customHeight="1">
      <c r="A10" s="19">
        <v>2024</v>
      </c>
      <c r="B10" s="19" t="str">
        <f t="shared" si="0"/>
        <v>Sep</v>
      </c>
      <c r="C10" s="19" t="s">
        <v>35</v>
      </c>
      <c r="D10" s="19" t="s">
        <v>85</v>
      </c>
      <c r="E10" s="13" t="s">
        <v>86</v>
      </c>
      <c r="F10" s="13" t="s">
        <v>87</v>
      </c>
      <c r="G10" s="13"/>
      <c r="H10" s="13" t="s">
        <v>88</v>
      </c>
      <c r="I10" s="12" t="s">
        <v>82</v>
      </c>
      <c r="J10" s="12" t="s">
        <v>42</v>
      </c>
      <c r="K10" s="12"/>
      <c r="L10" s="12" t="s">
        <v>43</v>
      </c>
      <c r="M10" s="27">
        <v>45552</v>
      </c>
      <c r="N10" s="14">
        <f>IF(M10="",                                                                                                                                                                                                  "",
   WORKDAY(
      M10,
      IF(I10="S-Special",                                                                                                                                                                                                   45,
         IF(OR(I10="O-General",                                                                                                                                                                                                   I10="S-General"),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10" s="27">
        <v>45615</v>
      </c>
      <c r="P10" s="13">
        <f ca="1">IF(M10="",                                                                                                                                                                                                   "",
   NETWORKDAYS(
      M10,
      IF(O10&lt;&gt;"",                                                                                                                                                                                                   O10,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10" s="13" t="str">
        <f t="shared" ca="1" si="1"/>
        <v>OVER KPI</v>
      </c>
      <c r="R10" s="13"/>
      <c r="S10" s="12"/>
      <c r="T10" s="12"/>
      <c r="U10" s="12"/>
      <c r="V10" s="12"/>
      <c r="W10" s="10">
        <v>45658</v>
      </c>
      <c r="X10" s="12"/>
      <c r="Y10" s="12"/>
      <c r="Z10" s="29" t="s">
        <v>44</v>
      </c>
      <c r="AA10" s="12"/>
      <c r="AB10" s="12"/>
      <c r="AC10" s="12"/>
      <c r="AD10" s="12"/>
      <c r="AE10" s="12"/>
      <c r="AF10" s="12"/>
      <c r="AG10" s="12"/>
      <c r="AH10" s="12"/>
      <c r="AI10" s="8"/>
    </row>
    <row r="11" spans="1:35" s="9" customFormat="1" ht="41.4" customHeight="1">
      <c r="A11" s="19">
        <v>2024</v>
      </c>
      <c r="B11" s="19" t="str">
        <f t="shared" si="0"/>
        <v>Oct</v>
      </c>
      <c r="C11" s="19" t="s">
        <v>35</v>
      </c>
      <c r="D11" s="19" t="s">
        <v>46</v>
      </c>
      <c r="E11" s="13" t="s">
        <v>89</v>
      </c>
      <c r="F11" s="13" t="s">
        <v>90</v>
      </c>
      <c r="G11" s="13" t="s">
        <v>91</v>
      </c>
      <c r="H11" s="13" t="s">
        <v>92</v>
      </c>
      <c r="I11" s="12" t="s">
        <v>41</v>
      </c>
      <c r="J11" s="12" t="s">
        <v>42</v>
      </c>
      <c r="K11" s="12"/>
      <c r="L11" s="12" t="s">
        <v>43</v>
      </c>
      <c r="M11" s="27">
        <v>45587</v>
      </c>
      <c r="N11" s="14">
        <f>IF(M11="",                                                                                                                                                                                                  "",
   WORKDAY(
      M11,
      IF(I11="S-Special",                                                                                                                                                                                                   45,
         IF(OR(I11="O-General",                                                                                                                                                                                                   I11="S-General"),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1" s="27">
        <v>45649</v>
      </c>
      <c r="P11" s="13">
        <f ca="1">IF(M11="",                                                                                                                                                                                                   "",
   NETWORKDAYS(
      M11,
      IF(O11&lt;&gt;"",                                                                                                                                                                                                   O11,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" s="13" t="str">
        <f t="shared" ca="1" si="1"/>
        <v>OVER KPI</v>
      </c>
      <c r="R11" s="13"/>
      <c r="S11" s="12"/>
      <c r="T11" s="12"/>
      <c r="U11" s="12"/>
      <c r="V11" s="12"/>
      <c r="W11" s="10">
        <v>45704</v>
      </c>
      <c r="X11" s="12"/>
      <c r="Y11" s="12"/>
      <c r="Z11" s="29" t="s">
        <v>53</v>
      </c>
      <c r="AA11" s="12"/>
      <c r="AB11" s="12"/>
      <c r="AC11" s="12"/>
      <c r="AD11" s="12"/>
      <c r="AE11" s="12"/>
      <c r="AF11" s="12"/>
      <c r="AG11" s="12"/>
      <c r="AH11" s="12"/>
      <c r="AI11" s="8"/>
    </row>
    <row r="12" spans="1:35" s="9" customFormat="1" ht="41.4" customHeight="1">
      <c r="A12" s="19">
        <v>2024</v>
      </c>
      <c r="B12" s="19" t="str">
        <f t="shared" si="0"/>
        <v>Oct</v>
      </c>
      <c r="C12" s="19" t="s">
        <v>35</v>
      </c>
      <c r="D12" s="19" t="s">
        <v>59</v>
      </c>
      <c r="E12" s="13" t="s">
        <v>59</v>
      </c>
      <c r="F12" s="13" t="s">
        <v>61</v>
      </c>
      <c r="G12" s="13" t="s">
        <v>62</v>
      </c>
      <c r="H12" s="13" t="s">
        <v>63</v>
      </c>
      <c r="I12" s="12" t="s">
        <v>41</v>
      </c>
      <c r="J12" s="12" t="s">
        <v>42</v>
      </c>
      <c r="K12" s="12"/>
      <c r="L12" s="12" t="s">
        <v>43</v>
      </c>
      <c r="M12" s="27">
        <v>45566</v>
      </c>
      <c r="N12" s="14">
        <f>IF(M12="",                                                                                                                                                                                                  "",
   WORKDAY(
      M12,
      IF(I12="S-Special",                                                                                                                                                                                                   45,
         IF(OR(I12="O-General",                                                                                                                                                                                                   I12="S-General"),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45608</v>
      </c>
      <c r="O12" s="27">
        <v>45622</v>
      </c>
      <c r="P12" s="13">
        <f ca="1">IF(M12="",                                                                                                                                                                                                   "",
   NETWORKDAYS(
      M12,
      IF(O12&lt;&gt;"",                                                                                                                                                                                                   O12,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12" s="13" t="str">
        <f t="shared" ca="1" si="1"/>
        <v>OVER KPI</v>
      </c>
      <c r="R12" s="13"/>
      <c r="S12" s="12"/>
      <c r="T12" s="12"/>
      <c r="U12" s="12"/>
      <c r="V12" s="12"/>
      <c r="W12" s="10"/>
      <c r="X12" s="12"/>
      <c r="Y12" s="12"/>
      <c r="Z12" s="28" t="s">
        <v>53</v>
      </c>
      <c r="AA12" s="12"/>
      <c r="AB12" s="12"/>
      <c r="AC12" s="12"/>
      <c r="AD12" s="12"/>
      <c r="AE12" s="12"/>
      <c r="AF12" s="12"/>
      <c r="AG12" s="12"/>
      <c r="AH12" s="12"/>
      <c r="AI12" s="8"/>
    </row>
    <row r="13" spans="1:35" s="9" customFormat="1" ht="41.4" customHeight="1">
      <c r="A13" s="19">
        <v>2024</v>
      </c>
      <c r="B13" s="19" t="str">
        <f t="shared" si="0"/>
        <v>Oct</v>
      </c>
      <c r="C13" s="19" t="s">
        <v>35</v>
      </c>
      <c r="D13" s="19" t="s">
        <v>46</v>
      </c>
      <c r="E13" s="13" t="s">
        <v>93</v>
      </c>
      <c r="F13" s="13" t="s">
        <v>61</v>
      </c>
      <c r="G13" s="13" t="s">
        <v>94</v>
      </c>
      <c r="H13" s="13" t="s">
        <v>95</v>
      </c>
      <c r="I13" s="12" t="s">
        <v>41</v>
      </c>
      <c r="J13" s="12" t="s">
        <v>42</v>
      </c>
      <c r="K13" s="12"/>
      <c r="L13" s="12" t="s">
        <v>43</v>
      </c>
      <c r="M13" s="27">
        <v>45587</v>
      </c>
      <c r="N13" s="14">
        <f>IF(M13="",                                                                                                                                                                                                  "",
   WORKDAY(
      M13,
      IF(I13="S-Special",                                                                                                                                                                                                   45,
         IF(OR(I13="O-General",                                                                                                                                                                                                   I13="S-General"),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3" s="27">
        <v>45700</v>
      </c>
      <c r="P13" s="13">
        <f ca="1">IF(M13="",                                                                                                                                                                                                   "",
   NETWORKDAYS(
      M13,
      IF(O13&lt;&gt;"",                                                                                                                                                                                                   O13,                                                                                                                                                                                                   TODAY()),
      Dropdown!$A$2:$A$100
   )
)</f>
        <v>82</v>
      </c>
      <c r="Q13" s="13" t="str">
        <f t="shared" ca="1" si="1"/>
        <v>OVER KPI</v>
      </c>
      <c r="R13" s="13"/>
      <c r="S13" s="12"/>
      <c r="T13" s="12"/>
      <c r="U13" s="12"/>
      <c r="V13" s="12"/>
      <c r="W13" s="10">
        <v>45717</v>
      </c>
      <c r="X13" s="12"/>
      <c r="Y13" s="12"/>
      <c r="Z13" s="28" t="s">
        <v>53</v>
      </c>
      <c r="AA13" s="12"/>
      <c r="AB13" s="12"/>
      <c r="AC13" s="12"/>
      <c r="AD13" s="12"/>
      <c r="AE13" s="12"/>
      <c r="AF13" s="12"/>
      <c r="AG13" s="12"/>
      <c r="AH13" s="12"/>
      <c r="AI13" s="8"/>
    </row>
    <row r="14" spans="1:35" s="9" customFormat="1" ht="41.4" customHeight="1">
      <c r="A14" s="19">
        <v>2024</v>
      </c>
      <c r="B14" s="19" t="str">
        <f t="shared" si="0"/>
        <v>Nov</v>
      </c>
      <c r="C14" s="19" t="s">
        <v>35</v>
      </c>
      <c r="D14" s="19" t="s">
        <v>96</v>
      </c>
      <c r="E14" s="13" t="s">
        <v>96</v>
      </c>
      <c r="F14" s="13" t="s">
        <v>48</v>
      </c>
      <c r="G14" s="13" t="s">
        <v>97</v>
      </c>
      <c r="H14" s="13" t="s">
        <v>98</v>
      </c>
      <c r="I14" s="12" t="s">
        <v>51</v>
      </c>
      <c r="J14" s="12" t="s">
        <v>42</v>
      </c>
      <c r="K14" s="12"/>
      <c r="L14" s="12" t="s">
        <v>43</v>
      </c>
      <c r="M14" s="27">
        <v>45616</v>
      </c>
      <c r="N14" s="14">
        <f>IF(M14="",                                                                                                                                                                                                  "",
   WORKDAY(
      M14,
      IF(I14="S-Special",                                                                                                                                                                                                   45,
         IF(OR(I14="O-General",                                                                                                                                                                                                   I14="S-General"),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45679</v>
      </c>
      <c r="O14" s="27">
        <v>45793</v>
      </c>
      <c r="P14" s="13">
        <f ca="1">IF(M14="",                                                                                                                                                                                                   "",
   NETWORKDAYS(
      M14,
      IF(O14&lt;&gt;"",                                                                                                                                                                                                   O14,                                                                                                                                                                                                   TODAY()),
      Dropdown!$A$2:$A$100
   )
)</f>
        <v>128</v>
      </c>
      <c r="Q14" s="13" t="str">
        <f t="shared" ca="1" si="1"/>
        <v>OVER KPI</v>
      </c>
      <c r="R14" s="13"/>
      <c r="S14" s="12"/>
      <c r="T14" s="12"/>
      <c r="U14" s="12"/>
      <c r="V14" s="12"/>
      <c r="W14" s="10">
        <v>45839</v>
      </c>
      <c r="X14" s="12"/>
      <c r="Y14" s="12"/>
      <c r="Z14" s="28" t="s">
        <v>53</v>
      </c>
      <c r="AA14" s="12"/>
      <c r="AB14" s="12"/>
      <c r="AC14" s="12"/>
      <c r="AD14" s="12"/>
      <c r="AE14" s="12"/>
      <c r="AF14" s="12"/>
      <c r="AG14" s="12"/>
      <c r="AH14" s="12"/>
      <c r="AI14" s="8"/>
    </row>
    <row r="15" spans="1:35" s="9" customFormat="1" ht="41.4" customHeight="1">
      <c r="A15" s="19">
        <v>2024</v>
      </c>
      <c r="B15" s="19" t="str">
        <f t="shared" si="0"/>
        <v>Nov</v>
      </c>
      <c r="C15" s="19" t="s">
        <v>35</v>
      </c>
      <c r="D15" s="19" t="s">
        <v>85</v>
      </c>
      <c r="E15" s="13" t="s">
        <v>86</v>
      </c>
      <c r="F15" s="13" t="s">
        <v>87</v>
      </c>
      <c r="G15" s="13" t="s">
        <v>99</v>
      </c>
      <c r="H15" s="13"/>
      <c r="I15" s="12" t="s">
        <v>41</v>
      </c>
      <c r="J15" s="12" t="s">
        <v>42</v>
      </c>
      <c r="K15" s="12"/>
      <c r="L15" s="12" t="s">
        <v>43</v>
      </c>
      <c r="M15" s="27">
        <v>45616</v>
      </c>
      <c r="N15" s="14">
        <f>IF(M15="",                                                                                                                                                                                                  "",
   WORKDAY(
      M15,
      IF(I15="S-Special",                                                                                                                                                                                                   45,
         IF(OR(I15="O-General",                                                                                                                                                                                                   I15="S-General"),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45658</v>
      </c>
      <c r="O15" s="27">
        <v>45597</v>
      </c>
      <c r="P15" s="13">
        <f ca="1">IF(M15="",                                                                                                                                                                                                   "",
   NETWORKDAYS(
      M15,
      IF(O15&lt;&gt;"",                                                                                                                                                                                                   O15,                                                                                                                                                                                                   TODAY()),
      Dropdown!$A$2:$A$100
   )
)</f>
        <v>-14</v>
      </c>
      <c r="Q15" s="13" t="str">
        <f t="shared" ca="1" si="1"/>
        <v>ON KPI</v>
      </c>
      <c r="R15" s="13"/>
      <c r="S15" s="12"/>
      <c r="T15" s="12"/>
      <c r="U15" s="12"/>
      <c r="V15" s="12"/>
      <c r="W15" s="10">
        <v>45658</v>
      </c>
      <c r="X15" s="12"/>
      <c r="Y15" s="12"/>
      <c r="Z15" s="28" t="s">
        <v>53</v>
      </c>
      <c r="AA15" s="12"/>
      <c r="AB15" s="12"/>
      <c r="AC15" s="12"/>
      <c r="AD15" s="12"/>
      <c r="AE15" s="12"/>
      <c r="AF15" s="12"/>
      <c r="AG15" s="12"/>
      <c r="AH15" s="12"/>
      <c r="AI15" s="8"/>
    </row>
    <row r="16" spans="1:35" s="9" customFormat="1" ht="41.4" customHeight="1">
      <c r="A16" s="19">
        <v>2024</v>
      </c>
      <c r="B16" s="19" t="str">
        <f t="shared" si="0"/>
        <v>Dec</v>
      </c>
      <c r="C16" s="19" t="s">
        <v>35</v>
      </c>
      <c r="D16" s="19" t="s">
        <v>46</v>
      </c>
      <c r="E16" s="13" t="s">
        <v>100</v>
      </c>
      <c r="F16" s="13" t="s">
        <v>38</v>
      </c>
      <c r="G16" s="13" t="s">
        <v>101</v>
      </c>
      <c r="H16" s="13" t="s">
        <v>102</v>
      </c>
      <c r="I16" s="12" t="s">
        <v>41</v>
      </c>
      <c r="J16" s="12" t="s">
        <v>42</v>
      </c>
      <c r="K16" s="12" t="s">
        <v>52</v>
      </c>
      <c r="L16" s="12" t="s">
        <v>43</v>
      </c>
      <c r="M16" s="27">
        <v>45650</v>
      </c>
      <c r="N16" s="14">
        <f>IF(M16="",                                                                                                                                                                                                  "",
   WORKDAY(
      M16,
      IF(I16="S-Special",                                                                                                                                                                                                   45,
         IF(OR(I16="O-General",                                                                                                                                                                                                   I16="S-General"),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6" s="27">
        <v>45684</v>
      </c>
      <c r="P16" s="13">
        <f ca="1">IF(M16="",                                                                                                                                                                                                   "",
   NETWORKDAYS(
      M16,
      IF(O16&lt;&gt;"",                                                                                                                                                                                                   O16,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6" s="13" t="str">
        <f t="shared" ca="1" si="1"/>
        <v>ON KPI</v>
      </c>
      <c r="R16" s="13"/>
      <c r="S16" s="12"/>
      <c r="T16" s="12"/>
      <c r="U16" s="12"/>
      <c r="V16" s="12"/>
      <c r="W16" s="10"/>
      <c r="X16" s="12"/>
      <c r="Y16" s="12"/>
      <c r="Z16" s="29" t="s">
        <v>53</v>
      </c>
      <c r="AA16" s="12"/>
      <c r="AB16" s="12"/>
      <c r="AC16" s="12"/>
      <c r="AD16" s="12"/>
      <c r="AE16" s="12"/>
      <c r="AF16" s="12"/>
      <c r="AG16" s="12"/>
      <c r="AH16" s="12"/>
      <c r="AI16" s="8"/>
    </row>
    <row r="17" spans="1:35" s="9" customFormat="1" ht="41.4" customHeight="1">
      <c r="A17" s="19">
        <v>2024</v>
      </c>
      <c r="B17" s="19" t="str">
        <f t="shared" si="0"/>
        <v>Dec</v>
      </c>
      <c r="C17" s="19" t="s">
        <v>35</v>
      </c>
      <c r="D17" s="19" t="s">
        <v>103</v>
      </c>
      <c r="E17" s="13" t="s">
        <v>103</v>
      </c>
      <c r="F17" s="13" t="s">
        <v>61</v>
      </c>
      <c r="G17" s="13" t="s">
        <v>104</v>
      </c>
      <c r="H17" s="13"/>
      <c r="I17" s="12" t="s">
        <v>41</v>
      </c>
      <c r="J17" s="12" t="s">
        <v>42</v>
      </c>
      <c r="K17" s="12"/>
      <c r="L17" s="12" t="s">
        <v>43</v>
      </c>
      <c r="M17" s="27">
        <v>45650</v>
      </c>
      <c r="N17" s="14">
        <f>IF(M17="",                                                                                                                                                                                                  "",
   WORKDAY(
      M17,
      IF(I17="S-Special",                                                                                                                                                                                                   45,
         IF(OR(I17="O-General",                                                                                                                                                                                                   I17="S-General"),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7" s="27">
        <v>45650</v>
      </c>
      <c r="P17" s="13">
        <f ca="1">IF(M17="",                                                                                                                                                                                                   "",
   NETWORKDAYS(
      M17,
      IF(O17&lt;&gt;"",                                                                                                                                                                                                   O17,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7" s="13" t="str">
        <f t="shared" ca="1" si="1"/>
        <v>ON KPI</v>
      </c>
      <c r="R17" s="13"/>
      <c r="S17" s="12"/>
      <c r="T17" s="12"/>
      <c r="U17" s="12"/>
      <c r="V17" s="12"/>
      <c r="W17" s="10">
        <v>45673</v>
      </c>
      <c r="X17" s="12"/>
      <c r="Y17" s="12"/>
      <c r="Z17" s="28" t="s">
        <v>53</v>
      </c>
      <c r="AA17" s="12"/>
      <c r="AB17" s="12"/>
      <c r="AC17" s="12"/>
      <c r="AD17" s="12"/>
      <c r="AE17" s="12"/>
      <c r="AF17" s="12"/>
      <c r="AG17" s="12"/>
      <c r="AH17" s="12"/>
      <c r="AI17" s="8"/>
    </row>
    <row r="18" spans="1:35" s="9" customFormat="1" ht="41.4" customHeight="1">
      <c r="A18" s="19">
        <v>2024</v>
      </c>
      <c r="B18" s="19" t="str">
        <f t="shared" si="0"/>
        <v>Dec</v>
      </c>
      <c r="C18" s="19" t="s">
        <v>35</v>
      </c>
      <c r="D18" s="19" t="s">
        <v>46</v>
      </c>
      <c r="E18" s="13" t="s">
        <v>105</v>
      </c>
      <c r="F18" s="13" t="s">
        <v>87</v>
      </c>
      <c r="G18" s="13" t="s">
        <v>106</v>
      </c>
      <c r="H18" s="13" t="s">
        <v>107</v>
      </c>
      <c r="I18" s="12" t="s">
        <v>41</v>
      </c>
      <c r="J18" s="12" t="s">
        <v>42</v>
      </c>
      <c r="K18" s="12" t="s">
        <v>52</v>
      </c>
      <c r="L18" s="12" t="s">
        <v>43</v>
      </c>
      <c r="M18" s="27">
        <v>45652</v>
      </c>
      <c r="N18" s="14">
        <f>IF(M18="",                                                                                                                                                                                                  "",
   WORKDAY(
      M18,
      IF(I18="S-Special",                                                                                                                                                                                                   45,
         IF(OR(I18="O-General",                                                                                                                                                                                                   I18="S-General"),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45694</v>
      </c>
      <c r="O18" s="27">
        <v>45713</v>
      </c>
      <c r="P18" s="13">
        <f ca="1">IF(M18="",                                                                                                                                                                                                   "",
   NETWORKDAYS(
      M18,
      IF(O18&lt;&gt;"",                                                                                                                                                                                                   O18,                                                                                                                                                                                                   TODAY()),
      Dropdown!$A$2:$A$100
   )
)</f>
        <v>44</v>
      </c>
      <c r="Q18" s="13" t="str">
        <f t="shared" ca="1" si="1"/>
        <v>OVER KPI</v>
      </c>
      <c r="R18" s="13"/>
      <c r="S18" s="12"/>
      <c r="T18" s="12"/>
      <c r="U18" s="12"/>
      <c r="V18" s="12"/>
      <c r="W18" s="10"/>
      <c r="X18" s="12"/>
      <c r="Y18" s="12"/>
      <c r="Z18" s="28" t="s">
        <v>72</v>
      </c>
      <c r="AA18" s="12"/>
      <c r="AB18" s="12"/>
      <c r="AC18" s="12"/>
      <c r="AD18" s="12"/>
      <c r="AE18" s="12"/>
      <c r="AF18" s="12"/>
      <c r="AG18" s="12"/>
      <c r="AH18" s="12"/>
      <c r="AI18" s="8"/>
    </row>
    <row r="19" spans="1:35" s="9" customFormat="1" ht="41.4" customHeight="1">
      <c r="A19" s="19">
        <v>2024</v>
      </c>
      <c r="B19" s="19" t="str">
        <f t="shared" si="0"/>
        <v>Dec</v>
      </c>
      <c r="C19" s="19" t="s">
        <v>35</v>
      </c>
      <c r="D19" s="19" t="s">
        <v>46</v>
      </c>
      <c r="E19" s="13" t="s">
        <v>108</v>
      </c>
      <c r="F19" s="13" t="s">
        <v>87</v>
      </c>
      <c r="G19" s="13" t="s">
        <v>99</v>
      </c>
      <c r="H19" s="13"/>
      <c r="I19" s="12" t="s">
        <v>41</v>
      </c>
      <c r="J19" s="12" t="s">
        <v>42</v>
      </c>
      <c r="K19" s="12" t="s">
        <v>52</v>
      </c>
      <c r="L19" s="12" t="s">
        <v>43</v>
      </c>
      <c r="M19" s="27">
        <v>45651</v>
      </c>
      <c r="N19" s="14">
        <f>IF(M19="",                                                                                                                                                                                                  "",
   WORKDAY(
      M19,
      IF(I19="S-Special",                                                                                                                                                                                                   45,
         IF(OR(I19="O-General",                                                                                                                                                                                                   I19="S-General"),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45693</v>
      </c>
      <c r="O19" s="27">
        <v>45814</v>
      </c>
      <c r="P19" s="13">
        <f ca="1">IF(M19="",                                                                                                                                                                                                   "",
   NETWORKDAYS(
      M19,
      IF(O19&lt;&gt;"",                                                                                                                                                                                                   O19,                                                                                                                                                                                                   TODAY()),
      Dropdown!$A$2:$A$100
   )
)</f>
        <v>118</v>
      </c>
      <c r="Q19" s="13" t="str">
        <f t="shared" ca="1" si="1"/>
        <v>OVER KPI</v>
      </c>
      <c r="R19" s="13"/>
      <c r="S19" s="12"/>
      <c r="T19" s="12"/>
      <c r="U19" s="12"/>
      <c r="V19" s="12"/>
      <c r="W19" s="10">
        <v>45854</v>
      </c>
      <c r="X19" s="12"/>
      <c r="Y19" s="12"/>
      <c r="Z19" s="28" t="s">
        <v>53</v>
      </c>
      <c r="AA19" s="12"/>
      <c r="AB19" s="12"/>
      <c r="AC19" s="12"/>
      <c r="AD19" s="12"/>
      <c r="AE19" s="12"/>
      <c r="AF19" s="12"/>
      <c r="AG19" s="12"/>
      <c r="AH19" s="12"/>
      <c r="AI19" s="8"/>
    </row>
    <row r="20" spans="1:35" s="9" customFormat="1" ht="41.4" customHeight="1">
      <c r="A20" s="19">
        <v>2024</v>
      </c>
      <c r="B20" s="19" t="str">
        <f t="shared" si="0"/>
        <v>Dec</v>
      </c>
      <c r="C20" s="19" t="s">
        <v>35</v>
      </c>
      <c r="D20" s="19" t="s">
        <v>109</v>
      </c>
      <c r="E20" s="13" t="s">
        <v>110</v>
      </c>
      <c r="F20" s="13" t="s">
        <v>111</v>
      </c>
      <c r="G20" s="13" t="s">
        <v>112</v>
      </c>
      <c r="H20" s="13" t="s">
        <v>113</v>
      </c>
      <c r="I20" s="12" t="s">
        <v>51</v>
      </c>
      <c r="J20" s="12" t="s">
        <v>42</v>
      </c>
      <c r="K20" s="12" t="s">
        <v>114</v>
      </c>
      <c r="L20" s="12" t="s">
        <v>43</v>
      </c>
      <c r="M20" s="27">
        <v>45649</v>
      </c>
      <c r="N20" s="14">
        <f>IF(M20="",                                                                                                                                                                                                  "",
   WORKDAY(
      M20,
      IF(I20="S-Special",                                                                                                                                                                                                   45,
         IF(OR(I20="O-General",                                                                                                                                                                                                   I20="S-General"),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45712</v>
      </c>
      <c r="O20" s="27">
        <v>45712</v>
      </c>
      <c r="P20" s="13">
        <f ca="1">IF(M20="",                                                                                                                                                                                                   "",
   NETWORKDAYS(
      M20,
      IF(O20&lt;&gt;"",                                                                                                                                                                                                   O20,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20" s="13" t="str">
        <f t="shared" ca="1" si="1"/>
        <v>OVER KPI</v>
      </c>
      <c r="R20" s="13"/>
      <c r="S20" s="12"/>
      <c r="T20" s="12"/>
      <c r="U20" s="12"/>
      <c r="V20" s="12"/>
      <c r="W20" s="10"/>
      <c r="X20" s="12"/>
      <c r="Y20" s="12"/>
      <c r="Z20" s="28" t="s">
        <v>44</v>
      </c>
      <c r="AA20" s="12"/>
      <c r="AB20" s="12"/>
      <c r="AC20" s="12"/>
      <c r="AD20" s="12"/>
      <c r="AE20" s="12"/>
      <c r="AF20" s="12"/>
      <c r="AG20" s="12"/>
      <c r="AH20" s="12"/>
      <c r="AI20" s="8"/>
    </row>
    <row r="21" spans="1:35" s="9" customFormat="1" ht="41.4" customHeight="1">
      <c r="A21" s="46">
        <v>2025</v>
      </c>
      <c r="B21" s="19" t="str">
        <f t="shared" si="0"/>
        <v>Jan</v>
      </c>
      <c r="C21" s="19" t="s">
        <v>54</v>
      </c>
      <c r="D21" s="19" t="s">
        <v>115</v>
      </c>
      <c r="E21" s="13" t="s">
        <v>116</v>
      </c>
      <c r="F21" s="13" t="s">
        <v>54</v>
      </c>
      <c r="G21" s="13" t="s">
        <v>70</v>
      </c>
      <c r="H21" s="13" t="s">
        <v>117</v>
      </c>
      <c r="I21" s="12" t="s">
        <v>82</v>
      </c>
      <c r="J21" s="12" t="s">
        <v>42</v>
      </c>
      <c r="K21" s="12" t="s">
        <v>52</v>
      </c>
      <c r="L21" s="12" t="s">
        <v>43</v>
      </c>
      <c r="M21" s="27">
        <v>45680</v>
      </c>
      <c r="N21" s="14">
        <f>IF(M21="",                                                                                                                                                                                                  "",
   WORKDAY(
      M21,
      IF(I21="S-Special",                                                                                                                                                                                                   45,
         IF(OR(I21="O-General",                                                                                                                                                                                                   I21="S-General"),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1" s="27">
        <v>45706</v>
      </c>
      <c r="P21" s="13">
        <f ca="1">IF(M21="",                                                                                                                                                                                                   "",
   NETWORKDAYS(
      M21,
      IF(O21&lt;&gt;"",                                                                                                                                                                                                   O21,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21" s="13" t="str">
        <f t="shared" ca="1" si="1"/>
        <v>ON KPI</v>
      </c>
      <c r="R21" s="13"/>
      <c r="S21" s="12"/>
      <c r="T21" s="12"/>
      <c r="U21" s="12"/>
      <c r="V21" s="12"/>
      <c r="W21" s="10"/>
      <c r="X21" s="12"/>
      <c r="Y21" s="12"/>
      <c r="Z21" s="28" t="s">
        <v>72</v>
      </c>
      <c r="AA21" s="12"/>
      <c r="AB21" s="12"/>
      <c r="AC21" s="12"/>
      <c r="AD21" s="12"/>
      <c r="AE21" s="12"/>
      <c r="AF21" s="12"/>
      <c r="AG21" s="12"/>
      <c r="AH21" s="12"/>
      <c r="AI21" s="8"/>
    </row>
    <row r="22" spans="1:35" s="9" customFormat="1" ht="41.4" customHeight="1">
      <c r="A22" s="46">
        <v>2025</v>
      </c>
      <c r="B22" s="19" t="str">
        <f t="shared" si="0"/>
        <v>Jan</v>
      </c>
      <c r="C22" s="19" t="s">
        <v>45</v>
      </c>
      <c r="D22" s="19" t="s">
        <v>46</v>
      </c>
      <c r="E22" s="13" t="s">
        <v>118</v>
      </c>
      <c r="F22" s="13" t="s">
        <v>119</v>
      </c>
      <c r="G22" s="13" t="s">
        <v>120</v>
      </c>
      <c r="H22" s="13" t="s">
        <v>121</v>
      </c>
      <c r="I22" s="12" t="s">
        <v>41</v>
      </c>
      <c r="J22" s="12" t="s">
        <v>42</v>
      </c>
      <c r="K22" s="12" t="s">
        <v>52</v>
      </c>
      <c r="L22" s="12" t="s">
        <v>43</v>
      </c>
      <c r="M22" s="27">
        <v>45677</v>
      </c>
      <c r="N22" s="14">
        <f>IF(M22="",                                                                                                                                                                                                  "",
   WORKDAY(
      M22,
      IF(I22="S-Special",                                                                                                                                                                                                   45,
         IF(OR(I22="O-General",                                                                                                                                                                                                   I22="S-General"),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45719</v>
      </c>
      <c r="O22" s="27">
        <v>45677</v>
      </c>
      <c r="P22" s="13">
        <f ca="1">IF(M22="",                                                                                                                                                                                                   "",
   NETWORKDAYS(
      M22,
      IF(O22&lt;&gt;"",                                                                                                                                                                                                   O22,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2" s="13" t="str">
        <f t="shared" ca="1" si="1"/>
        <v>ON KPI</v>
      </c>
      <c r="R22" s="13"/>
      <c r="S22" s="12"/>
      <c r="T22" s="12"/>
      <c r="U22" s="12"/>
      <c r="V22" s="12"/>
      <c r="W22" s="10">
        <v>45717</v>
      </c>
      <c r="X22" s="12"/>
      <c r="Y22" s="12"/>
      <c r="Z22" s="29" t="s">
        <v>72</v>
      </c>
      <c r="AA22" s="12"/>
      <c r="AB22" s="12"/>
      <c r="AC22" s="12"/>
      <c r="AD22" s="12"/>
      <c r="AE22" s="12"/>
      <c r="AF22" s="12"/>
      <c r="AG22" s="12"/>
      <c r="AH22" s="12"/>
      <c r="AI22" s="8"/>
    </row>
    <row r="23" spans="1:35" s="9" customFormat="1" ht="41.4" customHeight="1">
      <c r="A23" s="46">
        <v>2025</v>
      </c>
      <c r="B23" s="19" t="str">
        <f t="shared" si="0"/>
        <v>Jan</v>
      </c>
      <c r="C23" s="19" t="s">
        <v>45</v>
      </c>
      <c r="D23" s="19" t="s">
        <v>46</v>
      </c>
      <c r="E23" s="13" t="s">
        <v>122</v>
      </c>
      <c r="F23" s="13" t="s">
        <v>123</v>
      </c>
      <c r="G23" s="13" t="s">
        <v>124</v>
      </c>
      <c r="H23" s="13" t="s">
        <v>125</v>
      </c>
      <c r="I23" s="12" t="s">
        <v>41</v>
      </c>
      <c r="J23" s="12" t="s">
        <v>42</v>
      </c>
      <c r="K23" s="12" t="s">
        <v>52</v>
      </c>
      <c r="L23" s="12" t="s">
        <v>43</v>
      </c>
      <c r="M23" s="27">
        <v>45680</v>
      </c>
      <c r="N23" s="14">
        <f>IF(M23="",                                                                                                                                                                                                  "",
   WORKDAY(
      M23,
      IF(I23="S-Special",                                                                                                                                                                                                   45,
         IF(OR(I23="O-General",                                                                                                                                                                                                   I23="S-General"),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3" s="27">
        <v>45694</v>
      </c>
      <c r="P23" s="13">
        <f ca="1">IF(M23="",                                                                                                                                                                                                   "",
   NETWORKDAYS(
      M23,
      IF(O23&lt;&gt;"",                                                                                                                                                                                                   O23,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3" s="13" t="str">
        <f t="shared" ca="1" si="1"/>
        <v>ON KPI</v>
      </c>
      <c r="R23" s="13"/>
      <c r="S23" s="12"/>
      <c r="T23" s="12"/>
      <c r="U23" s="12"/>
      <c r="V23" s="12"/>
      <c r="W23" s="10">
        <v>45717</v>
      </c>
      <c r="X23" s="12"/>
      <c r="Y23" s="12"/>
      <c r="Z23" s="29" t="s">
        <v>53</v>
      </c>
      <c r="AA23" s="12"/>
      <c r="AB23" s="12"/>
      <c r="AC23" s="12"/>
      <c r="AD23" s="12"/>
      <c r="AE23" s="12"/>
      <c r="AF23" s="12"/>
      <c r="AG23" s="12"/>
      <c r="AH23" s="12"/>
      <c r="AI23" s="8"/>
    </row>
    <row r="24" spans="1:35" s="9" customFormat="1" ht="41.4" customHeight="1">
      <c r="A24" s="46">
        <v>2025</v>
      </c>
      <c r="B24" s="19" t="str">
        <f t="shared" si="0"/>
        <v>Jan</v>
      </c>
      <c r="C24" s="19" t="s">
        <v>45</v>
      </c>
      <c r="D24" s="19" t="s">
        <v>46</v>
      </c>
      <c r="E24" s="13" t="s">
        <v>126</v>
      </c>
      <c r="F24" s="13" t="s">
        <v>127</v>
      </c>
      <c r="G24" s="13" t="s">
        <v>128</v>
      </c>
      <c r="H24" s="13" t="s">
        <v>81</v>
      </c>
      <c r="I24" s="12" t="s">
        <v>41</v>
      </c>
      <c r="J24" s="12" t="s">
        <v>42</v>
      </c>
      <c r="K24" s="12" t="s">
        <v>52</v>
      </c>
      <c r="L24" s="12" t="s">
        <v>43</v>
      </c>
      <c r="M24" s="27">
        <v>45671</v>
      </c>
      <c r="N24" s="14">
        <f>IF(M24="",                                                                                                                                                                                                  "",
   WORKDAY(
      M24,
      IF(I24="S-Special",                                                                                                                                                                                                   45,
         IF(OR(I24="O-General",                                                                                                                                                                                                   I24="S-General"),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45713</v>
      </c>
      <c r="O24" s="27">
        <v>45671</v>
      </c>
      <c r="P24" s="13">
        <f ca="1">IF(M24="",                                                                                                                                                                                                   "",
   NETWORKDAYS(
      M24,
      IF(O24&lt;&gt;"",                                                                                                                                                                                                   O24,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4" s="13" t="str">
        <f t="shared" ca="1" si="1"/>
        <v>ON KPI</v>
      </c>
      <c r="R24" s="13"/>
      <c r="S24" s="12"/>
      <c r="T24" s="12"/>
      <c r="U24" s="12"/>
      <c r="V24" s="12"/>
      <c r="W24" s="10">
        <v>45704</v>
      </c>
      <c r="X24" s="12"/>
      <c r="Y24" s="12"/>
      <c r="Z24" s="28" t="s">
        <v>72</v>
      </c>
      <c r="AA24" s="12"/>
      <c r="AB24" s="12"/>
      <c r="AC24" s="12"/>
      <c r="AD24" s="12"/>
      <c r="AE24" s="12"/>
      <c r="AF24" s="12"/>
      <c r="AG24" s="12"/>
      <c r="AH24" s="12"/>
      <c r="AI24" s="8"/>
    </row>
    <row r="25" spans="1:35" s="9" customFormat="1" ht="41.4" customHeight="1">
      <c r="A25" s="46">
        <v>2025</v>
      </c>
      <c r="B25" s="19" t="str">
        <f t="shared" si="0"/>
        <v>Jan</v>
      </c>
      <c r="C25" s="19" t="s">
        <v>45</v>
      </c>
      <c r="D25" s="19" t="s">
        <v>46</v>
      </c>
      <c r="E25" s="13" t="s">
        <v>129</v>
      </c>
      <c r="F25" s="13" t="s">
        <v>127</v>
      </c>
      <c r="G25" s="13" t="s">
        <v>128</v>
      </c>
      <c r="H25" s="13" t="s">
        <v>130</v>
      </c>
      <c r="I25" s="12" t="s">
        <v>41</v>
      </c>
      <c r="J25" s="12" t="s">
        <v>42</v>
      </c>
      <c r="K25" s="12" t="s">
        <v>114</v>
      </c>
      <c r="L25" s="12" t="s">
        <v>43</v>
      </c>
      <c r="M25" s="27">
        <v>45680</v>
      </c>
      <c r="N25" s="14">
        <f>IF(M25="",                                                                                                                                                                                                  "",
   WORKDAY(
      M25,
      IF(I25="S-Special",                                                                                                                                                                                                   45,
         IF(OR(I25="O-General",                                                                                                                                                                                                   I25="S-General"),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5" s="27">
        <v>45694</v>
      </c>
      <c r="P25" s="13">
        <f ca="1">IF(M25="",                                                                                                                                                                                                   "",
   NETWORKDAYS(
      M25,
      IF(O25&lt;&gt;"",                                                                                                                                                                                                   O25,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5" s="13" t="str">
        <f t="shared" ca="1" si="1"/>
        <v>ON KPI</v>
      </c>
      <c r="R25" s="13"/>
      <c r="S25" s="12"/>
      <c r="T25" s="12"/>
      <c r="U25" s="12"/>
      <c r="V25" s="12"/>
      <c r="W25" s="10">
        <v>45717</v>
      </c>
      <c r="X25" s="12"/>
      <c r="Y25" s="12"/>
      <c r="Z25" s="28" t="s">
        <v>53</v>
      </c>
      <c r="AA25" s="12"/>
      <c r="AB25" s="12"/>
      <c r="AC25" s="12"/>
      <c r="AD25" s="12"/>
      <c r="AE25" s="12"/>
      <c r="AF25" s="12"/>
      <c r="AG25" s="12"/>
      <c r="AH25" s="12"/>
      <c r="AI25" s="8"/>
    </row>
    <row r="26" spans="1:35" s="9" customFormat="1" ht="41.4" customHeight="1">
      <c r="A26" s="46">
        <v>2025</v>
      </c>
      <c r="B26" s="19" t="str">
        <f t="shared" si="0"/>
        <v>Jan</v>
      </c>
      <c r="C26" s="19" t="s">
        <v>45</v>
      </c>
      <c r="D26" s="19" t="s">
        <v>131</v>
      </c>
      <c r="E26" s="13" t="s">
        <v>131</v>
      </c>
      <c r="F26" s="13" t="s">
        <v>127</v>
      </c>
      <c r="G26" s="13" t="s">
        <v>132</v>
      </c>
      <c r="H26" s="13" t="s">
        <v>133</v>
      </c>
      <c r="I26" s="12" t="s">
        <v>82</v>
      </c>
      <c r="J26" s="12" t="s">
        <v>42</v>
      </c>
      <c r="K26" s="12" t="s">
        <v>114</v>
      </c>
      <c r="L26" s="12" t="s">
        <v>43</v>
      </c>
      <c r="M26" s="27">
        <v>45680</v>
      </c>
      <c r="N26" s="14">
        <f>IF(M26="",                                                                                                                                                                                                  "",
   WORKDAY(
      M26,
      IF(I26="S-Special",                                                                                                                                                                                                   45,
         IF(OR(I26="O-General",                                                                                                                                                                                                   I26="S-General"),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6" s="27">
        <v>45712</v>
      </c>
      <c r="P26" s="13">
        <f ca="1">IF(M26="",                                                                                                                                                                                                   "",
   NETWORKDAYS(
      M26,
      IF(O26&lt;&gt;"",                                                                                                                                                                                                   O26,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6" s="13" t="str">
        <f t="shared" ca="1" si="1"/>
        <v>ON KPI</v>
      </c>
      <c r="R26" s="13"/>
      <c r="S26" s="12"/>
      <c r="T26" s="12"/>
      <c r="U26" s="12"/>
      <c r="V26" s="12"/>
      <c r="W26" s="10">
        <v>45748</v>
      </c>
      <c r="X26" s="12"/>
      <c r="Y26" s="12"/>
      <c r="Z26" s="29" t="s">
        <v>53</v>
      </c>
      <c r="AA26" s="12"/>
      <c r="AB26" s="12"/>
      <c r="AC26" s="12"/>
      <c r="AD26" s="12"/>
      <c r="AE26" s="12"/>
      <c r="AF26" s="12"/>
      <c r="AG26" s="12"/>
      <c r="AH26" s="12"/>
      <c r="AI26" s="8"/>
    </row>
    <row r="27" spans="1:35" s="9" customFormat="1" ht="41.4" customHeight="1">
      <c r="A27" s="46">
        <v>2025</v>
      </c>
      <c r="B27" s="19" t="str">
        <f t="shared" si="0"/>
        <v>Jan</v>
      </c>
      <c r="C27" s="19" t="s">
        <v>35</v>
      </c>
      <c r="D27" s="19" t="s">
        <v>134</v>
      </c>
      <c r="E27" s="13" t="s">
        <v>135</v>
      </c>
      <c r="F27" s="13" t="s">
        <v>38</v>
      </c>
      <c r="G27" s="13" t="s">
        <v>136</v>
      </c>
      <c r="H27" s="13" t="s">
        <v>137</v>
      </c>
      <c r="I27" s="12" t="s">
        <v>82</v>
      </c>
      <c r="J27" s="12" t="s">
        <v>42</v>
      </c>
      <c r="K27" s="12" t="s">
        <v>52</v>
      </c>
      <c r="L27" s="12" t="s">
        <v>43</v>
      </c>
      <c r="M27" s="27">
        <v>45676</v>
      </c>
      <c r="N27" s="14">
        <f>IF(M27="",                                                                                                                                                                                                  "",
   WORKDAY(
      M27,
      IF(I27="S-Special",                                                                                                                                                                                                   45,
         IF(OR(I27="O-General",                                                                                                                                                                                                   I27="S-General"),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7" s="27">
        <v>45705</v>
      </c>
      <c r="P27" s="13">
        <f ca="1">IF(M27="",                                                                                                                                                                                                   "",
   NETWORKDAYS(
      M27,
      IF(O27&lt;&gt;"",                                                                                                                                                                                                   O27,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27" s="13" t="str">
        <f t="shared" ca="1" si="1"/>
        <v>ON KPI</v>
      </c>
      <c r="R27" s="13"/>
      <c r="S27" s="12"/>
      <c r="T27" s="12"/>
      <c r="U27" s="12"/>
      <c r="V27" s="12"/>
      <c r="W27" s="10"/>
      <c r="X27" s="12"/>
      <c r="Y27" s="12"/>
      <c r="Z27" s="29" t="s">
        <v>72</v>
      </c>
      <c r="AA27" s="12"/>
      <c r="AB27" s="12"/>
      <c r="AC27" s="12"/>
      <c r="AD27" s="12"/>
      <c r="AE27" s="12"/>
      <c r="AF27" s="12"/>
      <c r="AG27" s="12"/>
      <c r="AH27" s="12"/>
      <c r="AI27" s="8"/>
    </row>
    <row r="28" spans="1:35" s="9" customFormat="1" ht="41.4" customHeight="1">
      <c r="A28" s="46">
        <v>2025</v>
      </c>
      <c r="B28" s="19" t="str">
        <f t="shared" si="0"/>
        <v>Jan</v>
      </c>
      <c r="C28" s="19" t="s">
        <v>35</v>
      </c>
      <c r="D28" s="19" t="s">
        <v>138</v>
      </c>
      <c r="E28" s="13" t="s">
        <v>138</v>
      </c>
      <c r="F28" s="13" t="s">
        <v>66</v>
      </c>
      <c r="G28" s="13" t="s">
        <v>139</v>
      </c>
      <c r="H28" s="13" t="s">
        <v>140</v>
      </c>
      <c r="I28" s="12" t="s">
        <v>41</v>
      </c>
      <c r="J28" s="12" t="s">
        <v>42</v>
      </c>
      <c r="K28" s="12" t="s">
        <v>52</v>
      </c>
      <c r="L28" s="12" t="s">
        <v>43</v>
      </c>
      <c r="M28" s="27">
        <v>45676</v>
      </c>
      <c r="N28" s="14">
        <f>IF(M28="",                                                                                                                                                                                                  "",
   WORKDAY(
      M28,
      IF(I28="S-Special",                                                                                                                                                                                                   45,
         IF(OR(I28="O-General",                                                                                                                                                                                                   I28="S-General"),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8" s="27">
        <v>45707</v>
      </c>
      <c r="P28" s="13">
        <f ca="1">IF(M28="",                                                                                                                                                                                                   "",
   NETWORKDAYS(
      M28,
      IF(O28&lt;&gt;"",                                                                                                                                                                                                   O28,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8" s="13" t="str">
        <f t="shared" ca="1" si="1"/>
        <v>ON KPI</v>
      </c>
      <c r="R28" s="13"/>
      <c r="S28" s="12"/>
      <c r="T28" s="12"/>
      <c r="U28" s="12"/>
      <c r="V28" s="12"/>
      <c r="W28" s="10">
        <v>45809</v>
      </c>
      <c r="X28" s="12"/>
      <c r="Y28" s="12"/>
      <c r="Z28" s="28" t="s">
        <v>72</v>
      </c>
      <c r="AA28" s="12"/>
      <c r="AB28" s="12"/>
      <c r="AC28" s="12"/>
      <c r="AD28" s="12"/>
      <c r="AE28" s="12"/>
      <c r="AF28" s="12"/>
      <c r="AG28" s="12"/>
      <c r="AH28" s="12"/>
      <c r="AI28" s="8"/>
    </row>
    <row r="29" spans="1:35" s="9" customFormat="1" ht="41.4" customHeight="1">
      <c r="A29" s="46">
        <v>2025</v>
      </c>
      <c r="B29" s="19" t="str">
        <f t="shared" si="0"/>
        <v>Jan</v>
      </c>
      <c r="C29" s="19" t="s">
        <v>35</v>
      </c>
      <c r="D29" s="19" t="s">
        <v>141</v>
      </c>
      <c r="E29" s="13" t="s">
        <v>141</v>
      </c>
      <c r="F29" s="13" t="s">
        <v>38</v>
      </c>
      <c r="G29" s="13" t="s">
        <v>142</v>
      </c>
      <c r="H29" s="13" t="s">
        <v>143</v>
      </c>
      <c r="I29" s="12" t="s">
        <v>82</v>
      </c>
      <c r="J29" s="12" t="s">
        <v>42</v>
      </c>
      <c r="K29" s="12" t="s">
        <v>72</v>
      </c>
      <c r="L29" s="12" t="s">
        <v>43</v>
      </c>
      <c r="M29" s="27">
        <v>45676</v>
      </c>
      <c r="N29" s="14">
        <f>IF(M29="",                                                                                                                                                                                                  "",
   WORKDAY(
      M29,
      IF(I29="S-Special",                                                                                                                                                                                                   45,
         IF(OR(I29="O-General",                                                                                                                                                                                                   I29="S-General"),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9" s="27">
        <v>45716</v>
      </c>
      <c r="P29" s="13">
        <f ca="1">IF(M29="",                                                                                                                                                                                                   "",
   NETWORKDAYS(
      M29,
      IF(O29&lt;&gt;"",                                                                                                                                                                                                   O29,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29" s="13" t="str">
        <f t="shared" ca="1" si="1"/>
        <v>ON KPI</v>
      </c>
      <c r="R29" s="13"/>
      <c r="S29" s="12"/>
      <c r="T29" s="12"/>
      <c r="U29" s="12"/>
      <c r="V29" s="12"/>
      <c r="W29" s="10"/>
      <c r="X29" s="12"/>
      <c r="Y29" s="12"/>
      <c r="Z29" s="28" t="s">
        <v>72</v>
      </c>
      <c r="AA29" s="12"/>
      <c r="AB29" s="12"/>
      <c r="AC29" s="12"/>
      <c r="AD29" s="12"/>
      <c r="AE29" s="12"/>
      <c r="AF29" s="12"/>
      <c r="AG29" s="12"/>
      <c r="AH29" s="12"/>
      <c r="AI29" s="8"/>
    </row>
    <row r="30" spans="1:35" s="9" customFormat="1" ht="41.4" customHeight="1">
      <c r="A30" s="46">
        <v>2025</v>
      </c>
      <c r="B30" s="19" t="str">
        <f t="shared" si="0"/>
        <v>Jan</v>
      </c>
      <c r="C30" s="19" t="s">
        <v>35</v>
      </c>
      <c r="D30" s="19" t="s">
        <v>46</v>
      </c>
      <c r="E30" s="13" t="s">
        <v>144</v>
      </c>
      <c r="F30" s="13" t="s">
        <v>145</v>
      </c>
      <c r="G30" s="13" t="s">
        <v>146</v>
      </c>
      <c r="H30" s="13" t="s">
        <v>147</v>
      </c>
      <c r="I30" s="12" t="s">
        <v>41</v>
      </c>
      <c r="J30" s="12" t="s">
        <v>42</v>
      </c>
      <c r="K30" s="12" t="s">
        <v>52</v>
      </c>
      <c r="L30" s="12" t="s">
        <v>43</v>
      </c>
      <c r="M30" s="27">
        <v>45676</v>
      </c>
      <c r="N30" s="14">
        <f>IF(M30="",                                                                                                                                                                                                  "",
   WORKDAY(
      M30,
      IF(I30="S-Special",                                                                                                                                                                                                   45,
         IF(OR(I30="O-General",                                                                                                                                                                                                   I30="S-General"),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0" s="27">
        <v>45702</v>
      </c>
      <c r="P30" s="13">
        <f ca="1">IF(M30="",                                                                                                                                                                                                   "",
   NETWORKDAYS(
      M30,
      IF(O30&lt;&gt;"",                                                                                                                                                                                                   O30,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0" s="13" t="str">
        <f t="shared" ca="1" si="1"/>
        <v>ON KPI</v>
      </c>
      <c r="R30" s="13"/>
      <c r="S30" s="12"/>
      <c r="T30" s="12"/>
      <c r="U30" s="12"/>
      <c r="V30" s="12"/>
      <c r="W30" s="10">
        <v>45778</v>
      </c>
      <c r="X30" s="12"/>
      <c r="Y30" s="12"/>
      <c r="Z30" s="29" t="s">
        <v>53</v>
      </c>
      <c r="AA30" s="12"/>
      <c r="AB30" s="12"/>
      <c r="AC30" s="12"/>
      <c r="AD30" s="12"/>
      <c r="AE30" s="12"/>
      <c r="AF30" s="12"/>
      <c r="AG30" s="12"/>
      <c r="AH30" s="12"/>
      <c r="AI30" s="8"/>
    </row>
    <row r="31" spans="1:35" s="9" customFormat="1" ht="41.4" customHeight="1">
      <c r="A31" s="46">
        <v>2025</v>
      </c>
      <c r="B31" s="19" t="str">
        <f t="shared" si="0"/>
        <v>Jan</v>
      </c>
      <c r="C31" s="19" t="s">
        <v>35</v>
      </c>
      <c r="D31" s="19" t="s">
        <v>46</v>
      </c>
      <c r="E31" s="13" t="s">
        <v>144</v>
      </c>
      <c r="F31" s="13" t="s">
        <v>145</v>
      </c>
      <c r="G31" s="13" t="s">
        <v>146</v>
      </c>
      <c r="H31" s="13" t="s">
        <v>147</v>
      </c>
      <c r="I31" s="12" t="s">
        <v>41</v>
      </c>
      <c r="J31" s="12" t="s">
        <v>42</v>
      </c>
      <c r="K31" s="12" t="s">
        <v>52</v>
      </c>
      <c r="L31" s="12" t="s">
        <v>43</v>
      </c>
      <c r="M31" s="27">
        <v>45676</v>
      </c>
      <c r="N31" s="14">
        <f>IF(M31="",                                                                                                                                                                                                  "",
   WORKDAY(
      M31,
      IF(I31="S-Special",                                                                                                                                                                                                   45,
         IF(OR(I31="O-General",                                                                                                                                                                                                   I31="S-General"),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1" s="27">
        <v>45702</v>
      </c>
      <c r="P31" s="13">
        <f ca="1">IF(M31="",                                                                                                                                                                                                   "",
   NETWORKDAYS(
      M31,
      IF(O31&lt;&gt;"",                                                                                                                                                                                                   O31,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1" s="13" t="str">
        <f t="shared" ca="1" si="1"/>
        <v>ON KPI</v>
      </c>
      <c r="R31" s="13"/>
      <c r="S31" s="12"/>
      <c r="T31" s="12"/>
      <c r="U31" s="12"/>
      <c r="V31" s="12"/>
      <c r="W31" s="10">
        <v>45658</v>
      </c>
      <c r="X31" s="12"/>
      <c r="Y31" s="12"/>
      <c r="Z31" s="29" t="s">
        <v>53</v>
      </c>
      <c r="AA31" s="12"/>
      <c r="AB31" s="12"/>
      <c r="AC31" s="12"/>
      <c r="AD31" s="12"/>
      <c r="AE31" s="12"/>
      <c r="AF31" s="12"/>
      <c r="AG31" s="12"/>
      <c r="AH31" s="12"/>
      <c r="AI31" s="8"/>
    </row>
    <row r="32" spans="1:35" s="9" customFormat="1" ht="41.4" customHeight="1">
      <c r="A32" s="46">
        <v>2025</v>
      </c>
      <c r="B32" s="19" t="str">
        <f t="shared" si="0"/>
        <v>Jan</v>
      </c>
      <c r="C32" s="19" t="s">
        <v>35</v>
      </c>
      <c r="D32" s="19" t="s">
        <v>148</v>
      </c>
      <c r="E32" s="13" t="s">
        <v>148</v>
      </c>
      <c r="F32" s="13" t="s">
        <v>149</v>
      </c>
      <c r="G32" s="13" t="s">
        <v>150</v>
      </c>
      <c r="H32" s="13" t="s">
        <v>69</v>
      </c>
      <c r="I32" s="12" t="s">
        <v>41</v>
      </c>
      <c r="J32" s="12" t="s">
        <v>42</v>
      </c>
      <c r="K32" s="12" t="s">
        <v>52</v>
      </c>
      <c r="L32" s="12" t="s">
        <v>43</v>
      </c>
      <c r="M32" s="27">
        <v>45676</v>
      </c>
      <c r="N32" s="14">
        <f>IF(M32="",                                                                                                                                                                                                  "",
   WORKDAY(
      M32,
      IF(I32="S-Special",                                                                                                                                                                                                   45,
         IF(OR(I32="O-General",                                                                                                                                                                                                   I32="S-General"),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2" s="27">
        <v>45814</v>
      </c>
      <c r="P32" s="13">
        <f ca="1">IF(M32="",                                                                                                                                                                                                   "",
   NETWORKDAYS(
      M32,
      IF(O32&lt;&gt;"",                                                                                                                                                                                                   O32,                                                                                                                                                                                                   TODAY()),
      Dropdown!$A$2:$A$100
   )
)</f>
        <v>100</v>
      </c>
      <c r="Q32" s="13" t="str">
        <f t="shared" ca="1" si="1"/>
        <v>OVER KPI</v>
      </c>
      <c r="R32" s="13"/>
      <c r="S32" s="12"/>
      <c r="T32" s="12"/>
      <c r="U32" s="12"/>
      <c r="V32" s="12"/>
      <c r="W32" s="10">
        <v>45870</v>
      </c>
      <c r="X32" s="12"/>
      <c r="Y32" s="12"/>
      <c r="Z32" s="29" t="s">
        <v>72</v>
      </c>
      <c r="AA32" s="12"/>
      <c r="AB32" s="12"/>
      <c r="AC32" s="12"/>
      <c r="AD32" s="12"/>
      <c r="AE32" s="12"/>
      <c r="AF32" s="12"/>
      <c r="AG32" s="12"/>
      <c r="AH32" s="12"/>
      <c r="AI32" s="8"/>
    </row>
    <row r="33" spans="1:35" s="9" customFormat="1" ht="41.4" customHeight="1">
      <c r="A33" s="46">
        <v>2025</v>
      </c>
      <c r="B33" s="19" t="str">
        <f t="shared" si="0"/>
        <v>Jan</v>
      </c>
      <c r="C33" s="19" t="s">
        <v>35</v>
      </c>
      <c r="D33" s="19" t="s">
        <v>151</v>
      </c>
      <c r="E33" s="13" t="s">
        <v>152</v>
      </c>
      <c r="F33" s="13" t="s">
        <v>66</v>
      </c>
      <c r="G33" s="13" t="s">
        <v>139</v>
      </c>
      <c r="H33" s="13" t="s">
        <v>153</v>
      </c>
      <c r="I33" s="12" t="s">
        <v>41</v>
      </c>
      <c r="J33" s="12" t="s">
        <v>42</v>
      </c>
      <c r="K33" s="12" t="s">
        <v>52</v>
      </c>
      <c r="L33" s="12" t="s">
        <v>43</v>
      </c>
      <c r="M33" s="27">
        <v>45676</v>
      </c>
      <c r="N33" s="14">
        <f>IF(M33="",                                                                                                                                                                                                  "",
   WORKDAY(
      M33,
      IF(I33="S-Special",                                                                                                                                                                                                   45,
         IF(OR(I33="O-General",                                                                                                                                                                                                   I33="S-General"),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3" s="27">
        <v>45705</v>
      </c>
      <c r="P33" s="13">
        <f ca="1">IF(M33="",                                                                                                                                                                                                   "",
   NETWORKDAYS(
      M33,
      IF(O33&lt;&gt;"",                                                                                                                                                                                                   O33,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33" s="13" t="str">
        <f t="shared" ca="1" si="1"/>
        <v>ON KPI</v>
      </c>
      <c r="R33" s="13"/>
      <c r="S33" s="12"/>
      <c r="T33" s="12"/>
      <c r="U33" s="12"/>
      <c r="V33" s="12"/>
      <c r="W33" s="10"/>
      <c r="X33" s="12"/>
      <c r="Y33" s="12"/>
      <c r="Z33" s="28" t="s">
        <v>44</v>
      </c>
      <c r="AA33" s="12"/>
      <c r="AB33" s="12"/>
      <c r="AC33" s="12"/>
      <c r="AD33" s="12"/>
      <c r="AE33" s="12"/>
      <c r="AF33" s="12"/>
      <c r="AG33" s="12"/>
      <c r="AH33" s="12"/>
      <c r="AI33" s="8"/>
    </row>
    <row r="34" spans="1:35" s="9" customFormat="1" ht="41.4" customHeight="1">
      <c r="A34" s="46">
        <v>2025</v>
      </c>
      <c r="B34" s="19" t="str">
        <f t="shared" ref="B34:B65" si="2">IF(M34="",   "",   TEXT(M34,   "[$-en-US]mmm"))</f>
        <v>Jan</v>
      </c>
      <c r="C34" s="19" t="s">
        <v>35</v>
      </c>
      <c r="D34" s="19" t="s">
        <v>154</v>
      </c>
      <c r="E34" s="13" t="s">
        <v>155</v>
      </c>
      <c r="F34" s="13" t="s">
        <v>90</v>
      </c>
      <c r="G34" s="13" t="s">
        <v>156</v>
      </c>
      <c r="H34" s="13" t="s">
        <v>157</v>
      </c>
      <c r="I34" s="12" t="s">
        <v>51</v>
      </c>
      <c r="J34" s="12" t="s">
        <v>42</v>
      </c>
      <c r="K34" s="12" t="s">
        <v>114</v>
      </c>
      <c r="L34" s="12" t="s">
        <v>43</v>
      </c>
      <c r="M34" s="27">
        <v>45676</v>
      </c>
      <c r="N34" s="14">
        <f>IF(M34="",                                                                                                                                                                                                  "",
   WORKDAY(
      M34,
      IF(I34="S-Special",                                                                                                                                                                                                   45,
         IF(OR(I34="O-General",                                                                                                                                                                                                   I34="S-General"),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4" s="27">
        <v>45810</v>
      </c>
      <c r="P34" s="13">
        <f ca="1">IF(M34="",                                                                                                                                                                                                   "",
   NETWORKDAYS(
      M34,
      IF(O34&lt;&gt;"",                                                                                                                                                                                                   O34,                                                                                                                                                                                                   TODAY()),
      Dropdown!$A$2:$A$100
   )
)</f>
        <v>96</v>
      </c>
      <c r="Q34" s="13" t="str">
        <f t="shared" ref="Q34:Q65" ca="1" si="3">IF(P34="",                                                                                                                                                                                                   "",
   IF(OR(I34="O-General",                                                                                                                                                                                                   I34="S-General"),
      IF(P34&lt;=30,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IF(I34="S-Special",
         IF(P34&lt;=45,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4" s="13"/>
      <c r="S34" s="12"/>
      <c r="T34" s="12"/>
      <c r="U34" s="12"/>
      <c r="V34" s="12"/>
      <c r="W34" s="10"/>
      <c r="X34" s="12"/>
      <c r="Y34" s="12"/>
      <c r="Z34" s="28" t="s">
        <v>53</v>
      </c>
      <c r="AA34" s="12"/>
      <c r="AB34" s="12"/>
      <c r="AC34" s="12"/>
      <c r="AD34" s="12"/>
      <c r="AE34" s="12"/>
      <c r="AF34" s="12"/>
      <c r="AG34" s="12"/>
      <c r="AH34" s="12"/>
      <c r="AI34" s="8"/>
    </row>
    <row r="35" spans="1:35" s="9" customFormat="1" ht="41.4" customHeight="1">
      <c r="A35" s="46">
        <v>2025</v>
      </c>
      <c r="B35" s="19" t="str">
        <f t="shared" si="2"/>
        <v>Jan</v>
      </c>
      <c r="C35" s="19" t="s">
        <v>35</v>
      </c>
      <c r="D35" s="19" t="s">
        <v>158</v>
      </c>
      <c r="E35" s="13" t="s">
        <v>158</v>
      </c>
      <c r="F35" s="13" t="s">
        <v>48</v>
      </c>
      <c r="G35" s="13" t="s">
        <v>97</v>
      </c>
      <c r="H35" s="13" t="s">
        <v>159</v>
      </c>
      <c r="I35" s="12" t="s">
        <v>51</v>
      </c>
      <c r="J35" s="12" t="s">
        <v>42</v>
      </c>
      <c r="K35" s="12" t="s">
        <v>114</v>
      </c>
      <c r="L35" s="12" t="s">
        <v>43</v>
      </c>
      <c r="M35" s="27">
        <v>45676</v>
      </c>
      <c r="N35" s="14">
        <f>IF(M35="",                                                                                                                                                                                                  "",
   WORKDAY(
      M35,
      IF(I35="S-Special",                                                                                                                                                                                                   45,
         IF(OR(I35="O-General",                                                                                                                                                                                                   I35="S-General"),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5" s="27">
        <v>45989</v>
      </c>
      <c r="P35" s="13">
        <f ca="1">IF(M35="",                                                                                                                                                                                                   "",
   NETWORKDAYS(
      M35,
      IF(O35&lt;&gt;"",                                                                                                                                                                                                   O35,                                                                                                                                                                                                   TODAY()),
      Dropdown!$A$2:$A$100
   )
)</f>
        <v>225</v>
      </c>
      <c r="Q35" s="13" t="str">
        <f t="shared" ca="1" si="3"/>
        <v>OVER KPI</v>
      </c>
      <c r="R35" s="13"/>
      <c r="S35" s="12"/>
      <c r="T35" s="12"/>
      <c r="U35" s="12"/>
      <c r="V35" s="12"/>
      <c r="W35" s="10">
        <v>46023</v>
      </c>
      <c r="X35" s="12"/>
      <c r="Y35" s="12"/>
      <c r="Z35" s="29" t="s">
        <v>160</v>
      </c>
      <c r="AA35" s="12"/>
      <c r="AB35" s="12"/>
      <c r="AC35" s="12"/>
      <c r="AD35" s="12"/>
      <c r="AE35" s="12"/>
      <c r="AF35" s="12"/>
      <c r="AG35" s="12"/>
      <c r="AH35" s="12"/>
      <c r="AI35" s="8"/>
    </row>
    <row r="36" spans="1:35" s="9" customFormat="1" ht="41.4" customHeight="1">
      <c r="A36" s="46">
        <v>2025</v>
      </c>
      <c r="B36" s="19" t="str">
        <f t="shared" si="2"/>
        <v>Jan</v>
      </c>
      <c r="C36" s="19" t="s">
        <v>35</v>
      </c>
      <c r="D36" s="19" t="s">
        <v>161</v>
      </c>
      <c r="E36" s="13" t="s">
        <v>162</v>
      </c>
      <c r="F36" s="13" t="s">
        <v>38</v>
      </c>
      <c r="G36" s="13" t="s">
        <v>142</v>
      </c>
      <c r="H36" s="13" t="s">
        <v>163</v>
      </c>
      <c r="I36" s="12" t="s">
        <v>82</v>
      </c>
      <c r="J36" s="12" t="s">
        <v>42</v>
      </c>
      <c r="K36" s="12" t="s">
        <v>114</v>
      </c>
      <c r="L36" s="12" t="s">
        <v>43</v>
      </c>
      <c r="M36" s="27">
        <v>45676</v>
      </c>
      <c r="N36" s="14">
        <f>IF(M36="",                                                                                                                                                                                                  "",
   WORKDAY(
      M36,
      IF(I36="S-Special",                                                                                                                                                                                                   45,
         IF(OR(I36="O-General",                                                                                                                                                                                                   I36="S-General"),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6" s="27">
        <v>45708</v>
      </c>
      <c r="P36" s="13">
        <f ca="1">IF(M36="",                                                                                                                                                                                                   "",
   NETWORKDAYS(
      M36,
      IF(O36&lt;&gt;"",                                                                                                                                                                                                   O36,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36" s="13" t="str">
        <f t="shared" ca="1" si="3"/>
        <v>ON KPI</v>
      </c>
      <c r="R36" s="13"/>
      <c r="S36" s="12"/>
      <c r="T36" s="12"/>
      <c r="U36" s="12"/>
      <c r="V36" s="12"/>
      <c r="W36" s="10">
        <v>45748</v>
      </c>
      <c r="X36" s="12"/>
      <c r="Y36" s="12"/>
      <c r="Z36" s="29" t="s">
        <v>53</v>
      </c>
      <c r="AA36" s="12"/>
      <c r="AB36" s="12"/>
      <c r="AC36" s="12"/>
      <c r="AD36" s="12"/>
      <c r="AE36" s="12"/>
      <c r="AF36" s="12"/>
      <c r="AG36" s="12"/>
      <c r="AH36" s="12"/>
      <c r="AI36" s="8"/>
    </row>
    <row r="37" spans="1:35" s="9" customFormat="1" ht="41.4" customHeight="1">
      <c r="A37" s="46">
        <v>2025</v>
      </c>
      <c r="B37" s="19" t="str">
        <f t="shared" si="2"/>
        <v>Feb</v>
      </c>
      <c r="C37" s="19" t="s">
        <v>54</v>
      </c>
      <c r="D37" s="19" t="s">
        <v>164</v>
      </c>
      <c r="E37" s="13" t="s">
        <v>165</v>
      </c>
      <c r="F37" s="13" t="s">
        <v>54</v>
      </c>
      <c r="G37" s="13" t="s">
        <v>57</v>
      </c>
      <c r="H37" s="13"/>
      <c r="I37" s="12" t="s">
        <v>51</v>
      </c>
      <c r="J37" s="12" t="s">
        <v>83</v>
      </c>
      <c r="K37" s="12" t="s">
        <v>114</v>
      </c>
      <c r="L37" s="12" t="s">
        <v>84</v>
      </c>
      <c r="M37" s="27">
        <v>45712</v>
      </c>
      <c r="N37" s="14">
        <f>IF(M37="",                                                                                                                                                                                                  "",
   WORKDAY(
      M37,
      IF(I37="S-Special",                                                                                                                                                                                                   45,
         IF(OR(I37="O-General",                                                                                                                                                                                                   I37="S-General"),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7" s="27"/>
      <c r="P37" s="13">
        <f ca="1">IF(M37="",                                                                                                                                                                                                   "",
   NETWORKDAYS(
      M37,
      IF(O37&lt;&gt;"",                                                                                                                                                                                                   O37,                                                                                                                                                                                                   TODAY()),
      Dropdown!$A$2:$A$100
   )
)</f>
        <v>361</v>
      </c>
      <c r="Q37" s="13" t="str">
        <f t="shared" ca="1" si="3"/>
        <v>OVER KPI</v>
      </c>
      <c r="R37" s="13"/>
      <c r="S37" s="12"/>
      <c r="T37" s="12"/>
      <c r="U37" s="12"/>
      <c r="V37" s="12"/>
      <c r="W37" s="10"/>
      <c r="X37" s="12"/>
      <c r="Y37" s="12"/>
      <c r="Z37" s="29"/>
      <c r="AA37" s="12"/>
      <c r="AB37" s="12"/>
      <c r="AC37" s="12"/>
      <c r="AD37" s="12"/>
      <c r="AE37" s="12"/>
      <c r="AF37" s="12"/>
      <c r="AG37" s="12"/>
      <c r="AH37" s="12"/>
      <c r="AI37" s="8"/>
    </row>
    <row r="38" spans="1:35" s="9" customFormat="1" ht="41.4" customHeight="1">
      <c r="A38" s="46">
        <v>2025</v>
      </c>
      <c r="B38" s="19" t="str">
        <f t="shared" si="2"/>
        <v>Feb</v>
      </c>
      <c r="C38" s="19" t="s">
        <v>45</v>
      </c>
      <c r="D38" s="19" t="s">
        <v>166</v>
      </c>
      <c r="E38" s="13" t="s">
        <v>166</v>
      </c>
      <c r="F38" s="13" t="s">
        <v>111</v>
      </c>
      <c r="G38" s="13" t="s">
        <v>167</v>
      </c>
      <c r="H38" s="13" t="s">
        <v>168</v>
      </c>
      <c r="I38" s="12" t="s">
        <v>51</v>
      </c>
      <c r="J38" s="12" t="s">
        <v>42</v>
      </c>
      <c r="K38" s="12" t="s">
        <v>114</v>
      </c>
      <c r="L38" s="12" t="s">
        <v>43</v>
      </c>
      <c r="M38" s="27">
        <v>45712</v>
      </c>
      <c r="N38" s="14">
        <f>IF(M38="",                                                                                                                                                                                                  "",
   WORKDAY(
      M38,
      IF(I38="S-Special",                                                                                                                                                                                                   45,
         IF(OR(I38="O-General",                                                                                                                                                                                                   I38="S-General"),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8" s="27">
        <v>45777</v>
      </c>
      <c r="P38" s="13">
        <f ca="1">IF(M38="",                                                                                                                                                                                                   "",
   NETWORKDAYS(
      M38,
      IF(O38&lt;&gt;"",                                                                                                                                                                                                   O38,                                                                                                                                                                                                   TODAY()),
      Dropdown!$A$2:$A$100
   )
)</f>
        <v>48</v>
      </c>
      <c r="Q38" s="13" t="str">
        <f t="shared" ca="1" si="3"/>
        <v>OVER KPI</v>
      </c>
      <c r="R38" s="13"/>
      <c r="S38" s="12"/>
      <c r="T38" s="12"/>
      <c r="U38" s="12"/>
      <c r="V38" s="12"/>
      <c r="W38" s="10">
        <v>45809</v>
      </c>
      <c r="X38" s="12"/>
      <c r="Y38" s="12"/>
      <c r="Z38" s="29" t="s">
        <v>53</v>
      </c>
      <c r="AA38" s="12"/>
      <c r="AB38" s="12"/>
      <c r="AC38" s="12"/>
      <c r="AD38" s="12"/>
      <c r="AE38" s="12"/>
      <c r="AF38" s="12"/>
      <c r="AG38" s="12"/>
      <c r="AH38" s="12"/>
      <c r="AI38" s="8"/>
    </row>
    <row r="39" spans="1:35" s="9" customFormat="1" ht="41.4" customHeight="1">
      <c r="A39" s="46">
        <v>2025</v>
      </c>
      <c r="B39" s="19" t="str">
        <f t="shared" si="2"/>
        <v>Feb</v>
      </c>
      <c r="C39" s="19" t="s">
        <v>45</v>
      </c>
      <c r="D39" s="19" t="s">
        <v>46</v>
      </c>
      <c r="E39" s="13" t="s">
        <v>169</v>
      </c>
      <c r="F39" s="13" t="s">
        <v>170</v>
      </c>
      <c r="G39" s="13" t="s">
        <v>171</v>
      </c>
      <c r="H39" s="13" t="s">
        <v>81</v>
      </c>
      <c r="I39" s="12" t="s">
        <v>41</v>
      </c>
      <c r="J39" s="12" t="s">
        <v>42</v>
      </c>
      <c r="K39" s="12" t="s">
        <v>52</v>
      </c>
      <c r="L39" s="12" t="s">
        <v>43</v>
      </c>
      <c r="M39" s="27">
        <v>45691</v>
      </c>
      <c r="N39" s="14">
        <f>IF(M39="",                                                                                                                                                                                                  "",
   WORKDAY(
      M39,
      IF(I39="S-Special",                                                                                                                                                                                                   45,
         IF(OR(I39="O-General",                                                                                                                                                                                                   I39="S-General"),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45733</v>
      </c>
      <c r="O39" s="27">
        <v>45736</v>
      </c>
      <c r="P39" s="13">
        <f ca="1">IF(M39="",                                                                                                                                                                                                   "",
   NETWORKDAYS(
      M39,
      IF(O39&lt;&gt;"",                                                                                                                                                                                                   O39,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39" s="13" t="str">
        <f t="shared" ca="1" si="3"/>
        <v>OVER KPI</v>
      </c>
      <c r="R39" s="13"/>
      <c r="S39" s="12"/>
      <c r="T39" s="12"/>
      <c r="U39" s="12"/>
      <c r="V39" s="12"/>
      <c r="W39" s="10"/>
      <c r="X39" s="12"/>
      <c r="Y39" s="12"/>
      <c r="Z39" s="28" t="s">
        <v>172</v>
      </c>
      <c r="AA39" s="12"/>
      <c r="AB39" s="12"/>
      <c r="AC39" s="12"/>
      <c r="AD39" s="12"/>
      <c r="AE39" s="12"/>
      <c r="AF39" s="12"/>
      <c r="AG39" s="12"/>
      <c r="AH39" s="12"/>
      <c r="AI39" s="8"/>
    </row>
    <row r="40" spans="1:35" s="9" customFormat="1" ht="41.4" customHeight="1">
      <c r="A40" s="46">
        <v>2025</v>
      </c>
      <c r="B40" s="19" t="str">
        <f t="shared" si="2"/>
        <v>Feb</v>
      </c>
      <c r="C40" s="19" t="s">
        <v>45</v>
      </c>
      <c r="D40" s="19" t="s">
        <v>173</v>
      </c>
      <c r="E40" s="13" t="s">
        <v>173</v>
      </c>
      <c r="F40" s="13" t="s">
        <v>174</v>
      </c>
      <c r="G40" s="13" t="s">
        <v>175</v>
      </c>
      <c r="H40" s="13" t="s">
        <v>176</v>
      </c>
      <c r="I40" s="12" t="s">
        <v>82</v>
      </c>
      <c r="J40" s="12" t="s">
        <v>42</v>
      </c>
      <c r="K40" s="12" t="s">
        <v>114</v>
      </c>
      <c r="L40" s="12" t="s">
        <v>43</v>
      </c>
      <c r="M40" s="27">
        <v>45712</v>
      </c>
      <c r="N40" s="14">
        <f>IF(M40="",                                                                                                                                                                                                  "",
   WORKDAY(
      M40,
      IF(I40="S-Special",                                                                                                                                                                                                   45,
         IF(OR(I40="O-General",                                                                                                                                                                                                   I40="S-General"),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0" s="27">
        <v>45743</v>
      </c>
      <c r="P40" s="13">
        <f ca="1">IF(M40="",                                                                                                                                                                                                   "",
   NETWORKDAYS(
      M40,
      IF(O40&lt;&gt;"",                                                                                                                                                                                                   O40,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40" s="13" t="str">
        <f t="shared" ca="1" si="3"/>
        <v>ON KPI</v>
      </c>
      <c r="R40" s="13"/>
      <c r="S40" s="12"/>
      <c r="T40" s="12"/>
      <c r="U40" s="12"/>
      <c r="V40" s="12"/>
      <c r="W40" s="10"/>
      <c r="X40" s="12"/>
      <c r="Y40" s="12"/>
      <c r="Z40" s="28" t="s">
        <v>53</v>
      </c>
      <c r="AA40" s="12"/>
      <c r="AB40" s="12"/>
      <c r="AC40" s="12"/>
      <c r="AD40" s="12"/>
      <c r="AE40" s="12"/>
      <c r="AF40" s="12"/>
      <c r="AG40" s="12"/>
      <c r="AH40" s="12"/>
      <c r="AI40" s="8"/>
    </row>
    <row r="41" spans="1:35" s="9" customFormat="1" ht="41.4" customHeight="1">
      <c r="A41" s="46">
        <v>2025</v>
      </c>
      <c r="B41" s="19" t="str">
        <f t="shared" si="2"/>
        <v>Feb</v>
      </c>
      <c r="C41" s="19" t="s">
        <v>45</v>
      </c>
      <c r="D41" s="19" t="s">
        <v>46</v>
      </c>
      <c r="E41" s="13" t="s">
        <v>118</v>
      </c>
      <c r="F41" s="13" t="s">
        <v>177</v>
      </c>
      <c r="G41" s="13" t="s">
        <v>178</v>
      </c>
      <c r="H41" s="13" t="s">
        <v>179</v>
      </c>
      <c r="I41" s="12" t="s">
        <v>41</v>
      </c>
      <c r="J41" s="12" t="s">
        <v>42</v>
      </c>
      <c r="K41" s="12" t="s">
        <v>52</v>
      </c>
      <c r="L41" s="12" t="s">
        <v>43</v>
      </c>
      <c r="M41" s="27">
        <v>45693</v>
      </c>
      <c r="N41" s="14">
        <f>IF(M41="",                                                                                                                                                                                                  "",
   WORKDAY(
      M41,
      IF(I41="S-Special",                                                                                                                                                                                                   45,
         IF(OR(I41="O-General",                                                                                                                                                                                                   I41="S-General"),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45735</v>
      </c>
      <c r="O41" s="27">
        <v>45715</v>
      </c>
      <c r="P41" s="13">
        <f ca="1">IF(M41="",                                                                                                                                                                                                   "",
   NETWORKDAYS(
      M41,
      IF(O41&lt;&gt;"",                                                                                                                                                                                                   O41,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41" s="13" t="str">
        <f t="shared" ca="1" si="3"/>
        <v>ON KPI</v>
      </c>
      <c r="R41" s="13"/>
      <c r="S41" s="12"/>
      <c r="T41" s="12"/>
      <c r="U41" s="12"/>
      <c r="V41" s="12"/>
      <c r="W41" s="10">
        <v>45748</v>
      </c>
      <c r="X41" s="12"/>
      <c r="Y41" s="12"/>
      <c r="Z41" s="28" t="s">
        <v>172</v>
      </c>
      <c r="AA41" s="12"/>
      <c r="AB41" s="12"/>
      <c r="AC41" s="12"/>
      <c r="AD41" s="12"/>
      <c r="AE41" s="12"/>
      <c r="AF41" s="12"/>
      <c r="AG41" s="12"/>
      <c r="AH41" s="12"/>
      <c r="AI41" s="8"/>
    </row>
    <row r="42" spans="1:35" s="9" customFormat="1" ht="41.4" customHeight="1">
      <c r="A42" s="46">
        <v>2025</v>
      </c>
      <c r="B42" s="19" t="str">
        <f t="shared" si="2"/>
        <v>Feb</v>
      </c>
      <c r="C42" s="19" t="s">
        <v>45</v>
      </c>
      <c r="D42" s="19" t="s">
        <v>180</v>
      </c>
      <c r="E42" s="13" t="s">
        <v>181</v>
      </c>
      <c r="F42" s="13" t="s">
        <v>182</v>
      </c>
      <c r="G42" s="13" t="s">
        <v>183</v>
      </c>
      <c r="H42" s="13" t="s">
        <v>184</v>
      </c>
      <c r="I42" s="12" t="s">
        <v>41</v>
      </c>
      <c r="J42" s="12" t="s">
        <v>42</v>
      </c>
      <c r="K42" s="12" t="s">
        <v>52</v>
      </c>
      <c r="L42" s="12" t="s">
        <v>43</v>
      </c>
      <c r="M42" s="27">
        <v>45712</v>
      </c>
      <c r="N42" s="14">
        <f>IF(M42="",                                                                                                                                                                                                  "",
   WORKDAY(
      M42,
      IF(I42="S-Special",                                                                                                                                                                                                   45,
         IF(OR(I42="O-General",                                                                                                                                                                                                   I42="S-General"),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2" s="27">
        <v>45727</v>
      </c>
      <c r="P42" s="13">
        <f ca="1">IF(M42="",                                                                                                                                                                                                   "",
   NETWORKDAYS(
      M42,
      IF(O42&lt;&gt;"",                                                                                                                                                                                                   O42,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42" s="13" t="str">
        <f t="shared" ca="1" si="3"/>
        <v>ON KPI</v>
      </c>
      <c r="R42" s="13"/>
      <c r="S42" s="12"/>
      <c r="T42" s="12"/>
      <c r="U42" s="12"/>
      <c r="V42" s="12"/>
      <c r="W42" s="10">
        <v>45809</v>
      </c>
      <c r="X42" s="12"/>
      <c r="Y42" s="12"/>
      <c r="Z42" s="28" t="s">
        <v>53</v>
      </c>
      <c r="AA42" s="12"/>
      <c r="AB42" s="12"/>
      <c r="AC42" s="12"/>
      <c r="AD42" s="12"/>
      <c r="AE42" s="12"/>
      <c r="AF42" s="12"/>
      <c r="AG42" s="12"/>
      <c r="AH42" s="12"/>
      <c r="AI42" s="8"/>
    </row>
    <row r="43" spans="1:35" s="9" customFormat="1" ht="41.4" customHeight="1">
      <c r="A43" s="46">
        <v>2025</v>
      </c>
      <c r="B43" s="19" t="str">
        <f t="shared" si="2"/>
        <v>Feb</v>
      </c>
      <c r="C43" s="19" t="s">
        <v>35</v>
      </c>
      <c r="D43" s="19" t="s">
        <v>185</v>
      </c>
      <c r="E43" s="13" t="s">
        <v>186</v>
      </c>
      <c r="F43" s="13" t="s">
        <v>66</v>
      </c>
      <c r="G43" s="13" t="s">
        <v>139</v>
      </c>
      <c r="H43" s="13" t="s">
        <v>140</v>
      </c>
      <c r="I43" s="12" t="s">
        <v>41</v>
      </c>
      <c r="J43" s="12" t="s">
        <v>42</v>
      </c>
      <c r="K43" s="12" t="s">
        <v>52</v>
      </c>
      <c r="L43" s="12" t="s">
        <v>43</v>
      </c>
      <c r="M43" s="27">
        <v>45712</v>
      </c>
      <c r="N43" s="14">
        <f>IF(M43="",                                                                                                                                                                                                  "",
   WORKDAY(
      M43,
      IF(I43="S-Special",                                                                                                                                                                                                   45,
         IF(OR(I43="O-General",                                                                                                                                                                                                   I43="S-General"),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3" s="27">
        <v>45713</v>
      </c>
      <c r="P43" s="13">
        <f ca="1">IF(M43="",                                                                                                                                                                                                   "",
   NETWORKDAYS(
      M43,
      IF(O43&lt;&gt;"",                                                                                                                                                                                                   O43,                                                                                                                                                                                                   TODAY()),
      Dropdown!$A$2:$A$100
   )
)</f>
        <v>2</v>
      </c>
      <c r="Q43" s="13" t="str">
        <f t="shared" ca="1" si="3"/>
        <v>ON KPI</v>
      </c>
      <c r="R43" s="13"/>
      <c r="S43" s="12"/>
      <c r="T43" s="12"/>
      <c r="U43" s="12"/>
      <c r="V43" s="12"/>
      <c r="W43" s="10"/>
      <c r="X43" s="12"/>
      <c r="Y43" s="12"/>
      <c r="Z43" s="28" t="s">
        <v>53</v>
      </c>
      <c r="AA43" s="12"/>
      <c r="AB43" s="12"/>
      <c r="AC43" s="12"/>
      <c r="AD43" s="12"/>
      <c r="AE43" s="12"/>
      <c r="AF43" s="12"/>
      <c r="AG43" s="12"/>
      <c r="AH43" s="12"/>
      <c r="AI43" s="8"/>
    </row>
    <row r="44" spans="1:35" s="9" customFormat="1" ht="41.4" customHeight="1">
      <c r="A44" s="46">
        <v>2025</v>
      </c>
      <c r="B44" s="19" t="str">
        <f t="shared" si="2"/>
        <v>Feb</v>
      </c>
      <c r="C44" s="19" t="s">
        <v>35</v>
      </c>
      <c r="D44" s="19" t="s">
        <v>187</v>
      </c>
      <c r="E44" s="13" t="s">
        <v>187</v>
      </c>
      <c r="F44" s="13" t="s">
        <v>111</v>
      </c>
      <c r="G44" s="13" t="s">
        <v>188</v>
      </c>
      <c r="H44" s="13" t="s">
        <v>189</v>
      </c>
      <c r="I44" s="12" t="s">
        <v>51</v>
      </c>
      <c r="J44" s="12" t="s">
        <v>42</v>
      </c>
      <c r="K44" s="12" t="s">
        <v>52</v>
      </c>
      <c r="L44" s="12" t="s">
        <v>43</v>
      </c>
      <c r="M44" s="27">
        <v>45712</v>
      </c>
      <c r="N44" s="14">
        <f>IF(M44="",                                                                                                                                                                                                  "",
   WORKDAY(
      M44,
      IF(I44="S-Special",                                                                                                                                                                                                   45,
         IF(OR(I44="O-General",                                                                                                                                                                                                   I44="S-General"),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44" s="27">
        <v>45756</v>
      </c>
      <c r="P44" s="13">
        <f ca="1">IF(M44="",                                                                                                                                                                                                   "",
   NETWORKDAYS(
      M44,
      IF(O44&lt;&gt;"",                                                                                                                                                                                                   O44,                                                                                                                                                                                                   TODAY()),
      Dropdown!$A$2:$A$100
   )
)</f>
        <v>33</v>
      </c>
      <c r="Q44" s="13" t="str">
        <f t="shared" ca="1" si="3"/>
        <v>ON KPI</v>
      </c>
      <c r="R44" s="13"/>
      <c r="S44" s="12"/>
      <c r="T44" s="12"/>
      <c r="U44" s="12"/>
      <c r="V44" s="12"/>
      <c r="W44" s="10"/>
      <c r="X44" s="12"/>
      <c r="Y44" s="12"/>
      <c r="Z44" s="29" t="s">
        <v>72</v>
      </c>
      <c r="AA44" s="12"/>
      <c r="AB44" s="12"/>
      <c r="AC44" s="12"/>
      <c r="AD44" s="12"/>
      <c r="AE44" s="12"/>
      <c r="AF44" s="12"/>
      <c r="AG44" s="12"/>
      <c r="AH44" s="12"/>
      <c r="AI44" s="8"/>
    </row>
    <row r="45" spans="1:35" s="9" customFormat="1" ht="41.4" customHeight="1">
      <c r="A45" s="46">
        <v>2025</v>
      </c>
      <c r="B45" s="19" t="str">
        <f t="shared" si="2"/>
        <v>Feb</v>
      </c>
      <c r="C45" s="19" t="s">
        <v>35</v>
      </c>
      <c r="D45" s="19" t="s">
        <v>46</v>
      </c>
      <c r="E45" s="13" t="s">
        <v>190</v>
      </c>
      <c r="F45" s="13" t="s">
        <v>87</v>
      </c>
      <c r="G45" s="13"/>
      <c r="H45" s="13" t="s">
        <v>191</v>
      </c>
      <c r="I45" s="12" t="s">
        <v>41</v>
      </c>
      <c r="J45" s="12" t="s">
        <v>42</v>
      </c>
      <c r="K45" s="12" t="s">
        <v>114</v>
      </c>
      <c r="L45" s="12" t="s">
        <v>43</v>
      </c>
      <c r="M45" s="27">
        <v>45713</v>
      </c>
      <c r="N45" s="14">
        <f>IF(M45="",                                                                                                                                                                                                  "",
   WORKDAY(
      M45,
      IF(I45="S-Special",                                                                                                                                                                                                   45,
         IF(OR(I45="O-General",                                                                                                                                                                                                   I45="S-General"),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5" s="27">
        <v>45882</v>
      </c>
      <c r="P45" s="13">
        <f ca="1">IF(M45="",                                                                                                                                                                                                   "",
   NETWORKDAYS(
      M45,
      IF(O45&lt;&gt;"",                                                                                                                                                                                                   O45,                                                                                                                                                                                                   TODAY()),
      Dropdown!$A$2:$A$100
   )
)</f>
        <v>122</v>
      </c>
      <c r="Q45" s="13" t="str">
        <f t="shared" ca="1" si="3"/>
        <v>OVER KPI</v>
      </c>
      <c r="R45" s="13"/>
      <c r="S45" s="12"/>
      <c r="T45" s="12"/>
      <c r="U45" s="12"/>
      <c r="V45" s="12"/>
      <c r="W45" s="10">
        <v>45931</v>
      </c>
      <c r="X45" s="12"/>
      <c r="Y45" s="12"/>
      <c r="Z45" s="29" t="s">
        <v>53</v>
      </c>
      <c r="AA45" s="12"/>
      <c r="AB45" s="12"/>
      <c r="AC45" s="12"/>
      <c r="AD45" s="12"/>
      <c r="AE45" s="12"/>
      <c r="AF45" s="12"/>
      <c r="AG45" s="12"/>
      <c r="AH45" s="12"/>
      <c r="AI45" s="8"/>
    </row>
    <row r="46" spans="1:35" s="9" customFormat="1" ht="41.4" customHeight="1">
      <c r="A46" s="46">
        <v>2025</v>
      </c>
      <c r="B46" s="19" t="str">
        <f t="shared" si="2"/>
        <v>Feb</v>
      </c>
      <c r="C46" s="19" t="s">
        <v>35</v>
      </c>
      <c r="D46" s="19" t="s">
        <v>180</v>
      </c>
      <c r="E46" s="13" t="s">
        <v>192</v>
      </c>
      <c r="F46" s="13" t="s">
        <v>87</v>
      </c>
      <c r="G46" s="13" t="s">
        <v>193</v>
      </c>
      <c r="H46" s="13" t="s">
        <v>194</v>
      </c>
      <c r="I46" s="12" t="s">
        <v>41</v>
      </c>
      <c r="J46" s="12" t="s">
        <v>42</v>
      </c>
      <c r="K46" s="12" t="s">
        <v>52</v>
      </c>
      <c r="L46" s="12" t="s">
        <v>43</v>
      </c>
      <c r="M46" s="27">
        <v>45712</v>
      </c>
      <c r="N46" s="14">
        <f>IF(M46="",                                                                                                                                                                                                  "",
   WORKDAY(
      M46,
      IF(I46="S-Special",                                                                                                                                                                                                   45,
         IF(OR(I46="O-General",                                                                                                                                                                                                   I46="S-General"),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6" s="27">
        <v>45763</v>
      </c>
      <c r="P46" s="13">
        <f ca="1">IF(M46="",                                                                                                                                                                                                   "",
   NETWORKDAYS(
      M46,
      IF(O46&lt;&gt;"",                                                                                                                                                                                                   O46,                                                                                                                                                                                                   TODAY()),
      Dropdown!$A$2:$A$100
   )
)</f>
        <v>38</v>
      </c>
      <c r="Q46" s="13" t="str">
        <f t="shared" ca="1" si="3"/>
        <v>OVER KPI</v>
      </c>
      <c r="R46" s="13"/>
      <c r="S46" s="12"/>
      <c r="T46" s="12"/>
      <c r="U46" s="12"/>
      <c r="V46" s="12"/>
      <c r="W46" s="10"/>
      <c r="X46" s="12"/>
      <c r="Y46" s="12"/>
      <c r="Z46" s="28" t="s">
        <v>53</v>
      </c>
      <c r="AA46" s="12"/>
      <c r="AB46" s="12"/>
      <c r="AC46" s="12"/>
      <c r="AD46" s="12"/>
      <c r="AE46" s="12"/>
      <c r="AF46" s="12"/>
      <c r="AG46" s="12"/>
      <c r="AH46" s="12"/>
      <c r="AI46" s="8"/>
    </row>
    <row r="47" spans="1:35" s="9" customFormat="1" ht="41.4" customHeight="1">
      <c r="A47" s="46">
        <v>2025</v>
      </c>
      <c r="B47" s="19" t="str">
        <f t="shared" si="2"/>
        <v>Feb</v>
      </c>
      <c r="C47" s="19" t="s">
        <v>35</v>
      </c>
      <c r="D47" s="19" t="s">
        <v>195</v>
      </c>
      <c r="E47" s="13" t="s">
        <v>195</v>
      </c>
      <c r="F47" s="13" t="s">
        <v>182</v>
      </c>
      <c r="G47" s="13" t="s">
        <v>183</v>
      </c>
      <c r="H47" s="13" t="s">
        <v>196</v>
      </c>
      <c r="I47" s="12" t="s">
        <v>82</v>
      </c>
      <c r="J47" s="12" t="s">
        <v>83</v>
      </c>
      <c r="K47" s="12" t="s">
        <v>114</v>
      </c>
      <c r="L47" s="12" t="s">
        <v>84</v>
      </c>
      <c r="M47" s="27">
        <v>45713</v>
      </c>
      <c r="N47" s="14">
        <f>IF(M47="",                                                                                                                                                                                                  "",
   WORKDAY(
      M47,
      IF(I47="S-Special",                                                                                                                                                                                                   45,
         IF(OR(I47="O-General",                                                                                                                                                                                                   I47="S-General"),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7" s="27">
        <v>45755</v>
      </c>
      <c r="P47" s="13">
        <f ca="1">IF(M47="",                                                                                                                                                                                                   "",
   NETWORKDAYS(
      M47,
      IF(O47&lt;&gt;"",                                                                                                                                                                                                   O47,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47" s="13" t="str">
        <f t="shared" ca="1" si="3"/>
        <v>OVER KPI</v>
      </c>
      <c r="R47" s="13"/>
      <c r="S47" s="12"/>
      <c r="T47" s="12"/>
      <c r="U47" s="12"/>
      <c r="V47" s="12"/>
      <c r="W47" s="10"/>
      <c r="X47" s="12"/>
      <c r="Y47" s="12"/>
      <c r="Z47" s="29"/>
      <c r="AA47" s="12"/>
      <c r="AB47" s="12"/>
      <c r="AC47" s="12"/>
      <c r="AD47" s="12"/>
      <c r="AE47" s="12"/>
      <c r="AF47" s="12"/>
      <c r="AG47" s="12"/>
      <c r="AH47" s="12"/>
      <c r="AI47" s="8"/>
    </row>
    <row r="48" spans="1:35" s="9" customFormat="1" ht="41.4" customHeight="1">
      <c r="A48" s="46">
        <v>2025</v>
      </c>
      <c r="B48" s="19" t="str">
        <f t="shared" si="2"/>
        <v>Feb</v>
      </c>
      <c r="C48" s="19" t="s">
        <v>35</v>
      </c>
      <c r="D48" s="19" t="s">
        <v>195</v>
      </c>
      <c r="E48" s="13" t="s">
        <v>195</v>
      </c>
      <c r="F48" s="13" t="s">
        <v>182</v>
      </c>
      <c r="G48" s="13" t="s">
        <v>183</v>
      </c>
      <c r="H48" s="13" t="s">
        <v>197</v>
      </c>
      <c r="I48" s="12" t="s">
        <v>82</v>
      </c>
      <c r="J48" s="12" t="s">
        <v>42</v>
      </c>
      <c r="K48" s="12" t="s">
        <v>114</v>
      </c>
      <c r="L48" s="12" t="s">
        <v>43</v>
      </c>
      <c r="M48" s="27">
        <v>45714</v>
      </c>
      <c r="N48" s="14">
        <f>IF(M48="",                                                                                                                                                                                                  "",
   WORKDAY(
      M48,
      IF(I48="S-Special",                                                                                                                                                                                                   45,
         IF(OR(I48="O-General",                                                                                                                                                                                                   I48="S-General"),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45756</v>
      </c>
      <c r="O48" s="27">
        <v>45755</v>
      </c>
      <c r="P48" s="13">
        <f ca="1">IF(M48="",                                                                                                                                                                                                   "",
   NETWORKDAYS(
      M48,
      IF(O48&lt;&gt;"",                                                                                                                                                                                                   O48,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48" s="13" t="str">
        <f t="shared" ca="1" si="3"/>
        <v>ON KPI</v>
      </c>
      <c r="R48" s="13"/>
      <c r="S48" s="12"/>
      <c r="T48" s="12"/>
      <c r="U48" s="12"/>
      <c r="V48" s="12"/>
      <c r="W48" s="10">
        <v>46143</v>
      </c>
      <c r="X48" s="12"/>
      <c r="Y48" s="12"/>
      <c r="Z48" s="28" t="s">
        <v>160</v>
      </c>
      <c r="AA48" s="12"/>
      <c r="AB48" s="12"/>
      <c r="AC48" s="12"/>
      <c r="AD48" s="12"/>
      <c r="AE48" s="12"/>
      <c r="AF48" s="12"/>
      <c r="AG48" s="12"/>
      <c r="AH48" s="12"/>
      <c r="AI48" s="8"/>
    </row>
    <row r="49" spans="1:35" s="9" customFormat="1" ht="41.4" customHeight="1">
      <c r="A49" s="46">
        <v>2025</v>
      </c>
      <c r="B49" s="19" t="str">
        <f t="shared" si="2"/>
        <v>Feb</v>
      </c>
      <c r="C49" s="19" t="s">
        <v>35</v>
      </c>
      <c r="D49" s="19" t="s">
        <v>198</v>
      </c>
      <c r="E49" s="13" t="s">
        <v>199</v>
      </c>
      <c r="F49" s="13" t="s">
        <v>75</v>
      </c>
      <c r="G49" s="13" t="s">
        <v>76</v>
      </c>
      <c r="H49" s="13" t="s">
        <v>200</v>
      </c>
      <c r="I49" s="12" t="s">
        <v>41</v>
      </c>
      <c r="J49" s="12" t="s">
        <v>42</v>
      </c>
      <c r="K49" s="12" t="s">
        <v>52</v>
      </c>
      <c r="L49" s="12" t="s">
        <v>43</v>
      </c>
      <c r="M49" s="27">
        <v>45712</v>
      </c>
      <c r="N49" s="14">
        <f>IF(M49="",                                                                                                                                                                                                  "",
   WORKDAY(
      M49,
      IF(I49="S-Special",                                                                                                                                                                                                   45,
         IF(OR(I49="O-General",                                                                                                                                                                                                   I49="S-General"),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9" s="27">
        <v>45806</v>
      </c>
      <c r="P49" s="13">
        <f ca="1">IF(M49="",                                                                                                                                                                                                   "",
   NETWORKDAYS(
      M49,
      IF(O49&lt;&gt;"",                                                                                                                                                                                                   O49,                                                                                                                                                                                                   TODAY()),
      Dropdown!$A$2:$A$100
   )
)</f>
        <v>69</v>
      </c>
      <c r="Q49" s="13" t="str">
        <f t="shared" ca="1" si="3"/>
        <v>OVER KPI</v>
      </c>
      <c r="R49" s="13"/>
      <c r="S49" s="12"/>
      <c r="T49" s="12"/>
      <c r="U49" s="12"/>
      <c r="V49" s="12"/>
      <c r="W49" s="10">
        <v>45824</v>
      </c>
      <c r="X49" s="12"/>
      <c r="Y49" s="12"/>
      <c r="Z49" s="29" t="s">
        <v>44</v>
      </c>
      <c r="AA49" s="12"/>
      <c r="AB49" s="12"/>
      <c r="AC49" s="12"/>
      <c r="AD49" s="12"/>
      <c r="AE49" s="12"/>
      <c r="AF49" s="12"/>
      <c r="AG49" s="12"/>
      <c r="AH49" s="12"/>
      <c r="AI49" s="8"/>
    </row>
    <row r="50" spans="1:35" s="9" customFormat="1" ht="41.4" customHeight="1">
      <c r="A50" s="46">
        <v>2025</v>
      </c>
      <c r="B50" s="19" t="str">
        <f t="shared" si="2"/>
        <v>Feb</v>
      </c>
      <c r="C50" s="19" t="s">
        <v>35</v>
      </c>
      <c r="D50" s="19" t="s">
        <v>180</v>
      </c>
      <c r="E50" s="13" t="s">
        <v>181</v>
      </c>
      <c r="F50" s="13" t="s">
        <v>182</v>
      </c>
      <c r="G50" s="13" t="s">
        <v>183</v>
      </c>
      <c r="H50" s="13" t="s">
        <v>197</v>
      </c>
      <c r="I50" s="12" t="s">
        <v>41</v>
      </c>
      <c r="J50" s="12" t="s">
        <v>42</v>
      </c>
      <c r="K50" s="12" t="s">
        <v>52</v>
      </c>
      <c r="L50" s="12" t="s">
        <v>43</v>
      </c>
      <c r="M50" s="27">
        <v>45712</v>
      </c>
      <c r="N50" s="14">
        <f>IF(M50="",                                                                                                                                                                                                  "",
   WORKDAY(
      M50,
      IF(I50="S-Special",                                                                                                                                                                                                   45,
         IF(OR(I50="O-General",                                                                                                                                                                                                   I50="S-General"),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0" s="27">
        <v>45847</v>
      </c>
      <c r="P50" s="13">
        <f ca="1">IF(M50="",                                                                                                                                                                                                   "",
   NETWORKDAYS(
      M50,
      IF(O50&lt;&gt;"",                                                                                                                                                                                                   O50,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50" s="13" t="str">
        <f t="shared" ca="1" si="3"/>
        <v>OVER KPI</v>
      </c>
      <c r="R50" s="13"/>
      <c r="S50" s="12"/>
      <c r="T50" s="12"/>
      <c r="U50" s="12"/>
      <c r="V50" s="12"/>
      <c r="W50" s="10"/>
      <c r="X50" s="12"/>
      <c r="Y50" s="12"/>
      <c r="Z50" s="29" t="s">
        <v>72</v>
      </c>
      <c r="AA50" s="12"/>
      <c r="AB50" s="12"/>
      <c r="AC50" s="12"/>
      <c r="AD50" s="12"/>
      <c r="AE50" s="12"/>
      <c r="AF50" s="12"/>
      <c r="AG50" s="12"/>
      <c r="AH50" s="12"/>
      <c r="AI50" s="8"/>
    </row>
    <row r="51" spans="1:35" s="9" customFormat="1" ht="41.4" customHeight="1">
      <c r="A51" s="46">
        <v>2025</v>
      </c>
      <c r="B51" s="19" t="str">
        <f t="shared" si="2"/>
        <v>Feb</v>
      </c>
      <c r="C51" s="19" t="s">
        <v>35</v>
      </c>
      <c r="D51" s="19" t="s">
        <v>201</v>
      </c>
      <c r="E51" s="13" t="s">
        <v>201</v>
      </c>
      <c r="F51" s="13" t="s">
        <v>38</v>
      </c>
      <c r="G51" s="13" t="s">
        <v>202</v>
      </c>
      <c r="H51" s="13" t="s">
        <v>203</v>
      </c>
      <c r="I51" s="12" t="s">
        <v>41</v>
      </c>
      <c r="J51" s="12" t="s">
        <v>42</v>
      </c>
      <c r="K51" s="12" t="s">
        <v>52</v>
      </c>
      <c r="L51" s="12" t="s">
        <v>43</v>
      </c>
      <c r="M51" s="27">
        <v>45712</v>
      </c>
      <c r="N51" s="14">
        <f>IF(M51="",                                                                                                                                                                                                  "",
   WORKDAY(
      M51,
      IF(I51="S-Special",                                                                                                                                                                                                   45,
         IF(OR(I51="O-General",                                                                                                                                                                                                   I51="S-General"),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1" s="27">
        <v>45742</v>
      </c>
      <c r="P51" s="13">
        <f ca="1">IF(M51="",                                                                                                                                                                                                   "",
   NETWORKDAYS(
      M51,
      IF(O51&lt;&gt;"",                                                                                                                                                                                                   O51,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51" s="13" t="str">
        <f t="shared" ca="1" si="3"/>
        <v>ON KPI</v>
      </c>
      <c r="R51" s="13"/>
      <c r="S51" s="12"/>
      <c r="T51" s="12"/>
      <c r="U51" s="12"/>
      <c r="V51" s="12"/>
      <c r="W51" s="10"/>
      <c r="X51" s="12"/>
      <c r="Y51" s="12"/>
      <c r="Z51" s="29" t="s">
        <v>53</v>
      </c>
      <c r="AA51" s="12"/>
      <c r="AB51" s="12"/>
      <c r="AC51" s="12"/>
      <c r="AD51" s="12"/>
      <c r="AE51" s="12"/>
      <c r="AF51" s="12"/>
      <c r="AG51" s="12"/>
      <c r="AH51" s="12"/>
      <c r="AI51" s="8"/>
    </row>
    <row r="52" spans="1:35" s="9" customFormat="1" ht="41.4" customHeight="1">
      <c r="A52" s="46">
        <v>2025</v>
      </c>
      <c r="B52" s="19" t="str">
        <f t="shared" si="2"/>
        <v>Feb</v>
      </c>
      <c r="C52" s="19" t="s">
        <v>35</v>
      </c>
      <c r="D52" s="19" t="s">
        <v>204</v>
      </c>
      <c r="E52" s="13" t="s">
        <v>205</v>
      </c>
      <c r="F52" s="13" t="s">
        <v>61</v>
      </c>
      <c r="G52" s="13" t="s">
        <v>94</v>
      </c>
      <c r="H52" s="13" t="s">
        <v>206</v>
      </c>
      <c r="I52" s="12" t="s">
        <v>82</v>
      </c>
      <c r="J52" s="12" t="s">
        <v>42</v>
      </c>
      <c r="K52" s="12" t="s">
        <v>52</v>
      </c>
      <c r="L52" s="12" t="s">
        <v>43</v>
      </c>
      <c r="M52" s="27">
        <v>45712</v>
      </c>
      <c r="N52" s="14">
        <f>IF(M52="",                                                                                                                                                                                                  "",
   WORKDAY(
      M52,
      IF(I52="S-Special",                                                                                                                                                                                                   45,
         IF(OR(I52="O-General",                                                                                                                                                                                                   I52="S-General"),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2" s="27">
        <v>45714</v>
      </c>
      <c r="P52" s="13">
        <f ca="1">IF(M52="",                                                                                                                                                                                                   "",
   NETWORKDAYS(
      M52,
      IF(O52&lt;&gt;"",                                                                                                                                                                                                   O52,                                                                                                                                                                                                   TODAY()),
      Dropdown!$A$2:$A$100
   )
)</f>
        <v>3</v>
      </c>
      <c r="Q52" s="13" t="str">
        <f t="shared" ca="1" si="3"/>
        <v>ON KPI</v>
      </c>
      <c r="R52" s="13"/>
      <c r="S52" s="12"/>
      <c r="T52" s="12"/>
      <c r="U52" s="12"/>
      <c r="V52" s="12"/>
      <c r="W52" s="10"/>
      <c r="X52" s="12"/>
      <c r="Y52" s="12"/>
      <c r="Z52" s="29" t="s">
        <v>72</v>
      </c>
      <c r="AA52" s="12"/>
      <c r="AB52" s="12"/>
      <c r="AC52" s="12"/>
      <c r="AD52" s="12"/>
      <c r="AE52" s="12"/>
      <c r="AF52" s="12"/>
      <c r="AG52" s="12"/>
      <c r="AH52" s="12"/>
      <c r="AI52" s="8"/>
    </row>
    <row r="53" spans="1:35" s="9" customFormat="1" ht="41.4" customHeight="1">
      <c r="A53" s="46">
        <v>2025</v>
      </c>
      <c r="B53" s="19" t="str">
        <f t="shared" si="2"/>
        <v>Feb</v>
      </c>
      <c r="C53" s="19" t="s">
        <v>35</v>
      </c>
      <c r="D53" s="19" t="s">
        <v>207</v>
      </c>
      <c r="E53" s="13" t="s">
        <v>207</v>
      </c>
      <c r="F53" s="13" t="s">
        <v>208</v>
      </c>
      <c r="G53" s="13" t="s">
        <v>209</v>
      </c>
      <c r="H53" s="13" t="s">
        <v>210</v>
      </c>
      <c r="I53" s="12" t="s">
        <v>82</v>
      </c>
      <c r="J53" s="12" t="s">
        <v>83</v>
      </c>
      <c r="K53" s="12" t="s">
        <v>52</v>
      </c>
      <c r="L53" s="12" t="s">
        <v>84</v>
      </c>
      <c r="M53" s="27">
        <v>45712</v>
      </c>
      <c r="N53" s="14">
        <f>IF(M53="",                                                                                                                                                                                                  "",
   WORKDAY(
      M53,
      IF(I53="S-Special",                                                                                                                                                                                                   45,
         IF(OR(I53="O-General",                                                                                                                                                                                                   I53="S-General"),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3" s="27">
        <v>45723</v>
      </c>
      <c r="P53" s="13">
        <f ca="1">IF(M53="",                                                                                                                                                                                                   "",
   NETWORKDAYS(
      M53,
      IF(O53&lt;&gt;"",                                                                                                                                                                                                   O53,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53" s="13" t="str">
        <f t="shared" ca="1" si="3"/>
        <v>ON KPI</v>
      </c>
      <c r="R53" s="13"/>
      <c r="S53" s="12"/>
      <c r="T53" s="12"/>
      <c r="U53" s="12"/>
      <c r="V53" s="12"/>
      <c r="W53" s="10"/>
      <c r="X53" s="12"/>
      <c r="Y53" s="12"/>
      <c r="Z53" s="29" t="s">
        <v>72</v>
      </c>
      <c r="AA53" s="12"/>
      <c r="AB53" s="12"/>
      <c r="AC53" s="12"/>
      <c r="AD53" s="12"/>
      <c r="AE53" s="12"/>
      <c r="AF53" s="12"/>
      <c r="AG53" s="12"/>
      <c r="AH53" s="12"/>
      <c r="AI53" s="8"/>
    </row>
    <row r="54" spans="1:35" s="9" customFormat="1" ht="41.4" customHeight="1">
      <c r="A54" s="46">
        <v>2025</v>
      </c>
      <c r="B54" s="19" t="str">
        <f t="shared" si="2"/>
        <v>Mar</v>
      </c>
      <c r="C54" s="19" t="s">
        <v>45</v>
      </c>
      <c r="D54" s="19" t="s">
        <v>46</v>
      </c>
      <c r="E54" s="13" t="s">
        <v>126</v>
      </c>
      <c r="F54" s="13" t="s">
        <v>127</v>
      </c>
      <c r="G54" s="13" t="s">
        <v>128</v>
      </c>
      <c r="H54" s="13" t="s">
        <v>211</v>
      </c>
      <c r="I54" s="12" t="s">
        <v>41</v>
      </c>
      <c r="J54" s="12" t="s">
        <v>42</v>
      </c>
      <c r="K54" s="12" t="s">
        <v>52</v>
      </c>
      <c r="L54" s="12" t="s">
        <v>43</v>
      </c>
      <c r="M54" s="27">
        <v>45733</v>
      </c>
      <c r="N54" s="14">
        <f>IF(M54="",                                                                                                                                                                                                  "",
   WORKDAY(
      M54,
      IF(I54="S-Special",                                                                                                                                                                                                   45,
         IF(OR(I54="O-General",                                                                                                                                                                                                   I54="S-General"),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4" s="27">
        <v>45769</v>
      </c>
      <c r="P54" s="13">
        <f ca="1">IF(M54="",                                                                                                                                                                                                   "",
   NETWORKDAYS(
      M54,
      IF(O54&lt;&gt;"",                                                                                                                                                                                                   O54,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4" s="13" t="str">
        <f t="shared" ca="1" si="3"/>
        <v>ON KPI</v>
      </c>
      <c r="R54" s="13"/>
      <c r="S54" s="12"/>
      <c r="T54" s="12"/>
      <c r="U54" s="12"/>
      <c r="V54" s="12"/>
      <c r="W54" s="10"/>
      <c r="X54" s="12"/>
      <c r="Y54" s="12"/>
      <c r="Z54" s="29" t="s">
        <v>172</v>
      </c>
      <c r="AA54" s="12"/>
      <c r="AB54" s="12"/>
      <c r="AC54" s="12"/>
      <c r="AD54" s="12"/>
      <c r="AE54" s="12"/>
      <c r="AF54" s="12"/>
      <c r="AG54" s="12"/>
      <c r="AH54" s="12"/>
      <c r="AI54" s="8"/>
    </row>
    <row r="55" spans="1:35" s="9" customFormat="1" ht="41.4" customHeight="1">
      <c r="A55" s="46">
        <v>2025</v>
      </c>
      <c r="B55" s="19" t="str">
        <f t="shared" si="2"/>
        <v>Mar</v>
      </c>
      <c r="C55" s="19" t="s">
        <v>45</v>
      </c>
      <c r="D55" s="19" t="s">
        <v>46</v>
      </c>
      <c r="E55" s="13" t="s">
        <v>129</v>
      </c>
      <c r="F55" s="13" t="s">
        <v>127</v>
      </c>
      <c r="G55" s="13" t="s">
        <v>212</v>
      </c>
      <c r="H55" s="13" t="s">
        <v>213</v>
      </c>
      <c r="I55" s="12" t="s">
        <v>41</v>
      </c>
      <c r="J55" s="12" t="s">
        <v>42</v>
      </c>
      <c r="K55" s="12" t="s">
        <v>114</v>
      </c>
      <c r="L55" s="12" t="s">
        <v>43</v>
      </c>
      <c r="M55" s="27">
        <v>45733</v>
      </c>
      <c r="N55" s="14">
        <f>IF(M55="",                                                                                                                                                                                                  "",
   WORKDAY(
      M55,
      IF(I55="S-Special",                                                                                                                                                                                                   45,
         IF(OR(I55="O-General",                                                                                                                                                                                                   I55="S-General"),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5" s="27">
        <v>45769</v>
      </c>
      <c r="P55" s="13">
        <f ca="1">IF(M55="",                                                                                                                                                                                                   "",
   NETWORKDAYS(
      M55,
      IF(O55&lt;&gt;"",                                                                                                                                                                                                   O55,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5" s="13" t="str">
        <f t="shared" ca="1" si="3"/>
        <v>ON KPI</v>
      </c>
      <c r="R55" s="13"/>
      <c r="S55" s="12"/>
      <c r="T55" s="12"/>
      <c r="U55" s="12"/>
      <c r="V55" s="12"/>
      <c r="W55" s="10"/>
      <c r="X55" s="12"/>
      <c r="Y55" s="12"/>
      <c r="Z55" s="29" t="s">
        <v>172</v>
      </c>
      <c r="AA55" s="12"/>
      <c r="AB55" s="12"/>
      <c r="AC55" s="12"/>
      <c r="AD55" s="12"/>
      <c r="AE55" s="12"/>
      <c r="AF55" s="12"/>
      <c r="AG55" s="12"/>
      <c r="AH55" s="12"/>
      <c r="AI55" s="8"/>
    </row>
    <row r="56" spans="1:35" s="9" customFormat="1" ht="41.4" customHeight="1">
      <c r="A56" s="46">
        <v>2025</v>
      </c>
      <c r="B56" s="19" t="str">
        <f t="shared" si="2"/>
        <v>Mar</v>
      </c>
      <c r="C56" s="19" t="s">
        <v>35</v>
      </c>
      <c r="D56" s="19" t="s">
        <v>214</v>
      </c>
      <c r="E56" s="13" t="s">
        <v>138</v>
      </c>
      <c r="F56" s="13" t="s">
        <v>61</v>
      </c>
      <c r="G56" s="13" t="s">
        <v>104</v>
      </c>
      <c r="H56" s="13"/>
      <c r="I56" s="12" t="s">
        <v>41</v>
      </c>
      <c r="J56" s="12" t="s">
        <v>42</v>
      </c>
      <c r="K56" s="12"/>
      <c r="L56" s="12" t="s">
        <v>43</v>
      </c>
      <c r="M56" s="27">
        <v>45740</v>
      </c>
      <c r="N56" s="14">
        <f>IF(M56="",                                                                                                                                                                                                  "",
   WORKDAY(
      M56,
      IF(I56="S-Special",                                                                                                                                                                                                   45,
         IF(OR(I56="O-General",                                                                                                                                                                                                   I56="S-General"),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45782</v>
      </c>
      <c r="O56" s="27">
        <v>45778</v>
      </c>
      <c r="P56" s="13">
        <f ca="1">IF(M56="",                                                                                                                                                                                                   "",
   NETWORKDAYS(
      M56,
      IF(O56&lt;&gt;"",                                                                                                                                                                                                   O56,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56" s="13" t="str">
        <f t="shared" ca="1" si="3"/>
        <v>ON KPI</v>
      </c>
      <c r="R56" s="13"/>
      <c r="S56" s="12"/>
      <c r="T56" s="12"/>
      <c r="U56" s="12"/>
      <c r="V56" s="12"/>
      <c r="W56" s="10"/>
      <c r="X56" s="12"/>
      <c r="Y56" s="12"/>
      <c r="Z56" s="29" t="s">
        <v>215</v>
      </c>
      <c r="AA56" s="12"/>
      <c r="AB56" s="12"/>
      <c r="AC56" s="12"/>
      <c r="AD56" s="12"/>
      <c r="AE56" s="12"/>
      <c r="AF56" s="12"/>
      <c r="AG56" s="12"/>
      <c r="AH56" s="12"/>
      <c r="AI56" s="8"/>
    </row>
    <row r="57" spans="1:35" s="9" customFormat="1" ht="41.4" customHeight="1">
      <c r="A57" s="46">
        <v>2025</v>
      </c>
      <c r="B57" s="19" t="str">
        <f t="shared" si="2"/>
        <v>Mar</v>
      </c>
      <c r="C57" s="19" t="s">
        <v>35</v>
      </c>
      <c r="D57" s="19" t="s">
        <v>195</v>
      </c>
      <c r="E57" s="13" t="s">
        <v>195</v>
      </c>
      <c r="F57" s="13" t="s">
        <v>79</v>
      </c>
      <c r="G57" s="13" t="s">
        <v>80</v>
      </c>
      <c r="H57" s="13" t="s">
        <v>216</v>
      </c>
      <c r="I57" s="12" t="s">
        <v>82</v>
      </c>
      <c r="J57" s="12" t="s">
        <v>83</v>
      </c>
      <c r="K57" s="12" t="s">
        <v>114</v>
      </c>
      <c r="L57" s="12" t="s">
        <v>84</v>
      </c>
      <c r="M57" s="27">
        <v>45734</v>
      </c>
      <c r="N57" s="14">
        <f>IF(M57="",                                                                                                                                                                                                  "",
   WORKDAY(
      M57,
      IF(I57="S-Special",                                                                                                                                                                                                   45,
         IF(OR(I57="O-General",                                                                                                                                                                                                   I57="S-General"),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45776</v>
      </c>
      <c r="O57" s="27">
        <v>45755</v>
      </c>
      <c r="P57" s="13">
        <f ca="1">IF(M57="",                                                                                                                                                                                                   "",
   NETWORKDAYS(
      M57,
      IF(O57&lt;&gt;"",                                                                                                                                                                                                   O57,                                                                                                                                                                                                   TODAY()),
      Dropdown!$A$2:$A$100
   )
)</f>
        <v>16</v>
      </c>
      <c r="Q57" s="13" t="str">
        <f t="shared" ca="1" si="3"/>
        <v>ON KPI</v>
      </c>
      <c r="R57" s="13"/>
      <c r="S57" s="12"/>
      <c r="T57" s="12"/>
      <c r="U57" s="12"/>
      <c r="V57" s="12"/>
      <c r="W57" s="10"/>
      <c r="X57" s="12"/>
      <c r="Y57" s="12"/>
      <c r="Z57" s="29"/>
      <c r="AA57" s="12"/>
      <c r="AB57" s="12"/>
      <c r="AC57" s="12"/>
      <c r="AD57" s="12"/>
      <c r="AE57" s="12"/>
      <c r="AF57" s="12"/>
      <c r="AG57" s="12"/>
      <c r="AH57" s="12"/>
      <c r="AI57" s="8"/>
    </row>
    <row r="58" spans="1:35" s="9" customFormat="1" ht="41.4" customHeight="1">
      <c r="A58" s="46">
        <v>2025</v>
      </c>
      <c r="B58" s="19" t="str">
        <f t="shared" si="2"/>
        <v>Mar</v>
      </c>
      <c r="C58" s="19" t="s">
        <v>35</v>
      </c>
      <c r="D58" s="19" t="s">
        <v>195</v>
      </c>
      <c r="E58" s="13" t="s">
        <v>195</v>
      </c>
      <c r="F58" s="13" t="s">
        <v>79</v>
      </c>
      <c r="G58" s="13" t="s">
        <v>217</v>
      </c>
      <c r="H58" s="13" t="s">
        <v>218</v>
      </c>
      <c r="I58" s="12" t="s">
        <v>82</v>
      </c>
      <c r="J58" s="12" t="s">
        <v>42</v>
      </c>
      <c r="K58" s="12" t="s">
        <v>114</v>
      </c>
      <c r="L58" s="12" t="s">
        <v>43</v>
      </c>
      <c r="M58" s="27">
        <v>45735</v>
      </c>
      <c r="N58" s="14">
        <f>IF(M58="",                                                                                                                                                                                                  "",
   WORKDAY(
      M58,
      IF(I58="S-Special",                                                                                                                                                                                                   45,
         IF(OR(I58="O-General",                                                                                                                                                                                                   I58="S-General"),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45777</v>
      </c>
      <c r="O58" s="27">
        <v>45755</v>
      </c>
      <c r="P58" s="13">
        <f ca="1">IF(M58="",                                                                                                                                                                                                   "",
   NETWORKDAYS(
      M58,
      IF(O58&lt;&gt;"",                                                                                                                                                                                                   O58,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58" s="13" t="str">
        <f t="shared" ca="1" si="3"/>
        <v>ON KPI</v>
      </c>
      <c r="R58" s="13"/>
      <c r="S58" s="12"/>
      <c r="T58" s="12"/>
      <c r="U58" s="12"/>
      <c r="V58" s="12"/>
      <c r="W58" s="10"/>
      <c r="X58" s="12"/>
      <c r="Y58" s="12"/>
      <c r="Z58" s="30" t="s">
        <v>219</v>
      </c>
      <c r="AA58" s="12"/>
      <c r="AB58" s="12"/>
      <c r="AC58" s="12"/>
      <c r="AD58" s="12"/>
      <c r="AE58" s="12"/>
      <c r="AF58" s="12"/>
      <c r="AG58" s="12"/>
      <c r="AH58" s="12"/>
      <c r="AI58" s="8"/>
    </row>
    <row r="59" spans="1:35" s="9" customFormat="1" ht="41.4" customHeight="1">
      <c r="A59" s="46">
        <v>2025</v>
      </c>
      <c r="B59" s="19" t="str">
        <f t="shared" si="2"/>
        <v>Mar</v>
      </c>
      <c r="C59" s="19" t="s">
        <v>35</v>
      </c>
      <c r="D59" s="19" t="s">
        <v>109</v>
      </c>
      <c r="E59" s="13" t="s">
        <v>109</v>
      </c>
      <c r="F59" s="13" t="s">
        <v>111</v>
      </c>
      <c r="G59" s="13" t="s">
        <v>112</v>
      </c>
      <c r="H59" s="13" t="s">
        <v>220</v>
      </c>
      <c r="I59" s="12" t="s">
        <v>51</v>
      </c>
      <c r="J59" s="12" t="s">
        <v>42</v>
      </c>
      <c r="K59" s="12" t="s">
        <v>52</v>
      </c>
      <c r="L59" s="12" t="s">
        <v>43</v>
      </c>
      <c r="M59" s="27">
        <v>45733</v>
      </c>
      <c r="N59" s="14">
        <f>IF(M59="",                                                                                                                                                                                                  "",
   WORKDAY(
      M59,
      IF(I59="S-Special",                                                                                                                                                                                                   45,
         IF(OR(I59="O-General",                                                                                                                                                                                                   I59="S-General"),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45796</v>
      </c>
      <c r="O59" s="27">
        <v>45960</v>
      </c>
      <c r="P59" s="13">
        <f ca="1">IF(M59="",                                                                                                                                                                                                   "",
   NETWORKDAYS(
      M59,
      IF(O59&lt;&gt;"",                                                                                                                                                                                                   O59,                                                                                                                                                                                                   TODAY()),
      Dropdown!$A$2:$A$100
   )
)</f>
        <v>164</v>
      </c>
      <c r="Q59" s="13" t="str">
        <f t="shared" ca="1" si="3"/>
        <v>OVER KPI</v>
      </c>
      <c r="R59" s="13"/>
      <c r="S59" s="12"/>
      <c r="T59" s="12"/>
      <c r="U59" s="12"/>
      <c r="V59" s="12"/>
      <c r="W59" s="10">
        <v>45977</v>
      </c>
      <c r="X59" s="12"/>
      <c r="Y59" s="8"/>
      <c r="Z59" s="31" t="s">
        <v>215</v>
      </c>
      <c r="AA59" s="23"/>
      <c r="AB59" s="12"/>
      <c r="AC59" s="12"/>
      <c r="AD59" s="12"/>
      <c r="AE59" s="12"/>
      <c r="AF59" s="12"/>
      <c r="AG59" s="12"/>
      <c r="AH59" s="12"/>
      <c r="AI59" s="8"/>
    </row>
    <row r="60" spans="1:35" s="9" customFormat="1" ht="41.4" customHeight="1">
      <c r="A60" s="46">
        <v>2025</v>
      </c>
      <c r="B60" s="19" t="str">
        <f t="shared" si="2"/>
        <v>Mar</v>
      </c>
      <c r="C60" s="19" t="s">
        <v>35</v>
      </c>
      <c r="D60" s="19" t="s">
        <v>162</v>
      </c>
      <c r="E60" s="13" t="s">
        <v>221</v>
      </c>
      <c r="F60" s="13" t="s">
        <v>87</v>
      </c>
      <c r="G60" s="13" t="s">
        <v>99</v>
      </c>
      <c r="H60" s="13" t="s">
        <v>222</v>
      </c>
      <c r="I60" s="12" t="s">
        <v>82</v>
      </c>
      <c r="J60" s="12" t="s">
        <v>42</v>
      </c>
      <c r="K60" s="12" t="s">
        <v>52</v>
      </c>
      <c r="L60" s="12" t="s">
        <v>43</v>
      </c>
      <c r="M60" s="27">
        <v>45733</v>
      </c>
      <c r="N60" s="14">
        <f>IF(M60="",                                                                                                                                                                                                  "",
   WORKDAY(
      M60,
      IF(I60="S-Special",                                                                                                                                                                                                   45,
         IF(OR(I60="O-General",                                                                                                                                                                                                   I60="S-General"),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60" s="27">
        <v>45814</v>
      </c>
      <c r="P60" s="13">
        <f ca="1">IF(M60="",                                                                                                                                                                                                   "",
   NETWORKDAYS(
      M60,
      IF(O60&lt;&gt;"",                                                                                                                                                                                                   O60,                                                                                                                                                                                                   TODAY()),
      Dropdown!$A$2:$A$100
   )
)</f>
        <v>60</v>
      </c>
      <c r="Q60" s="13" t="str">
        <f t="shared" ca="1" si="3"/>
        <v>OVER KPI</v>
      </c>
      <c r="R60" s="13"/>
      <c r="S60" s="12"/>
      <c r="T60" s="12"/>
      <c r="U60" s="12"/>
      <c r="V60" s="12"/>
      <c r="W60" s="10">
        <v>45854</v>
      </c>
      <c r="X60" s="12"/>
      <c r="Y60" s="8"/>
      <c r="Z60" s="31" t="s">
        <v>215</v>
      </c>
      <c r="AA60" s="23"/>
      <c r="AB60" s="12"/>
      <c r="AC60" s="12"/>
      <c r="AD60" s="12"/>
      <c r="AE60" s="12"/>
      <c r="AF60" s="12"/>
      <c r="AG60" s="12"/>
      <c r="AH60" s="12"/>
      <c r="AI60" s="8"/>
    </row>
    <row r="61" spans="1:35" s="9" customFormat="1" ht="41.4" customHeight="1">
      <c r="A61" s="46">
        <v>2025</v>
      </c>
      <c r="B61" s="19" t="str">
        <f t="shared" si="2"/>
        <v>Apr</v>
      </c>
      <c r="C61" s="19" t="s">
        <v>45</v>
      </c>
      <c r="D61" s="19" t="s">
        <v>46</v>
      </c>
      <c r="E61" s="13" t="s">
        <v>223</v>
      </c>
      <c r="F61" s="13" t="s">
        <v>127</v>
      </c>
      <c r="G61" s="13" t="s">
        <v>224</v>
      </c>
      <c r="H61" s="13" t="s">
        <v>225</v>
      </c>
      <c r="I61" s="12" t="s">
        <v>41</v>
      </c>
      <c r="J61" s="12" t="s">
        <v>42</v>
      </c>
      <c r="K61" s="12" t="s">
        <v>52</v>
      </c>
      <c r="L61" s="12" t="s">
        <v>43</v>
      </c>
      <c r="M61" s="27">
        <v>45771</v>
      </c>
      <c r="N61" s="14">
        <f>IF(M61="",                                                                                                                                                                                                  "",
   WORKDAY(
      M61,
      IF(I61="S-Special",                                                                                                                                                                                                   45,
         IF(OR(I61="O-General",                                                                                                                                                                                                   I61="S-General"),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1" s="27">
        <v>45840</v>
      </c>
      <c r="P61" s="13">
        <f ca="1">IF(M61="",                                                                                                                                                                                                   "",
   NETWORKDAYS(
      M61,
      IF(O61&lt;&gt;"",                                                                                                                                                                                                   O61,                                                                                                                                                                                                   TODAY()),
      Dropdown!$A$2:$A$100
   )
)</f>
        <v>50</v>
      </c>
      <c r="Q61" s="13" t="str">
        <f t="shared" ca="1" si="3"/>
        <v>OVER KPI</v>
      </c>
      <c r="R61" s="13"/>
      <c r="S61" s="12"/>
      <c r="T61" s="12"/>
      <c r="U61" s="12"/>
      <c r="V61" s="12"/>
      <c r="W61" s="10"/>
      <c r="X61" s="12"/>
      <c r="Y61" s="8"/>
      <c r="Z61" s="31" t="s">
        <v>44</v>
      </c>
      <c r="AA61" s="23"/>
      <c r="AB61" s="12"/>
      <c r="AC61" s="12"/>
      <c r="AD61" s="12"/>
      <c r="AE61" s="12"/>
      <c r="AF61" s="12"/>
      <c r="AG61" s="12"/>
      <c r="AH61" s="12"/>
      <c r="AI61" s="8"/>
    </row>
    <row r="62" spans="1:35" s="9" customFormat="1" ht="41.4" customHeight="1">
      <c r="A62" s="46">
        <v>2025</v>
      </c>
      <c r="B62" s="19" t="str">
        <f t="shared" si="2"/>
        <v>Apr</v>
      </c>
      <c r="C62" s="19" t="s">
        <v>45</v>
      </c>
      <c r="D62" s="19" t="s">
        <v>46</v>
      </c>
      <c r="E62" s="13" t="s">
        <v>118</v>
      </c>
      <c r="F62" s="13" t="s">
        <v>119</v>
      </c>
      <c r="G62" s="13" t="s">
        <v>120</v>
      </c>
      <c r="H62" s="13" t="s">
        <v>226</v>
      </c>
      <c r="I62" s="12" t="s">
        <v>41</v>
      </c>
      <c r="J62" s="12" t="s">
        <v>42</v>
      </c>
      <c r="K62" s="12" t="s">
        <v>52</v>
      </c>
      <c r="L62" s="12" t="s">
        <v>43</v>
      </c>
      <c r="M62" s="27">
        <v>45771</v>
      </c>
      <c r="N62" s="14">
        <f>IF(M62="",                                                                                                                                                                                                  "",
   WORKDAY(
      M62,
      IF(I62="S-Special",                                                                                                                                                                                                   45,
         IF(OR(I62="O-General",                                                                                                                                                                                                   I62="S-General"),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2" s="27">
        <v>45771</v>
      </c>
      <c r="P62" s="13">
        <f ca="1">IF(M62="",                                                                                                                                                                                                   "",
   NETWORKDAYS(
      M62,
      IF(O62&lt;&gt;"",                                                                                                                                                                                                   O62,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62" s="13" t="str">
        <f t="shared" ca="1" si="3"/>
        <v>ON KPI</v>
      </c>
      <c r="R62" s="13"/>
      <c r="S62" s="12"/>
      <c r="T62" s="12"/>
      <c r="U62" s="12"/>
      <c r="V62" s="12"/>
      <c r="W62" s="10"/>
      <c r="X62" s="12"/>
      <c r="Y62" s="12"/>
      <c r="Z62" s="32" t="s">
        <v>72</v>
      </c>
      <c r="AA62" s="12"/>
      <c r="AB62" s="12"/>
      <c r="AC62" s="12"/>
      <c r="AD62" s="12"/>
      <c r="AE62" s="12"/>
      <c r="AF62" s="12"/>
      <c r="AG62" s="12"/>
      <c r="AH62" s="12"/>
      <c r="AI62" s="8"/>
    </row>
    <row r="63" spans="1:35" s="9" customFormat="1" ht="41.4" customHeight="1">
      <c r="A63" s="46">
        <v>2025</v>
      </c>
      <c r="B63" s="19" t="str">
        <f t="shared" si="2"/>
        <v>Apr</v>
      </c>
      <c r="C63" s="19" t="s">
        <v>45</v>
      </c>
      <c r="D63" s="19" t="s">
        <v>227</v>
      </c>
      <c r="E63" s="13" t="s">
        <v>227</v>
      </c>
      <c r="F63" s="13" t="s">
        <v>170</v>
      </c>
      <c r="G63" s="13" t="s">
        <v>228</v>
      </c>
      <c r="H63" s="13" t="s">
        <v>229</v>
      </c>
      <c r="I63" s="12" t="s">
        <v>41</v>
      </c>
      <c r="J63" s="12" t="s">
        <v>42</v>
      </c>
      <c r="K63" s="12" t="s">
        <v>114</v>
      </c>
      <c r="L63" s="12" t="s">
        <v>43</v>
      </c>
      <c r="M63" s="27">
        <v>45771</v>
      </c>
      <c r="N63" s="14">
        <f>IF(M63="",                                                                                                                                                                                                  "",
   WORKDAY(
      M63,
      IF(I63="S-Special",                                                                                                                                                                                                   45,
         IF(OR(I63="O-General",                                                                                                                                                                                                   I63="S-General"),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3" s="27">
        <v>45798</v>
      </c>
      <c r="P63" s="13">
        <f ca="1">IF(M63="",                                                                                                                                                                                                   "",
   NETWORKDAYS(
      M63,
      IF(O63&lt;&gt;"",                                                                                                                                                                                                   O63,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63" s="13" t="str">
        <f t="shared" ca="1" si="3"/>
        <v>ON KPI</v>
      </c>
      <c r="R63" s="13"/>
      <c r="S63" s="12"/>
      <c r="T63" s="12"/>
      <c r="U63" s="12"/>
      <c r="V63" s="12"/>
      <c r="W63" s="10"/>
      <c r="X63" s="12"/>
      <c r="Y63" s="12"/>
      <c r="Z63" s="29" t="s">
        <v>53</v>
      </c>
      <c r="AA63" s="12"/>
      <c r="AB63" s="12"/>
      <c r="AC63" s="12"/>
      <c r="AD63" s="12"/>
      <c r="AE63" s="12"/>
      <c r="AF63" s="12"/>
      <c r="AG63" s="12"/>
      <c r="AH63" s="12"/>
      <c r="AI63" s="8"/>
    </row>
    <row r="64" spans="1:35" s="9" customFormat="1" ht="41.4" customHeight="1">
      <c r="A64" s="46">
        <v>2025</v>
      </c>
      <c r="B64" s="19" t="str">
        <f t="shared" si="2"/>
        <v>Apr</v>
      </c>
      <c r="C64" s="19" t="s">
        <v>35</v>
      </c>
      <c r="D64" s="19" t="s">
        <v>230</v>
      </c>
      <c r="E64" s="13" t="s">
        <v>231</v>
      </c>
      <c r="F64" s="13" t="s">
        <v>87</v>
      </c>
      <c r="G64" s="13" t="s">
        <v>232</v>
      </c>
      <c r="H64" s="13" t="s">
        <v>233</v>
      </c>
      <c r="I64" s="12" t="s">
        <v>41</v>
      </c>
      <c r="J64" s="12" t="s">
        <v>42</v>
      </c>
      <c r="K64" s="12" t="s">
        <v>52</v>
      </c>
      <c r="L64" s="12" t="s">
        <v>43</v>
      </c>
      <c r="M64" s="27">
        <v>45771</v>
      </c>
      <c r="N64" s="14">
        <f>IF(M64="",                                                                                                                                                                                                  "",
   WORKDAY(
      M64,
      IF(I64="S-Special",                                                                                                                                                                                                   45,
         IF(OR(I64="O-General",                                                                                                                                                                                                   I64="S-General"),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4" s="27">
        <v>45814</v>
      </c>
      <c r="P64" s="13">
        <f ca="1">IF(M64="",                                                                                                                                                                                                   "",
   NETWORKDAYS(
      M64,
      IF(O64&lt;&gt;"",                                                                                                                                                                                                   O64,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64" s="13" t="str">
        <f t="shared" ca="1" si="3"/>
        <v>OVER KPI</v>
      </c>
      <c r="R64" s="13"/>
      <c r="S64" s="12"/>
      <c r="T64" s="12"/>
      <c r="U64" s="12"/>
      <c r="V64" s="12"/>
      <c r="W64" s="10">
        <v>45839</v>
      </c>
      <c r="X64" s="12"/>
      <c r="Y64" s="12"/>
      <c r="Z64" s="29" t="s">
        <v>72</v>
      </c>
      <c r="AA64" s="12"/>
      <c r="AB64" s="12"/>
      <c r="AC64" s="12"/>
      <c r="AD64" s="12"/>
      <c r="AE64" s="12"/>
      <c r="AF64" s="12"/>
      <c r="AG64" s="12"/>
      <c r="AH64" s="12"/>
      <c r="AI64" s="8"/>
    </row>
    <row r="65" spans="1:35" s="9" customFormat="1" ht="41.4" customHeight="1">
      <c r="A65" s="46">
        <v>2025</v>
      </c>
      <c r="B65" s="19" t="str">
        <f t="shared" si="2"/>
        <v>Apr</v>
      </c>
      <c r="C65" s="19" t="s">
        <v>35</v>
      </c>
      <c r="D65" s="19" t="s">
        <v>234</v>
      </c>
      <c r="E65" s="13" t="s">
        <v>235</v>
      </c>
      <c r="F65" s="13" t="s">
        <v>61</v>
      </c>
      <c r="G65" s="13" t="s">
        <v>236</v>
      </c>
      <c r="H65" s="13" t="s">
        <v>222</v>
      </c>
      <c r="I65" s="12" t="s">
        <v>41</v>
      </c>
      <c r="J65" s="12" t="s">
        <v>42</v>
      </c>
      <c r="K65" s="12" t="s">
        <v>52</v>
      </c>
      <c r="L65" s="12" t="s">
        <v>43</v>
      </c>
      <c r="M65" s="27">
        <v>45771</v>
      </c>
      <c r="N65" s="14">
        <f>IF(M65="",                                                                                                                                                                                                  "",
   WORKDAY(
      M65,
      IF(I65="S-Special",                                                                                                                                                                                                   45,
         IF(OR(I65="O-General",                                                                                                                                                                                                   I65="S-General"),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5" s="27">
        <v>45905</v>
      </c>
      <c r="P65" s="13">
        <f ca="1">IF(M65="",                                                                                                                                                                                                   "",
   NETWORKDAYS(
      M65,
      IF(O65&lt;&gt;"",                                                                                                                                                                                                   O65,                                                                                                                                                                                                   TODAY()),
      Dropdown!$A$2:$A$100
   )
)</f>
        <v>97</v>
      </c>
      <c r="Q65" s="13" t="str">
        <f t="shared" ca="1" si="3"/>
        <v>OVER KPI</v>
      </c>
      <c r="R65" s="13"/>
      <c r="S65" s="12"/>
      <c r="T65" s="12"/>
      <c r="U65" s="12"/>
      <c r="V65" s="12"/>
      <c r="W65" s="10">
        <v>45931</v>
      </c>
      <c r="X65" s="12"/>
      <c r="Y65" s="12"/>
      <c r="Z65" s="28" t="s">
        <v>53</v>
      </c>
      <c r="AA65" s="12"/>
      <c r="AB65" s="12"/>
      <c r="AC65" s="12"/>
      <c r="AD65" s="12"/>
      <c r="AE65" s="12"/>
      <c r="AF65" s="12"/>
      <c r="AG65" s="12"/>
      <c r="AH65" s="12"/>
      <c r="AI65" s="8"/>
    </row>
    <row r="66" spans="1:35" s="9" customFormat="1" ht="41.4" customHeight="1">
      <c r="A66" s="46">
        <v>2025</v>
      </c>
      <c r="B66" s="19" t="str">
        <f t="shared" ref="B66:B98" si="4">IF(M66="",   "",   TEXT(M66,   "[$-en-US]mmm"))</f>
        <v>Apr</v>
      </c>
      <c r="C66" s="19" t="s">
        <v>35</v>
      </c>
      <c r="D66" s="19" t="s">
        <v>237</v>
      </c>
      <c r="E66" s="13" t="s">
        <v>237</v>
      </c>
      <c r="F66" s="13" t="s">
        <v>48</v>
      </c>
      <c r="G66" s="13" t="s">
        <v>97</v>
      </c>
      <c r="H66" s="13" t="s">
        <v>238</v>
      </c>
      <c r="I66" s="12" t="s">
        <v>51</v>
      </c>
      <c r="J66" s="12" t="s">
        <v>42</v>
      </c>
      <c r="K66" s="12" t="s">
        <v>52</v>
      </c>
      <c r="L66" s="12" t="s">
        <v>43</v>
      </c>
      <c r="M66" s="27">
        <v>45771</v>
      </c>
      <c r="N66" s="14">
        <f>IF(M66="",                                                                                                                                                                                                  "",
   WORKDAY(
      M66,
      IF(I66="S-Special",                                                                                                                                                                                                   45,
         IF(OR(I66="O-General",                                                                                                                                                                                                   I66="S-General"),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66" s="27">
        <v>45856</v>
      </c>
      <c r="P66" s="13">
        <f ca="1">IF(M66="",                                                                                                                                                                                                   "",
   NETWORKDAYS(
      M66,
      IF(O66&lt;&gt;"",                                                                                                                                                                                                   O66,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66" s="13" t="str">
        <f t="shared" ref="Q66:Q97" ca="1" si="5">IF(P66="",                                                                                                                                                                                                   "",
   IF(OR(I66="O-General",                                                                                                                                                                                                   I66="S-General"),
      IF(P66&lt;=30,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IF(I66="S-Special",
         IF(P66&lt;=45,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6" s="13"/>
      <c r="S66" s="12"/>
      <c r="T66" s="12"/>
      <c r="U66" s="12"/>
      <c r="V66" s="12"/>
      <c r="W66" s="10">
        <v>45870</v>
      </c>
      <c r="X66" s="12"/>
      <c r="Y66" s="12"/>
      <c r="Z66" s="29" t="s">
        <v>53</v>
      </c>
      <c r="AA66" s="12"/>
      <c r="AB66" s="12"/>
      <c r="AC66" s="12"/>
      <c r="AD66" s="12"/>
      <c r="AE66" s="12"/>
      <c r="AF66" s="12"/>
      <c r="AG66" s="12"/>
      <c r="AH66" s="12"/>
      <c r="AI66" s="8"/>
    </row>
    <row r="67" spans="1:35" s="9" customFormat="1" ht="41.4" customHeight="1">
      <c r="A67" s="46">
        <v>2025</v>
      </c>
      <c r="B67" s="19" t="str">
        <f t="shared" si="4"/>
        <v>Apr</v>
      </c>
      <c r="C67" s="19" t="s">
        <v>35</v>
      </c>
      <c r="D67" s="19" t="s">
        <v>239</v>
      </c>
      <c r="E67" s="13" t="s">
        <v>240</v>
      </c>
      <c r="F67" s="13" t="s">
        <v>87</v>
      </c>
      <c r="G67" s="13" t="s">
        <v>99</v>
      </c>
      <c r="H67" s="13" t="s">
        <v>222</v>
      </c>
      <c r="I67" s="12" t="s">
        <v>82</v>
      </c>
      <c r="J67" s="12" t="s">
        <v>42</v>
      </c>
      <c r="K67" s="12" t="s">
        <v>52</v>
      </c>
      <c r="L67" s="12" t="s">
        <v>43</v>
      </c>
      <c r="M67" s="27">
        <v>45771</v>
      </c>
      <c r="N67" s="14">
        <f>IF(M67="",                                                                                                                                                                                                  "",
   WORKDAY(
      M67,
      IF(I67="S-Special",                                                                                                                                                                                                   45,
         IF(OR(I67="O-General",                                                                                                                                                                                                   I67="S-General"),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7" s="27">
        <v>45842</v>
      </c>
      <c r="P67" s="13">
        <f ca="1">IF(M67="",                                                                                                                                                                                                   "",
   NETWORKDAYS(
      M67,
      IF(O67&lt;&gt;"",                                                                                                                                                                                                   O67,                                                                                                                                                                                                   TODAY()),
      Dropdown!$A$2:$A$100
   )
)</f>
        <v>52</v>
      </c>
      <c r="Q67" s="13" t="str">
        <f t="shared" ca="1" si="5"/>
        <v>OVER KPI</v>
      </c>
      <c r="R67" s="13"/>
      <c r="S67" s="12"/>
      <c r="T67" s="12"/>
      <c r="U67" s="12"/>
      <c r="V67" s="12"/>
      <c r="W67" s="10"/>
      <c r="X67" s="12"/>
      <c r="Y67" s="12"/>
      <c r="Z67" s="28" t="s">
        <v>72</v>
      </c>
      <c r="AA67" s="12"/>
      <c r="AB67" s="12"/>
      <c r="AC67" s="12"/>
      <c r="AD67" s="12"/>
      <c r="AE67" s="12"/>
      <c r="AF67" s="12"/>
      <c r="AG67" s="12"/>
      <c r="AH67" s="12"/>
      <c r="AI67" s="8"/>
    </row>
    <row r="68" spans="1:35" s="9" customFormat="1" ht="41.4" customHeight="1">
      <c r="A68" s="46">
        <v>2025</v>
      </c>
      <c r="B68" s="19" t="str">
        <f t="shared" si="4"/>
        <v>Apr</v>
      </c>
      <c r="C68" s="19" t="s">
        <v>35</v>
      </c>
      <c r="D68" s="19" t="s">
        <v>241</v>
      </c>
      <c r="E68" s="13" t="s">
        <v>242</v>
      </c>
      <c r="F68" s="13" t="s">
        <v>61</v>
      </c>
      <c r="G68" s="13" t="s">
        <v>94</v>
      </c>
      <c r="H68" s="13" t="s">
        <v>243</v>
      </c>
      <c r="I68" s="12" t="s">
        <v>82</v>
      </c>
      <c r="J68" s="12" t="s">
        <v>42</v>
      </c>
      <c r="K68" s="12" t="s">
        <v>52</v>
      </c>
      <c r="L68" s="12" t="s">
        <v>43</v>
      </c>
      <c r="M68" s="27">
        <v>45771</v>
      </c>
      <c r="N68" s="14">
        <f>IF(M68="",                                                                                                                                                                                                  "",
   WORKDAY(
      M68,
      IF(I68="S-Special",                                                                                                                                                                                                   45,
         IF(OR(I68="O-General",                                                                                                                                                                                                   I68="S-General"),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8" s="27">
        <v>45821</v>
      </c>
      <c r="P68" s="13">
        <f ca="1">IF(M68="",                                                                                                                                                                                                   "",
   NETWORKDAYS(
      M68,
      IF(O68&lt;&gt;"",                                                                                                                                                                                                   O68,                                                                                                                                                                                                   TODAY()),
      Dropdown!$A$2:$A$100
   )
)</f>
        <v>37</v>
      </c>
      <c r="Q68" s="13" t="str">
        <f t="shared" ca="1" si="5"/>
        <v>OVER KPI</v>
      </c>
      <c r="R68" s="13"/>
      <c r="S68" s="12"/>
      <c r="T68" s="12"/>
      <c r="U68" s="12"/>
      <c r="V68" s="12"/>
      <c r="W68" s="10"/>
      <c r="X68" s="12"/>
      <c r="Y68" s="12"/>
      <c r="Z68" s="29" t="s">
        <v>72</v>
      </c>
      <c r="AA68" s="12"/>
      <c r="AB68" s="12"/>
      <c r="AC68" s="12"/>
      <c r="AD68" s="12"/>
      <c r="AE68" s="12"/>
      <c r="AF68" s="12"/>
      <c r="AG68" s="12"/>
      <c r="AH68" s="12"/>
      <c r="AI68" s="8"/>
    </row>
    <row r="69" spans="1:35" s="9" customFormat="1" ht="41.4" customHeight="1">
      <c r="A69" s="46">
        <v>2025</v>
      </c>
      <c r="B69" s="19" t="str">
        <f t="shared" si="4"/>
        <v>May</v>
      </c>
      <c r="C69" s="19" t="s">
        <v>45</v>
      </c>
      <c r="D69" s="19" t="s">
        <v>166</v>
      </c>
      <c r="E69" s="13" t="s">
        <v>166</v>
      </c>
      <c r="F69" s="13" t="s">
        <v>111</v>
      </c>
      <c r="G69" s="13" t="s">
        <v>167</v>
      </c>
      <c r="H69" s="13" t="s">
        <v>168</v>
      </c>
      <c r="I69" s="12" t="s">
        <v>51</v>
      </c>
      <c r="J69" s="12" t="s">
        <v>42</v>
      </c>
      <c r="K69" s="12" t="s">
        <v>114</v>
      </c>
      <c r="L69" s="12" t="s">
        <v>43</v>
      </c>
      <c r="M69" s="27">
        <v>45792</v>
      </c>
      <c r="N69" s="14">
        <f>IF(M69="",                                                                                                                                                                                                  "",
   WORKDAY(
      M69,
      IF(I69="S-Special",                                                                                                                                                                                                   45,
         IF(OR(I69="O-General",                                                                                                                                                                                                   I69="S-General"),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69" s="27">
        <v>45797</v>
      </c>
      <c r="P69" s="13">
        <f ca="1">IF(M69="",                                                                                                                                                                                                   "",
   NETWORKDAYS(
      M69,
      IF(O69&lt;&gt;"",                                                                                                                                                                                                   O69,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69" s="13" t="str">
        <f t="shared" ca="1" si="5"/>
        <v>ON KPI</v>
      </c>
      <c r="R69" s="13"/>
      <c r="S69" s="12"/>
      <c r="T69" s="12"/>
      <c r="U69" s="12"/>
      <c r="V69" s="12"/>
      <c r="W69" s="10">
        <v>45839</v>
      </c>
      <c r="X69" s="12"/>
      <c r="Y69" s="12"/>
      <c r="Z69" s="33" t="s">
        <v>53</v>
      </c>
      <c r="AA69" s="12"/>
      <c r="AB69" s="12"/>
      <c r="AC69" s="12"/>
      <c r="AD69" s="12"/>
      <c r="AE69" s="12"/>
      <c r="AF69" s="12"/>
      <c r="AG69" s="12"/>
      <c r="AH69" s="12"/>
      <c r="AI69" s="8"/>
    </row>
    <row r="70" spans="1:35" s="9" customFormat="1" ht="41.4" customHeight="1">
      <c r="A70" s="46">
        <v>2025</v>
      </c>
      <c r="B70" s="19" t="str">
        <f t="shared" si="4"/>
        <v>May</v>
      </c>
      <c r="C70" s="19" t="s">
        <v>45</v>
      </c>
      <c r="D70" s="19" t="s">
        <v>166</v>
      </c>
      <c r="E70" s="13" t="s">
        <v>166</v>
      </c>
      <c r="F70" s="13" t="s">
        <v>111</v>
      </c>
      <c r="G70" s="13" t="s">
        <v>244</v>
      </c>
      <c r="H70" s="13" t="s">
        <v>168</v>
      </c>
      <c r="I70" s="12" t="s">
        <v>51</v>
      </c>
      <c r="J70" s="12" t="s">
        <v>83</v>
      </c>
      <c r="K70" s="12" t="s">
        <v>114</v>
      </c>
      <c r="L70" s="12" t="s">
        <v>84</v>
      </c>
      <c r="M70" s="27">
        <v>45792</v>
      </c>
      <c r="N70" s="14">
        <f>IF(M70="",                                                                                                                                                                                                  "",
   WORKDAY(
      M70,
      IF(I70="S-Special",                                                                                                                                                                                                   45,
         IF(OR(I70="O-General",                                                                                                                                                                                                   I70="S-General"),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0" s="27"/>
      <c r="P70" s="13">
        <f ca="1">IF(M70="",                                                                                                                                                                                                   "",
   NETWORKDAYS(
      M70,
      IF(O70&lt;&gt;"",                                                                                                                                                                                                   O70,                                                                                                                                                                                                   TODAY()),
      Dropdown!$A$2:$A$100
   )
)</f>
        <v>303</v>
      </c>
      <c r="Q70" s="13" t="str">
        <f t="shared" ca="1" si="5"/>
        <v>OVER KPI</v>
      </c>
      <c r="R70" s="13"/>
      <c r="S70" s="12"/>
      <c r="T70" s="12"/>
      <c r="U70" s="12"/>
      <c r="V70" s="12"/>
      <c r="W70" s="10" t="s">
        <v>245</v>
      </c>
      <c r="X70" s="12"/>
      <c r="Y70" s="8"/>
      <c r="Z70" s="31" t="s">
        <v>215</v>
      </c>
      <c r="AA70" s="23"/>
      <c r="AB70" s="12"/>
      <c r="AC70" s="12"/>
      <c r="AD70" s="12"/>
      <c r="AE70" s="12"/>
      <c r="AF70" s="12"/>
      <c r="AG70" s="12"/>
      <c r="AH70" s="12"/>
      <c r="AI70" s="8"/>
    </row>
    <row r="71" spans="1:35" s="9" customFormat="1" ht="41.4" customHeight="1">
      <c r="A71" s="46">
        <v>2025</v>
      </c>
      <c r="B71" s="19" t="str">
        <f t="shared" si="4"/>
        <v>May</v>
      </c>
      <c r="C71" s="19" t="s">
        <v>35</v>
      </c>
      <c r="D71" s="19" t="s">
        <v>246</v>
      </c>
      <c r="E71" s="13" t="s">
        <v>247</v>
      </c>
      <c r="F71" s="13" t="s">
        <v>90</v>
      </c>
      <c r="G71" s="13" t="s">
        <v>156</v>
      </c>
      <c r="H71" s="13" t="s">
        <v>246</v>
      </c>
      <c r="I71" s="12" t="s">
        <v>51</v>
      </c>
      <c r="J71" s="12" t="s">
        <v>42</v>
      </c>
      <c r="K71" s="12" t="s">
        <v>114</v>
      </c>
      <c r="L71" s="12" t="s">
        <v>43</v>
      </c>
      <c r="M71" s="34">
        <v>45792</v>
      </c>
      <c r="N71" s="14">
        <f>IF(M71="",                                                                                                                                                                                                  "",
   WORKDAY(
      M71,
      IF(I71="S-Special",                                                                                                                                                                                                   45,
         IF(OR(I71="O-General",                                                                                                                                                                                                   I71="S-General"),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1" s="10">
        <v>45952</v>
      </c>
      <c r="P71" s="13">
        <f ca="1">IF(M71="",                                                                                                                                                                                                   "",
   NETWORKDAYS(
      M71,
      IF(O71&lt;&gt;"",                                                                                                                                                                                                   O71,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1" s="13" t="str">
        <f t="shared" ca="1" si="5"/>
        <v>OVER KPI</v>
      </c>
      <c r="R71" s="13"/>
      <c r="S71" s="12"/>
      <c r="T71" s="12"/>
      <c r="U71" s="12"/>
      <c r="V71" s="12"/>
      <c r="W71" s="40">
        <v>45977</v>
      </c>
      <c r="X71" s="12"/>
      <c r="Y71" s="8"/>
      <c r="Z71" s="12" t="s">
        <v>44</v>
      </c>
      <c r="AA71" s="23"/>
      <c r="AB71" s="12"/>
      <c r="AC71" s="12"/>
      <c r="AD71" s="12"/>
      <c r="AE71" s="12"/>
      <c r="AF71" s="12"/>
      <c r="AG71" s="12"/>
      <c r="AH71" s="12"/>
      <c r="AI71" s="8"/>
    </row>
    <row r="72" spans="1:35" s="9" customFormat="1" ht="41.4" customHeight="1">
      <c r="A72" s="46">
        <v>2025</v>
      </c>
      <c r="B72" s="19" t="str">
        <f t="shared" si="4"/>
        <v>May</v>
      </c>
      <c r="C72" s="19" t="s">
        <v>35</v>
      </c>
      <c r="D72" s="19" t="s">
        <v>46</v>
      </c>
      <c r="E72" s="13" t="s">
        <v>248</v>
      </c>
      <c r="F72" s="13" t="s">
        <v>61</v>
      </c>
      <c r="G72" s="13" t="s">
        <v>104</v>
      </c>
      <c r="H72" s="13" t="s">
        <v>249</v>
      </c>
      <c r="I72" s="12" t="s">
        <v>41</v>
      </c>
      <c r="J72" s="12" t="s">
        <v>42</v>
      </c>
      <c r="K72" s="12" t="s">
        <v>52</v>
      </c>
      <c r="L72" s="12" t="s">
        <v>43</v>
      </c>
      <c r="M72" s="27">
        <v>45792</v>
      </c>
      <c r="N72" s="14">
        <f>IF(M72="",                                                                                                                                                                                                  "",
   WORKDAY(
      M72,
      IF(I72="S-Special",                                                                                                                                                                                                   45,
         IF(OR(I72="O-General",                                                                                                                                                                                                   I72="S-General"),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2" s="27">
        <v>45952</v>
      </c>
      <c r="P72" s="13">
        <f ca="1">IF(M72="",                                                                                                                                                                                                   "",
   NETWORKDAYS(
      M72,
      IF(O72&lt;&gt;"",                                                                                                                                                                                                   O72,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2" s="13" t="str">
        <f t="shared" ca="1" si="5"/>
        <v>OVER KPI</v>
      </c>
      <c r="R72" s="13"/>
      <c r="S72" s="12"/>
      <c r="T72" s="12"/>
      <c r="U72" s="12"/>
      <c r="V72" s="12"/>
      <c r="W72" s="42">
        <v>45946</v>
      </c>
      <c r="X72" s="12"/>
      <c r="Y72" s="12"/>
      <c r="Z72" s="32" t="s">
        <v>215</v>
      </c>
      <c r="AA72" s="12"/>
      <c r="AB72" s="12"/>
      <c r="AC72" s="12"/>
      <c r="AD72" s="12"/>
      <c r="AE72" s="12"/>
      <c r="AF72" s="12"/>
      <c r="AG72" s="12"/>
      <c r="AH72" s="12"/>
      <c r="AI72" s="8"/>
    </row>
    <row r="73" spans="1:35" s="9" customFormat="1" ht="41.4" customHeight="1">
      <c r="A73" s="46">
        <v>2025</v>
      </c>
      <c r="B73" s="19" t="str">
        <f t="shared" si="4"/>
        <v>May</v>
      </c>
      <c r="C73" s="19" t="s">
        <v>35</v>
      </c>
      <c r="D73" s="19" t="s">
        <v>250</v>
      </c>
      <c r="E73" s="13" t="s">
        <v>251</v>
      </c>
      <c r="F73" s="13" t="s">
        <v>38</v>
      </c>
      <c r="G73" s="13" t="s">
        <v>252</v>
      </c>
      <c r="H73" s="13" t="s">
        <v>251</v>
      </c>
      <c r="I73" s="12" t="s">
        <v>51</v>
      </c>
      <c r="J73" s="12" t="s">
        <v>42</v>
      </c>
      <c r="K73" s="12" t="s">
        <v>52</v>
      </c>
      <c r="L73" s="12" t="s">
        <v>43</v>
      </c>
      <c r="M73" s="27">
        <v>45792</v>
      </c>
      <c r="N73" s="14">
        <f>IF(M73="",                                                                                                                                                                                                  "",
   WORKDAY(
      M73,
      IF(I73="S-Special",                                                                                                                                                                                                   45,
         IF(OR(I73="O-General",                                                                                                                                                                                                   I73="S-General"),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3" s="27">
        <v>45814</v>
      </c>
      <c r="P73" s="13">
        <f ca="1">IF(M73="",                                                                                                                                                                                                   "",
   NETWORKDAYS(
      M73,
      IF(O73&lt;&gt;"",                                                                                                                                                                                                   O73,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73" s="13" t="str">
        <f t="shared" ca="1" si="5"/>
        <v>ON KPI</v>
      </c>
      <c r="R73" s="13"/>
      <c r="S73" s="12"/>
      <c r="T73" s="12"/>
      <c r="U73" s="12"/>
      <c r="V73" s="12"/>
      <c r="W73" s="39">
        <v>46038</v>
      </c>
      <c r="X73" s="12"/>
      <c r="Y73" s="12"/>
      <c r="Z73" s="33" t="s">
        <v>53</v>
      </c>
      <c r="AA73" s="12"/>
      <c r="AB73" s="12"/>
      <c r="AC73" s="12"/>
      <c r="AD73" s="12"/>
      <c r="AE73" s="12"/>
      <c r="AF73" s="12"/>
      <c r="AG73" s="12"/>
      <c r="AH73" s="12"/>
      <c r="AI73" s="8"/>
    </row>
    <row r="74" spans="1:35" s="9" customFormat="1" ht="41.4" customHeight="1">
      <c r="A74" s="46">
        <v>2025</v>
      </c>
      <c r="B74" s="19" t="str">
        <f t="shared" si="4"/>
        <v>May</v>
      </c>
      <c r="C74" s="19" t="s">
        <v>35</v>
      </c>
      <c r="D74" s="19" t="s">
        <v>253</v>
      </c>
      <c r="E74" s="13" t="s">
        <v>253</v>
      </c>
      <c r="F74" s="13" t="s">
        <v>87</v>
      </c>
      <c r="G74" s="13" t="s">
        <v>106</v>
      </c>
      <c r="H74" s="13" t="s">
        <v>254</v>
      </c>
      <c r="I74" s="12" t="s">
        <v>41</v>
      </c>
      <c r="J74" s="12" t="s">
        <v>42</v>
      </c>
      <c r="K74" s="12" t="s">
        <v>52</v>
      </c>
      <c r="L74" s="12" t="s">
        <v>43</v>
      </c>
      <c r="M74" s="27">
        <v>45792</v>
      </c>
      <c r="N74" s="14">
        <f>IF(M74="",                                                                                                                                                                                                  "",
   WORKDAY(
      M74,
      IF(I74="S-Special",                                                                                                                                                                                                   45,
         IF(OR(I74="O-General",                                                                                                                                                                                                   I74="S-General"),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4" s="27">
        <v>45877</v>
      </c>
      <c r="P74" s="13">
        <f ca="1">IF(M74="",                                                                                                                                                                                                   "",
   NETWORKDAYS(
      M74,
      IF(O74&lt;&gt;"",                                                                                                                                                                                                   O74,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74" s="13" t="str">
        <f t="shared" ca="1" si="5"/>
        <v>OVER KPI</v>
      </c>
      <c r="R74" s="13"/>
      <c r="S74" s="12"/>
      <c r="T74" s="12"/>
      <c r="U74" s="12"/>
      <c r="V74" s="12"/>
      <c r="W74" s="42">
        <v>45885</v>
      </c>
      <c r="X74" s="12"/>
      <c r="Y74" s="8"/>
      <c r="Z74" s="12" t="s">
        <v>72</v>
      </c>
      <c r="AA74" s="23"/>
      <c r="AB74" s="12"/>
      <c r="AC74" s="12"/>
      <c r="AD74" s="12"/>
      <c r="AE74" s="12"/>
      <c r="AF74" s="12"/>
      <c r="AG74" s="12"/>
      <c r="AH74" s="12"/>
      <c r="AI74" s="8"/>
    </row>
    <row r="75" spans="1:35" s="9" customFormat="1" ht="41.4" customHeight="1">
      <c r="A75" s="46">
        <v>2025</v>
      </c>
      <c r="B75" s="19" t="str">
        <f t="shared" si="4"/>
        <v>Jun</v>
      </c>
      <c r="C75" s="19" t="s">
        <v>35</v>
      </c>
      <c r="D75" s="19" t="s">
        <v>138</v>
      </c>
      <c r="E75" s="13" t="s">
        <v>138</v>
      </c>
      <c r="F75" s="13" t="s">
        <v>66</v>
      </c>
      <c r="G75" s="13" t="s">
        <v>139</v>
      </c>
      <c r="H75" s="13" t="s">
        <v>140</v>
      </c>
      <c r="I75" s="12" t="s">
        <v>41</v>
      </c>
      <c r="J75" s="12" t="s">
        <v>42</v>
      </c>
      <c r="K75" s="12" t="s">
        <v>52</v>
      </c>
      <c r="L75" s="12" t="s">
        <v>43</v>
      </c>
      <c r="M75" s="27">
        <v>45817</v>
      </c>
      <c r="N75" s="14">
        <f>IF(M75="",                                                                                                                                                                                                  "",
   WORKDAY(
      M75,
      IF(I75="S-Special",                                                                                                                                                                                                   45,
         IF(OR(I75="O-General",                                                                                                                                                                                                   I75="S-General"),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5" s="27">
        <v>45973</v>
      </c>
      <c r="P75" s="13">
        <f ca="1">IF(M75="",                                                                                                                                                                                                   "",
   NETWORKDAYS(
      M75,
      IF(O75&lt;&gt;"",                                                                                                                                                                                                   O75,                                                                                                                                                                                                   TODAY()),
      Dropdown!$A$2:$A$100
   )
)</f>
        <v>113</v>
      </c>
      <c r="Q75" s="13" t="str">
        <f t="shared" ca="1" si="5"/>
        <v>OVER KPI</v>
      </c>
      <c r="R75" s="13"/>
      <c r="S75" s="12"/>
      <c r="T75" s="12"/>
      <c r="U75" s="12"/>
      <c r="V75" s="12" t="s">
        <v>255</v>
      </c>
      <c r="W75" s="41">
        <v>45977</v>
      </c>
      <c r="X75" s="12"/>
      <c r="Y75" s="12"/>
      <c r="Z75" s="35" t="s">
        <v>215</v>
      </c>
      <c r="AA75" s="12"/>
      <c r="AB75" s="12"/>
      <c r="AC75" s="12"/>
      <c r="AD75" s="12"/>
      <c r="AE75" s="12"/>
      <c r="AF75" s="12"/>
      <c r="AG75" s="12"/>
      <c r="AH75" s="12"/>
      <c r="AI75" s="8"/>
    </row>
    <row r="76" spans="1:35" s="9" customFormat="1" ht="41.4" customHeight="1">
      <c r="A76" s="46">
        <v>2025</v>
      </c>
      <c r="B76" s="19" t="str">
        <f t="shared" si="4"/>
        <v>Jun</v>
      </c>
      <c r="C76" s="19" t="s">
        <v>35</v>
      </c>
      <c r="D76" s="19" t="s">
        <v>256</v>
      </c>
      <c r="E76" s="16" t="s">
        <v>256</v>
      </c>
      <c r="F76" s="17" t="s">
        <v>61</v>
      </c>
      <c r="G76" s="17" t="s">
        <v>94</v>
      </c>
      <c r="H76" s="17" t="s">
        <v>206</v>
      </c>
      <c r="I76" s="12" t="s">
        <v>51</v>
      </c>
      <c r="J76" s="12" t="s">
        <v>42</v>
      </c>
      <c r="K76" s="17" t="s">
        <v>52</v>
      </c>
      <c r="L76" s="12" t="s">
        <v>43</v>
      </c>
      <c r="M76" s="27">
        <v>45835</v>
      </c>
      <c r="N76" s="14">
        <f>IF(M76="",                                                                                                                                                                                                  "",
   WORKDAY(
      M76,
      IF(I76="S-Special",                                                                                                                                                                                                   45,
         IF(OR(I76="O-General",                                                                                                                                                                                                   I76="S-General"),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45898</v>
      </c>
      <c r="O76" s="27">
        <v>45891</v>
      </c>
      <c r="P76" s="13">
        <f ca="1">IF(M76="",                                                                                                                                                                                                   "",
   NETWORKDAYS(
      M76,
      IF(O76&lt;&gt;"",                                                                                                                                                                                                   O76,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76" s="13" t="str">
        <f t="shared" ca="1" si="5"/>
        <v>ON KPI</v>
      </c>
      <c r="R76" s="13"/>
      <c r="S76" s="17"/>
      <c r="T76" s="17"/>
      <c r="U76" s="17"/>
      <c r="V76" s="17"/>
      <c r="W76" s="26">
        <v>45931</v>
      </c>
      <c r="X76" s="17"/>
      <c r="Y76" s="22"/>
      <c r="Z76" s="31" t="s">
        <v>215</v>
      </c>
      <c r="AA76" s="24"/>
      <c r="AB76" s="17"/>
      <c r="AC76" s="17"/>
      <c r="AD76" s="17"/>
      <c r="AE76" s="17"/>
      <c r="AF76" s="17"/>
      <c r="AG76" s="17"/>
      <c r="AH76" s="17"/>
      <c r="AI76" s="8"/>
    </row>
    <row r="77" spans="1:35" s="9" customFormat="1" ht="41.4" customHeight="1">
      <c r="A77" s="46">
        <v>2025</v>
      </c>
      <c r="B77" s="19" t="str">
        <f t="shared" si="4"/>
        <v>Jun</v>
      </c>
      <c r="C77" s="19" t="s">
        <v>35</v>
      </c>
      <c r="D77" s="19" t="s">
        <v>180</v>
      </c>
      <c r="E77" s="16" t="s">
        <v>257</v>
      </c>
      <c r="F77" s="17" t="s">
        <v>182</v>
      </c>
      <c r="G77" s="17" t="s">
        <v>258</v>
      </c>
      <c r="H77" s="17" t="s">
        <v>259</v>
      </c>
      <c r="I77" s="17" t="s">
        <v>41</v>
      </c>
      <c r="J77" s="12" t="s">
        <v>42</v>
      </c>
      <c r="K77" s="17" t="s">
        <v>52</v>
      </c>
      <c r="L77" s="12" t="s">
        <v>43</v>
      </c>
      <c r="M77" s="27">
        <v>45817</v>
      </c>
      <c r="N77" s="14">
        <f>IF(M77="",                                                                                                                                                                                                  "",
   WORKDAY(
      M77,
      IF(I77="S-Special",                                                                                                                                                                                                   45,
         IF(OR(I77="O-General",                                                                                                                                                                                                   I77="S-General"),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7" s="27">
        <v>45860</v>
      </c>
      <c r="P77" s="13">
        <f ca="1">IF(M77="",                                                                                                                                                                                                   "",
   NETWORKDAYS(
      M77,
      IF(O77&lt;&gt;"",                                                                                                                                                                                                   O77,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77" s="13" t="str">
        <f t="shared" ca="1" si="5"/>
        <v>OVER KPI</v>
      </c>
      <c r="R77" s="13"/>
      <c r="S77" s="17"/>
      <c r="T77" s="17"/>
      <c r="U77" s="17"/>
      <c r="V77" s="17"/>
      <c r="W77" s="26">
        <v>45885</v>
      </c>
      <c r="X77" s="17"/>
      <c r="Y77" s="22"/>
      <c r="Z77" s="31" t="s">
        <v>215</v>
      </c>
      <c r="AA77" s="24"/>
      <c r="AB77" s="17"/>
      <c r="AC77" s="17"/>
      <c r="AD77" s="17"/>
      <c r="AE77" s="17"/>
      <c r="AF77" s="17"/>
      <c r="AG77" s="17"/>
      <c r="AH77" s="17"/>
      <c r="AI77" s="8"/>
    </row>
    <row r="78" spans="1:35" s="11" customFormat="1" ht="41.4" customHeight="1">
      <c r="A78" s="46">
        <v>2025</v>
      </c>
      <c r="B78" s="19" t="str">
        <f t="shared" si="4"/>
        <v>Jun</v>
      </c>
      <c r="C78" s="19" t="s">
        <v>35</v>
      </c>
      <c r="D78" s="20" t="s">
        <v>260</v>
      </c>
      <c r="E78" s="12" t="s">
        <v>260</v>
      </c>
      <c r="F78" s="12" t="s">
        <v>48</v>
      </c>
      <c r="G78" s="12" t="s">
        <v>261</v>
      </c>
      <c r="H78" s="12" t="s">
        <v>262</v>
      </c>
      <c r="I78" s="12" t="s">
        <v>51</v>
      </c>
      <c r="J78" s="12" t="s">
        <v>42</v>
      </c>
      <c r="K78" s="12" t="s">
        <v>52</v>
      </c>
      <c r="L78" s="12" t="s">
        <v>43</v>
      </c>
      <c r="M78" s="27">
        <v>45825</v>
      </c>
      <c r="N78" s="14">
        <f>IF(M78="",                                                                                                                                                                                                  "",
   WORKDAY(
      M78,
      IF(I78="S-Special",                                                                                                                                                                                                   45,
         IF(OR(I78="O-General",                                                                                                                                                                                                   I78="S-General"),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45888</v>
      </c>
      <c r="O78" s="27">
        <v>45834</v>
      </c>
      <c r="P78" s="13">
        <f ca="1">IF(M78="",                                                                                                                                                                                                   "",
   NETWORKDAYS(
      M78,
      IF(O78&lt;&gt;"",                                                                                                                                                                                                   O78,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78" s="13" t="str">
        <f t="shared" ca="1" si="5"/>
        <v>ON KPI</v>
      </c>
      <c r="R78" s="13"/>
      <c r="S78" s="12"/>
      <c r="T78" s="12"/>
      <c r="U78" s="12"/>
      <c r="V78" s="12"/>
      <c r="W78" s="10">
        <v>45854</v>
      </c>
      <c r="X78" s="12"/>
      <c r="Y78" s="37"/>
      <c r="Z78" s="31" t="s">
        <v>215</v>
      </c>
      <c r="AA78" s="23"/>
      <c r="AB78" s="12"/>
      <c r="AC78" s="15">
        <v>150</v>
      </c>
      <c r="AD78" s="15">
        <v>2</v>
      </c>
      <c r="AE78" s="15">
        <v>2</v>
      </c>
      <c r="AF78" s="15"/>
      <c r="AG78" s="15"/>
      <c r="AH78" s="12"/>
      <c r="AI78" s="8"/>
    </row>
    <row r="79" spans="1:35" s="11" customFormat="1" ht="41.4" customHeight="1">
      <c r="A79" s="46">
        <v>2025</v>
      </c>
      <c r="B79" s="19" t="str">
        <f t="shared" si="4"/>
        <v>Jun</v>
      </c>
      <c r="C79" s="19" t="s">
        <v>35</v>
      </c>
      <c r="D79" s="20" t="s">
        <v>263</v>
      </c>
      <c r="E79" s="12" t="s">
        <v>263</v>
      </c>
      <c r="F79" s="12" t="s">
        <v>48</v>
      </c>
      <c r="G79" s="12" t="s">
        <v>97</v>
      </c>
      <c r="H79" s="12" t="s">
        <v>159</v>
      </c>
      <c r="I79" s="12" t="s">
        <v>51</v>
      </c>
      <c r="J79" s="12" t="s">
        <v>42</v>
      </c>
      <c r="K79" s="12"/>
      <c r="L79" s="12" t="s">
        <v>43</v>
      </c>
      <c r="M79" s="27">
        <v>45817</v>
      </c>
      <c r="N79" s="14">
        <f>IF(M79="",                                                                                                                                                                                                  "",
   WORKDAY(
      M79,
      IF(I79="S-Special",                                                                                                                                                                                                   45,
         IF(OR(I79="O-General",                                                                                                                                                                                                   I79="S-General"),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45880</v>
      </c>
      <c r="O79" s="27">
        <v>45821</v>
      </c>
      <c r="P79" s="13">
        <f ca="1">IF(M79="",                                                                                                                                                                                                   "",
   NETWORKDAYS(
      M79,
      IF(O79&lt;&gt;"",                                                                                                                                                                                                   O79,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79" s="13" t="str">
        <f t="shared" ca="1" si="5"/>
        <v>ON KPI</v>
      </c>
      <c r="R79" s="13"/>
      <c r="S79" s="12"/>
      <c r="T79" s="12"/>
      <c r="U79" s="12"/>
      <c r="V79" s="12"/>
      <c r="W79" s="10"/>
      <c r="X79" s="12"/>
      <c r="Y79" s="37"/>
      <c r="Z79" s="31" t="s">
        <v>215</v>
      </c>
      <c r="AA79" s="23"/>
      <c r="AB79" s="12"/>
      <c r="AC79" s="15"/>
      <c r="AD79" s="15"/>
      <c r="AE79" s="15"/>
      <c r="AF79" s="15"/>
      <c r="AG79" s="15"/>
      <c r="AH79" s="12"/>
      <c r="AI79" s="8"/>
    </row>
    <row r="80" spans="1:35" s="11" customFormat="1" ht="41.4" customHeight="1">
      <c r="A80" s="46">
        <v>2025</v>
      </c>
      <c r="B80" s="19" t="str">
        <f t="shared" si="4"/>
        <v>Jul</v>
      </c>
      <c r="C80" s="19" t="s">
        <v>45</v>
      </c>
      <c r="D80" s="21" t="s">
        <v>46</v>
      </c>
      <c r="E80" s="18" t="s">
        <v>169</v>
      </c>
      <c r="F80" s="18" t="s">
        <v>170</v>
      </c>
      <c r="G80" s="18" t="s">
        <v>171</v>
      </c>
      <c r="H80" s="18" t="s">
        <v>264</v>
      </c>
      <c r="I80" s="12" t="s">
        <v>41</v>
      </c>
      <c r="J80" s="12" t="s">
        <v>42</v>
      </c>
      <c r="K80" s="12" t="s">
        <v>114</v>
      </c>
      <c r="L80" s="12" t="s">
        <v>43</v>
      </c>
      <c r="M80" s="27">
        <v>45860</v>
      </c>
      <c r="N80" s="14">
        <f>IF(M80="",                                                                                                                                                                                                  "",
   WORKDAY(
      M80,
      IF(I80="S-Special",                                                                                                                                                                                                   45,
         IF(OR(I80="O-General",                                                                                                                                                                                                   I80="S-General"),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0" s="27">
        <v>45902</v>
      </c>
      <c r="P80" s="13">
        <f ca="1">IF(M80="",                                                                                                                                                                                                   "",
   NETWORKDAYS(
      M80,
      IF(O80&lt;&gt;"",                                                                                                                                                                                                   O80,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80" s="13" t="str">
        <f t="shared" ca="1" si="5"/>
        <v>OVER KPI</v>
      </c>
      <c r="R80" s="13"/>
      <c r="S80" s="17"/>
      <c r="T80" s="17"/>
      <c r="U80" s="17"/>
      <c r="V80" s="17"/>
      <c r="W80" s="26">
        <v>45931</v>
      </c>
      <c r="X80" s="17"/>
      <c r="Y80" s="22"/>
      <c r="Z80" s="31" t="s">
        <v>215</v>
      </c>
      <c r="AA80" s="24"/>
      <c r="AB80" s="17"/>
      <c r="AC80" s="17"/>
      <c r="AD80" s="17"/>
      <c r="AE80" s="17"/>
      <c r="AF80" s="17"/>
      <c r="AG80" s="17"/>
      <c r="AH80" s="17"/>
      <c r="AI80" s="8"/>
    </row>
    <row r="81" spans="1:35" s="11" customFormat="1" ht="41.4" customHeight="1">
      <c r="A81" s="46">
        <v>2025</v>
      </c>
      <c r="B81" s="19" t="str">
        <f t="shared" si="4"/>
        <v>Jul</v>
      </c>
      <c r="C81" s="19" t="s">
        <v>35</v>
      </c>
      <c r="D81" s="19" t="s">
        <v>187</v>
      </c>
      <c r="E81" s="13" t="s">
        <v>187</v>
      </c>
      <c r="F81" s="13" t="s">
        <v>111</v>
      </c>
      <c r="G81" s="13" t="s">
        <v>188</v>
      </c>
      <c r="H81" s="13" t="s">
        <v>189</v>
      </c>
      <c r="I81" s="12" t="s">
        <v>51</v>
      </c>
      <c r="J81" s="12" t="s">
        <v>42</v>
      </c>
      <c r="K81" s="12" t="s">
        <v>52</v>
      </c>
      <c r="L81" s="12" t="s">
        <v>43</v>
      </c>
      <c r="M81" s="27">
        <v>45860</v>
      </c>
      <c r="N81" s="14">
        <f>IF(M81="",                                                                                                                                                                                                  "",
   WORKDAY(
      M81,
      IF(I81="S-Special",                                                                                                                                                                                                   45,
         IF(OR(I81="O-General",                                                                                                                                                                                                   I81="S-General"),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1" s="27">
        <v>45960</v>
      </c>
      <c r="P81" s="13">
        <f ca="1">IF(M81="",                                                                                                                                                                                                   "",
   NETWORKDAYS(
      M81,
      IF(O81&lt;&gt;"",                                                                                                                                                                                                   O81,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81" s="13" t="str">
        <f t="shared" ca="1" si="5"/>
        <v>OVER KPI</v>
      </c>
      <c r="R81" s="13"/>
      <c r="S81" s="12"/>
      <c r="T81" s="12"/>
      <c r="U81" s="12"/>
      <c r="V81" s="12"/>
      <c r="W81" s="10">
        <v>45962</v>
      </c>
      <c r="X81" s="12"/>
      <c r="Y81" s="12"/>
      <c r="Z81" s="35" t="s">
        <v>215</v>
      </c>
      <c r="AA81" s="12"/>
      <c r="AB81" s="12"/>
      <c r="AC81" s="12"/>
      <c r="AD81" s="12"/>
      <c r="AE81" s="12"/>
      <c r="AF81" s="12"/>
      <c r="AG81" s="12"/>
      <c r="AH81" s="12"/>
      <c r="AI81" s="8"/>
    </row>
    <row r="82" spans="1:35" s="11" customFormat="1" ht="41.4" customHeight="1">
      <c r="A82" s="46">
        <v>2025</v>
      </c>
      <c r="B82" s="19" t="str">
        <f t="shared" si="4"/>
        <v>Jul</v>
      </c>
      <c r="C82" s="19" t="s">
        <v>35</v>
      </c>
      <c r="D82" s="21" t="s">
        <v>265</v>
      </c>
      <c r="E82" s="18" t="s">
        <v>83</v>
      </c>
      <c r="F82" s="18" t="s">
        <v>174</v>
      </c>
      <c r="G82" s="18" t="s">
        <v>266</v>
      </c>
      <c r="H82" s="18" t="s">
        <v>267</v>
      </c>
      <c r="I82" s="17" t="s">
        <v>41</v>
      </c>
      <c r="J82" s="17" t="s">
        <v>83</v>
      </c>
      <c r="K82" s="17" t="s">
        <v>52</v>
      </c>
      <c r="L82" s="17" t="s">
        <v>83</v>
      </c>
      <c r="M82" s="27">
        <v>45860</v>
      </c>
      <c r="N82" s="14">
        <f>IF(M82="",                                                                                                                                                                                                  "",
   WORKDAY(
      M82,
      IF(I82="S-Special",                                                                                                                                                                                                   45,
         IF(OR(I82="O-General",                                                                                                                                                                                                   I82="S-General"),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2" s="27">
        <v>45860</v>
      </c>
      <c r="P82" s="13">
        <f ca="1">IF(M82="",                                                                                                                                                                                                   "",
   NETWORKDAYS(
      M82,
      IF(O82&lt;&gt;"",                                                                                                                                                                                                   O82,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82" s="13" t="str">
        <f t="shared" ca="1" si="5"/>
        <v>ON KPI</v>
      </c>
      <c r="R82" s="13"/>
      <c r="S82" s="17"/>
      <c r="T82" s="17"/>
      <c r="U82" s="17"/>
      <c r="V82" s="17"/>
      <c r="W82" s="26"/>
      <c r="X82" s="17"/>
      <c r="Y82" s="22"/>
      <c r="Z82" s="17"/>
      <c r="AA82" s="24"/>
      <c r="AB82" s="17"/>
      <c r="AC82" s="17"/>
      <c r="AD82" s="17"/>
      <c r="AE82" s="17"/>
      <c r="AF82" s="17"/>
      <c r="AG82" s="17"/>
      <c r="AH82" s="17"/>
      <c r="AI82" s="8"/>
    </row>
    <row r="83" spans="1:35" s="11" customFormat="1" ht="41.4" customHeight="1">
      <c r="A83" s="46">
        <v>2025</v>
      </c>
      <c r="B83" s="19" t="str">
        <f t="shared" si="4"/>
        <v>Jul</v>
      </c>
      <c r="C83" s="19" t="s">
        <v>35</v>
      </c>
      <c r="D83" s="21" t="s">
        <v>268</v>
      </c>
      <c r="E83" s="18" t="s">
        <v>268</v>
      </c>
      <c r="F83" s="18" t="s">
        <v>90</v>
      </c>
      <c r="G83" s="18" t="s">
        <v>91</v>
      </c>
      <c r="H83" s="18" t="s">
        <v>269</v>
      </c>
      <c r="I83" s="17" t="s">
        <v>41</v>
      </c>
      <c r="J83" s="12" t="s">
        <v>42</v>
      </c>
      <c r="K83" s="17" t="s">
        <v>52</v>
      </c>
      <c r="L83" s="12" t="s">
        <v>43</v>
      </c>
      <c r="M83" s="27">
        <v>45847</v>
      </c>
      <c r="N83" s="14">
        <f>IF(M83="",                                                                                                                                                                                                  "",
   WORKDAY(
      M83,
      IF(I83="S-Special",                                                                                                                                                                                                   45,
         IF(OR(I83="O-General",                                                                                                                                                                                                   I83="S-General"),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45889</v>
      </c>
      <c r="O83" s="27">
        <v>45966</v>
      </c>
      <c r="P83" s="13">
        <f ca="1">IF(M83="",                                                                                                                                                                                                   "",
   NETWORKDAYS(
      M83,
      IF(O83&lt;&gt;"",                                                                                                                                                                                                   O83,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83" s="13" t="str">
        <f t="shared" ca="1" si="5"/>
        <v>OVER KPI</v>
      </c>
      <c r="R83" s="13"/>
      <c r="S83" s="17"/>
      <c r="T83" s="17"/>
      <c r="U83" s="17"/>
      <c r="V83" s="17"/>
      <c r="W83" s="26">
        <v>46054</v>
      </c>
      <c r="X83" s="17"/>
      <c r="Y83" s="22"/>
      <c r="Z83" s="31" t="s">
        <v>215</v>
      </c>
      <c r="AA83" s="24"/>
      <c r="AB83" s="17"/>
      <c r="AC83" s="17"/>
      <c r="AD83" s="17"/>
      <c r="AE83" s="17"/>
      <c r="AF83" s="17"/>
      <c r="AG83" s="17"/>
      <c r="AH83" s="17"/>
      <c r="AI83" s="8"/>
    </row>
    <row r="84" spans="1:35" s="11" customFormat="1" ht="41.4" customHeight="1">
      <c r="A84" s="46">
        <v>2025</v>
      </c>
      <c r="B84" s="19" t="str">
        <f t="shared" si="4"/>
        <v>Jul</v>
      </c>
      <c r="C84" s="19" t="s">
        <v>35</v>
      </c>
      <c r="D84" s="19" t="s">
        <v>270</v>
      </c>
      <c r="E84" s="16" t="s">
        <v>270</v>
      </c>
      <c r="F84" s="17" t="s">
        <v>61</v>
      </c>
      <c r="G84" s="17" t="s">
        <v>62</v>
      </c>
      <c r="H84" s="17" t="s">
        <v>271</v>
      </c>
      <c r="I84" s="12" t="s">
        <v>51</v>
      </c>
      <c r="J84" s="12" t="s">
        <v>42</v>
      </c>
      <c r="K84" s="12" t="s">
        <v>72</v>
      </c>
      <c r="L84" s="12" t="s">
        <v>43</v>
      </c>
      <c r="M84" s="27">
        <v>45860</v>
      </c>
      <c r="N84" s="14">
        <f>IF(M84="",                                                                                                                                                                                                  "",
   WORKDAY(
      M84,
      IF(I84="S-Special",                                                                                                                                                                                                   45,
         IF(OR(I84="O-General",                                                                                                                                                                                                   I84="S-General"),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4" s="27">
        <v>45903</v>
      </c>
      <c r="P84" s="13">
        <f ca="1">IF(M84="",                                                                                                                                                                                                   "",
   NETWORKDAYS(
      M84,
      IF(O84&lt;&gt;"",                                                                                                                                                                                                   O84,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4" s="13" t="str">
        <f t="shared" ca="1" si="5"/>
        <v>ON KPI</v>
      </c>
      <c r="R84" s="13"/>
      <c r="S84" s="17"/>
      <c r="T84" s="17"/>
      <c r="U84" s="17"/>
      <c r="V84" s="17"/>
      <c r="W84" s="26">
        <v>46023</v>
      </c>
      <c r="X84" s="17"/>
      <c r="Y84" s="17"/>
      <c r="Z84" s="43" t="s">
        <v>72</v>
      </c>
      <c r="AA84" s="17"/>
      <c r="AB84" s="17"/>
      <c r="AC84" s="17"/>
      <c r="AD84" s="17"/>
      <c r="AE84" s="17"/>
      <c r="AF84" s="17"/>
      <c r="AG84" s="17"/>
      <c r="AH84" s="17"/>
      <c r="AI84" s="8"/>
    </row>
    <row r="85" spans="1:35" s="11" customFormat="1" ht="41.4" customHeight="1">
      <c r="A85" s="46">
        <v>2025</v>
      </c>
      <c r="B85" s="19" t="str">
        <f t="shared" si="4"/>
        <v>Jul</v>
      </c>
      <c r="C85" s="19" t="s">
        <v>35</v>
      </c>
      <c r="D85" s="19" t="s">
        <v>253</v>
      </c>
      <c r="E85" s="16" t="s">
        <v>253</v>
      </c>
      <c r="F85" s="17" t="s">
        <v>87</v>
      </c>
      <c r="G85" s="17" t="s">
        <v>106</v>
      </c>
      <c r="H85" s="17" t="s">
        <v>254</v>
      </c>
      <c r="I85" s="17" t="s">
        <v>41</v>
      </c>
      <c r="J85" s="12" t="s">
        <v>42</v>
      </c>
      <c r="K85" s="17" t="s">
        <v>52</v>
      </c>
      <c r="L85" s="12" t="s">
        <v>43</v>
      </c>
      <c r="M85" s="27">
        <v>45859</v>
      </c>
      <c r="N85" s="14">
        <f>IF(M85="",                                                                                                                                                                                                  "",
   WORKDAY(
      M85,
      IF(I85="S-Special",                                                                                                                                                                                                   45,
         IF(OR(I85="O-General",                                                                                                                                                                                                   I85="S-General"),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45901</v>
      </c>
      <c r="O85" s="27">
        <v>45857</v>
      </c>
      <c r="P85" s="13">
        <f ca="1">IF(M85="",                                                                                                                                                                                                   "",
   NETWORKDAYS(
      M85,
      IF(O85&lt;&gt;"",                                                                                                                                                                                                   O85,                                                                                                                                                                                                   TODAY()),
      Dropdown!$A$2:$A$100
   )
)</f>
        <v>-1</v>
      </c>
      <c r="Q85" s="13" t="str">
        <f t="shared" ca="1" si="5"/>
        <v>ON KPI</v>
      </c>
      <c r="R85" s="13"/>
      <c r="S85" s="17"/>
      <c r="T85" s="17"/>
      <c r="U85" s="17"/>
      <c r="V85" s="17"/>
      <c r="W85" s="26">
        <v>45901</v>
      </c>
      <c r="X85" s="17"/>
      <c r="Y85" s="17"/>
      <c r="Z85" s="33" t="s">
        <v>215</v>
      </c>
      <c r="AA85" s="17"/>
      <c r="AB85" s="17"/>
      <c r="AC85" s="17"/>
      <c r="AD85" s="17"/>
      <c r="AE85" s="17"/>
      <c r="AF85" s="17"/>
      <c r="AG85" s="17"/>
      <c r="AH85" s="17"/>
      <c r="AI85" s="8"/>
    </row>
    <row r="86" spans="1:35" s="11" customFormat="1" ht="41.4" customHeight="1">
      <c r="A86" s="46">
        <v>2025</v>
      </c>
      <c r="B86" s="19" t="str">
        <f t="shared" si="4"/>
        <v>Aug</v>
      </c>
      <c r="C86" s="19" t="s">
        <v>35</v>
      </c>
      <c r="D86" s="21" t="s">
        <v>272</v>
      </c>
      <c r="E86" s="18" t="s">
        <v>272</v>
      </c>
      <c r="F86" s="18" t="s">
        <v>38</v>
      </c>
      <c r="G86" s="18" t="s">
        <v>273</v>
      </c>
      <c r="H86" s="18" t="s">
        <v>274</v>
      </c>
      <c r="I86" s="12" t="s">
        <v>51</v>
      </c>
      <c r="J86" s="12" t="s">
        <v>42</v>
      </c>
      <c r="K86" s="17" t="s">
        <v>52</v>
      </c>
      <c r="L86" s="12" t="s">
        <v>43</v>
      </c>
      <c r="M86" s="34">
        <v>45884</v>
      </c>
      <c r="N86" s="14">
        <f>IF(M86="",                                                                                                                                                                                                  "",
   WORKDAY(
      M86,
      IF(I86="S-Special",                                                                                                                                                                                                   45,
         IF(OR(I86="O-General",                                                                                                                                                                                                   I86="S-General"),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45947</v>
      </c>
      <c r="O86" s="34">
        <v>45901</v>
      </c>
      <c r="P86" s="13">
        <f ca="1">IF(M86="",                                                                                                                                                                                                   "",
   NETWORKDAYS(
      M86,
      IF(O86&lt;&gt;"",                                                                                                                                                                                                   O86,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86" s="13" t="str">
        <f t="shared" ca="1" si="5"/>
        <v>ON KPI</v>
      </c>
      <c r="R86" s="13"/>
      <c r="S86" s="17"/>
      <c r="T86" s="17"/>
      <c r="U86" s="17"/>
      <c r="V86" s="17"/>
      <c r="W86" s="26">
        <v>45931</v>
      </c>
      <c r="X86" s="17"/>
      <c r="Y86" s="22"/>
      <c r="Z86" s="31" t="s">
        <v>215</v>
      </c>
      <c r="AA86" s="24"/>
      <c r="AB86" s="17"/>
      <c r="AC86" s="17"/>
      <c r="AD86" s="17"/>
      <c r="AE86" s="17"/>
      <c r="AF86" s="17"/>
      <c r="AG86" s="17"/>
      <c r="AH86" s="17"/>
      <c r="AI86" s="8"/>
    </row>
    <row r="87" spans="1:35" s="11" customFormat="1" ht="41.4" customHeight="1">
      <c r="A87" s="46">
        <v>2025</v>
      </c>
      <c r="B87" s="19" t="str">
        <f t="shared" si="4"/>
        <v>Aug</v>
      </c>
      <c r="C87" s="19" t="s">
        <v>35</v>
      </c>
      <c r="D87" s="21" t="s">
        <v>185</v>
      </c>
      <c r="E87" s="18" t="s">
        <v>185</v>
      </c>
      <c r="F87" s="18" t="s">
        <v>66</v>
      </c>
      <c r="G87" s="18" t="s">
        <v>139</v>
      </c>
      <c r="H87" s="18" t="s">
        <v>140</v>
      </c>
      <c r="I87" s="17" t="s">
        <v>41</v>
      </c>
      <c r="J87" s="12" t="s">
        <v>42</v>
      </c>
      <c r="K87" s="17" t="s">
        <v>52</v>
      </c>
      <c r="L87" s="12" t="s">
        <v>43</v>
      </c>
      <c r="M87" s="27">
        <v>45884</v>
      </c>
      <c r="N87" s="14">
        <f>IF(M87="",                                                                                                                                                                                                  "",
   WORKDAY(
      M87,
      IF(I87="S-Special",                                                                                                                                                                                                   45,
         IF(OR(I87="O-General",                                                                                                                                                                                                   I87="S-General"),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45926</v>
      </c>
      <c r="O87" s="27">
        <v>45944</v>
      </c>
      <c r="P87" s="13">
        <f ca="1">IF(M87="",                                                                                                                                                                                                   "",
   NETWORKDAYS(
      M87,
      IF(O87&lt;&gt;"",                                                                                                                                                                                                   O87,                                                                                                                                                                                                   TODAY()),
      Dropdown!$A$2:$A$100
   )
)</f>
        <v>43</v>
      </c>
      <c r="Q87" s="13" t="str">
        <f t="shared" ca="1" si="5"/>
        <v>OVER KPI</v>
      </c>
      <c r="R87" s="13"/>
      <c r="S87" s="17"/>
      <c r="T87" s="17"/>
      <c r="U87" s="17"/>
      <c r="V87" s="17"/>
      <c r="W87" s="26">
        <v>46023</v>
      </c>
      <c r="X87" s="17"/>
      <c r="Y87" s="22"/>
      <c r="Z87" s="31" t="s">
        <v>215</v>
      </c>
      <c r="AA87" s="24"/>
      <c r="AB87" s="17"/>
      <c r="AC87" s="17"/>
      <c r="AD87" s="17"/>
      <c r="AE87" s="17"/>
      <c r="AF87" s="17"/>
      <c r="AG87" s="17"/>
      <c r="AH87" s="17"/>
      <c r="AI87" s="8"/>
    </row>
    <row r="88" spans="1:35" s="11" customFormat="1" ht="41.4" customHeight="1">
      <c r="A88" s="46">
        <v>2025</v>
      </c>
      <c r="B88" s="19" t="str">
        <f t="shared" si="4"/>
        <v>Aug</v>
      </c>
      <c r="C88" s="19" t="s">
        <v>35</v>
      </c>
      <c r="D88" s="19" t="s">
        <v>268</v>
      </c>
      <c r="E88" s="16" t="s">
        <v>89</v>
      </c>
      <c r="F88" s="17" t="s">
        <v>90</v>
      </c>
      <c r="G88" s="17" t="s">
        <v>91</v>
      </c>
      <c r="H88" s="17" t="s">
        <v>92</v>
      </c>
      <c r="I88" s="17" t="s">
        <v>41</v>
      </c>
      <c r="J88" s="12" t="s">
        <v>42</v>
      </c>
      <c r="K88" s="17" t="s">
        <v>52</v>
      </c>
      <c r="L88" s="12" t="s">
        <v>43</v>
      </c>
      <c r="M88" s="27">
        <v>45870</v>
      </c>
      <c r="N88" s="14">
        <f>IF(M88="",                                                                                                                                                                                                  "",
   WORKDAY(
      M88,
      IF(I88="S-Special",                                                                                                                                                                                                   45,
         IF(OR(I88="O-General",                                                                                                                                                                                                   I88="S-General"),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88" s="27">
        <v>45919</v>
      </c>
      <c r="P88" s="13">
        <f ca="1">IF(M88="",                                                                                                                                                                                                   "",
   NETWORKDAYS(
      M88,
      IF(O88&lt;&gt;"",                                                                                                                                                                                                   O88,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88" s="13" t="str">
        <f t="shared" ca="1" si="5"/>
        <v>OVER KPI</v>
      </c>
      <c r="R88" s="13"/>
      <c r="S88" s="17"/>
      <c r="T88" s="17"/>
      <c r="U88" s="17"/>
      <c r="V88" s="17"/>
      <c r="W88" s="26">
        <v>45916</v>
      </c>
      <c r="X88" s="17"/>
      <c r="Y88" s="17"/>
      <c r="Z88" s="35" t="s">
        <v>215</v>
      </c>
      <c r="AA88" s="17"/>
      <c r="AB88" s="17"/>
      <c r="AC88" s="17"/>
      <c r="AD88" s="17"/>
      <c r="AE88" s="17"/>
      <c r="AF88" s="17"/>
      <c r="AG88" s="17"/>
      <c r="AH88" s="17"/>
      <c r="AI88" s="8"/>
    </row>
    <row r="89" spans="1:35" s="11" customFormat="1" ht="41.4" customHeight="1">
      <c r="A89" s="46">
        <v>2025</v>
      </c>
      <c r="B89" s="19" t="str">
        <f t="shared" si="4"/>
        <v>Aug</v>
      </c>
      <c r="C89" s="19" t="s">
        <v>35</v>
      </c>
      <c r="D89" s="19" t="s">
        <v>275</v>
      </c>
      <c r="E89" s="16" t="s">
        <v>275</v>
      </c>
      <c r="F89" s="17" t="s">
        <v>66</v>
      </c>
      <c r="G89" s="17" t="s">
        <v>276</v>
      </c>
      <c r="H89" s="17" t="s">
        <v>277</v>
      </c>
      <c r="I89" s="12" t="s">
        <v>51</v>
      </c>
      <c r="J89" s="12" t="s">
        <v>42</v>
      </c>
      <c r="K89" s="17" t="s">
        <v>52</v>
      </c>
      <c r="L89" s="12" t="s">
        <v>43</v>
      </c>
      <c r="M89" s="27">
        <v>45875</v>
      </c>
      <c r="N89" s="14">
        <f>IF(M89="",                                                                                                                                                                                                  "",
   WORKDAY(
      M89,
      IF(I89="S-Special",                                                                                                                                                                                                   45,
         IF(OR(I89="O-General",                                                                                                                                                                                                   I89="S-General"),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45938</v>
      </c>
      <c r="O89" s="27">
        <v>45918</v>
      </c>
      <c r="P89" s="13">
        <f ca="1">IF(M89="",                                                                                                                                                                                                   "",
   NETWORKDAYS(
      M89,
      IF(O89&lt;&gt;"",                                                                                                                                                                                                   O89,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9" s="13" t="str">
        <f t="shared" ca="1" si="5"/>
        <v>ON KPI</v>
      </c>
      <c r="R89" s="13"/>
      <c r="S89" s="17"/>
      <c r="T89" s="17"/>
      <c r="U89" s="17"/>
      <c r="V89" s="17"/>
      <c r="W89" s="26">
        <v>45962</v>
      </c>
      <c r="X89" s="17"/>
      <c r="Y89" s="22"/>
      <c r="Z89" s="17" t="s">
        <v>160</v>
      </c>
      <c r="AA89" s="24"/>
      <c r="AB89" s="17"/>
      <c r="AC89" s="17"/>
      <c r="AD89" s="17"/>
      <c r="AE89" s="17"/>
      <c r="AF89" s="17"/>
      <c r="AG89" s="17"/>
      <c r="AH89" s="17"/>
      <c r="AI89" s="8"/>
    </row>
    <row r="90" spans="1:35" s="11" customFormat="1" ht="41.4" customHeight="1">
      <c r="A90" s="46">
        <v>2025</v>
      </c>
      <c r="B90" s="19" t="str">
        <f t="shared" si="4"/>
        <v>Aug</v>
      </c>
      <c r="C90" s="19" t="s">
        <v>35</v>
      </c>
      <c r="D90" s="21" t="s">
        <v>275</v>
      </c>
      <c r="E90" s="18" t="s">
        <v>275</v>
      </c>
      <c r="F90" s="18" t="s">
        <v>66</v>
      </c>
      <c r="G90" s="18" t="s">
        <v>276</v>
      </c>
      <c r="H90" s="18" t="s">
        <v>277</v>
      </c>
      <c r="I90" s="17" t="s">
        <v>41</v>
      </c>
      <c r="J90" s="12" t="s">
        <v>42</v>
      </c>
      <c r="K90" s="17" t="s">
        <v>52</v>
      </c>
      <c r="L90" s="12" t="s">
        <v>43</v>
      </c>
      <c r="M90" s="27">
        <v>45870</v>
      </c>
      <c r="N90" s="14">
        <f>IF(M90="",                                                                                                                                                                                                  "",
   WORKDAY(
      M90,
      IF(I90="S-Special",                                                                                                                                                                                                   45,
         IF(OR(I90="O-General",                                                                                                                                                                                                   I90="S-General"),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90" s="27">
        <v>45919</v>
      </c>
      <c r="P90" s="13">
        <f ca="1">IF(M90="",                                                                                                                                                                                                   "",
   NETWORKDAYS(
      M90,
      IF(O90&lt;&gt;"",                                                                                                                                                                                                   O90,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90" s="13" t="str">
        <f t="shared" ca="1" si="5"/>
        <v>OVER KPI</v>
      </c>
      <c r="R90" s="13"/>
      <c r="S90" s="17"/>
      <c r="T90" s="17"/>
      <c r="U90" s="17"/>
      <c r="V90" s="17"/>
      <c r="W90" s="26">
        <v>46023</v>
      </c>
      <c r="X90" s="17"/>
      <c r="Y90" s="22"/>
      <c r="Z90" s="17" t="s">
        <v>72</v>
      </c>
      <c r="AA90" s="24"/>
      <c r="AB90" s="17"/>
      <c r="AC90" s="17"/>
      <c r="AD90" s="17"/>
      <c r="AE90" s="17"/>
      <c r="AF90" s="17"/>
      <c r="AG90" s="17"/>
      <c r="AH90" s="17"/>
      <c r="AI90" s="8"/>
    </row>
    <row r="91" spans="1:35" s="11" customFormat="1" ht="41.4" customHeight="1">
      <c r="A91" s="46">
        <v>2025</v>
      </c>
      <c r="B91" s="19" t="str">
        <f t="shared" si="4"/>
        <v>Sep</v>
      </c>
      <c r="C91" s="19" t="s">
        <v>35</v>
      </c>
      <c r="D91" s="21" t="s">
        <v>278</v>
      </c>
      <c r="E91" s="18" t="s">
        <v>278</v>
      </c>
      <c r="F91" s="18" t="s">
        <v>48</v>
      </c>
      <c r="G91" s="18"/>
      <c r="H91" s="18" t="s">
        <v>279</v>
      </c>
      <c r="I91" s="12" t="s">
        <v>51</v>
      </c>
      <c r="J91" s="12" t="s">
        <v>42</v>
      </c>
      <c r="K91" s="17" t="s">
        <v>52</v>
      </c>
      <c r="L91" s="12" t="s">
        <v>43</v>
      </c>
      <c r="M91" s="27">
        <v>45925</v>
      </c>
      <c r="N91" s="14">
        <f>IF(M91="",                                                                                                                                                                                                  "",
   WORKDAY(
      M91,
      IF(I91="S-Special",                                                                                                                                                                                                   45,
         IF(OR(I91="O-General",                                                                                                                                                                                                   I91="S-General"),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45988</v>
      </c>
      <c r="O91" s="27">
        <v>45989</v>
      </c>
      <c r="P91" s="13">
        <f ca="1">IF(M91="",                                                                                                                                                                                                   "",
   NETWORKDAYS(
      M91,
      IF(O91&lt;&gt;"",                                                                                                                                                                                                   O91,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1" s="13" t="str">
        <f t="shared" ca="1" si="5"/>
        <v>OVER KPI</v>
      </c>
      <c r="R91" s="13"/>
      <c r="S91" s="17"/>
      <c r="T91" s="17"/>
      <c r="U91" s="17"/>
      <c r="V91" s="17"/>
      <c r="W91" s="26">
        <v>46023</v>
      </c>
      <c r="X91" s="17"/>
      <c r="Y91" s="17"/>
      <c r="Z91" s="25" t="s">
        <v>160</v>
      </c>
      <c r="AA91" s="17"/>
      <c r="AB91" s="17"/>
      <c r="AC91" s="17"/>
      <c r="AD91" s="17"/>
      <c r="AE91" s="17"/>
      <c r="AF91" s="17"/>
      <c r="AG91" s="17"/>
      <c r="AH91" s="17"/>
      <c r="AI91" s="8"/>
    </row>
    <row r="92" spans="1:35" s="11" customFormat="1" ht="41.4" customHeight="1">
      <c r="A92" s="46">
        <v>2025</v>
      </c>
      <c r="B92" s="19" t="str">
        <f t="shared" si="4"/>
        <v>Sep</v>
      </c>
      <c r="C92" s="19" t="s">
        <v>35</v>
      </c>
      <c r="D92" s="21" t="s">
        <v>263</v>
      </c>
      <c r="E92" s="18" t="s">
        <v>263</v>
      </c>
      <c r="F92" s="18" t="s">
        <v>48</v>
      </c>
      <c r="G92" s="18" t="s">
        <v>97</v>
      </c>
      <c r="H92" s="18" t="s">
        <v>159</v>
      </c>
      <c r="I92" s="12" t="s">
        <v>51</v>
      </c>
      <c r="J92" s="12" t="s">
        <v>42</v>
      </c>
      <c r="K92" s="12" t="s">
        <v>114</v>
      </c>
      <c r="L92" s="12" t="s">
        <v>43</v>
      </c>
      <c r="M92" s="27">
        <v>45915</v>
      </c>
      <c r="N92" s="14">
        <f>IF(M92="",                                                                                                                                                                                                  "",
   WORKDAY(
      M92,
      IF(I92="S-Special",                                                                                                                                                                                                   45,
         IF(OR(I92="O-General",                                                                                                                                                                                                   I92="S-General"),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45978</v>
      </c>
      <c r="O92" s="27"/>
      <c r="P92" s="13">
        <f ca="1">IF(M92="",                                                                                                                                                                                                   "",
   NETWORKDAYS(
      M92,
      IF(O92&lt;&gt;"",                                                                                                                                                                                                   O92,                                                                                                                                                                                                   TODAY()),
      Dropdown!$A$2:$A$100
   )
)</f>
        <v>216</v>
      </c>
      <c r="Q92" s="13" t="str">
        <f t="shared" ca="1" si="5"/>
        <v>OVER KPI</v>
      </c>
      <c r="R92" s="13"/>
      <c r="S92" s="17"/>
      <c r="T92" s="17"/>
      <c r="U92" s="17"/>
      <c r="V92" s="17"/>
      <c r="W92" s="26">
        <v>46023</v>
      </c>
      <c r="X92" s="17"/>
      <c r="Y92" s="22"/>
      <c r="Z92" s="31" t="s">
        <v>215</v>
      </c>
      <c r="AA92" s="24"/>
      <c r="AB92" s="17"/>
      <c r="AC92" s="17"/>
      <c r="AD92" s="17"/>
      <c r="AE92" s="17"/>
      <c r="AF92" s="17"/>
      <c r="AG92" s="17"/>
      <c r="AH92" s="17"/>
      <c r="AI92" s="8"/>
    </row>
    <row r="93" spans="1:35" s="11" customFormat="1" ht="41.4" customHeight="1">
      <c r="A93" s="46">
        <v>2025</v>
      </c>
      <c r="B93" s="19" t="str">
        <f t="shared" si="4"/>
        <v>Oct</v>
      </c>
      <c r="C93" s="19" t="s">
        <v>45</v>
      </c>
      <c r="D93" s="21" t="s">
        <v>46</v>
      </c>
      <c r="E93" s="18" t="s">
        <v>280</v>
      </c>
      <c r="F93" s="18" t="s">
        <v>145</v>
      </c>
      <c r="G93" s="18" t="s">
        <v>281</v>
      </c>
      <c r="H93" s="18" t="s">
        <v>282</v>
      </c>
      <c r="I93" s="12" t="s">
        <v>41</v>
      </c>
      <c r="J93" s="17" t="s">
        <v>83</v>
      </c>
      <c r="K93" s="17" t="s">
        <v>52</v>
      </c>
      <c r="L93" s="17" t="s">
        <v>83</v>
      </c>
      <c r="M93" s="27">
        <v>45957</v>
      </c>
      <c r="N93" s="14">
        <f>IF(M93="",                                                                                                                                                                                                  "",
   WORKDAY(
      M93,
      IF(I93="S-Special",                                                                                                                                                                                                   45,
         IF(OR(I93="O-General",                                                                                                                                                                                                   I93="S-General"),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45999</v>
      </c>
      <c r="O93" s="27">
        <v>45981</v>
      </c>
      <c r="P93" s="13">
        <f ca="1">IF(M93="",                                                                                                                                                                                                   "",
   NETWORKDAYS(
      M93,
      IF(O93&lt;&gt;"",                                                                                                                                                                                                   O93,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93" s="13" t="str">
        <f t="shared" ca="1" si="5"/>
        <v>ON KPI</v>
      </c>
      <c r="R93" s="13"/>
      <c r="S93" s="17"/>
      <c r="T93" s="17"/>
      <c r="U93" s="17"/>
      <c r="V93" s="17"/>
      <c r="W93" s="26"/>
      <c r="X93" s="17"/>
      <c r="Y93" s="22"/>
      <c r="Z93" s="17"/>
      <c r="AA93" s="24"/>
      <c r="AB93" s="17"/>
      <c r="AC93" s="17"/>
      <c r="AD93" s="17"/>
      <c r="AE93" s="17"/>
      <c r="AF93" s="17"/>
      <c r="AG93" s="17"/>
      <c r="AH93" s="17"/>
      <c r="AI93" s="8"/>
    </row>
    <row r="94" spans="1:35" s="11" customFormat="1" ht="41.4" customHeight="1">
      <c r="A94" s="46">
        <v>2025</v>
      </c>
      <c r="B94" s="19" t="str">
        <f t="shared" si="4"/>
        <v>Oct</v>
      </c>
      <c r="C94" s="19" t="s">
        <v>35</v>
      </c>
      <c r="D94" s="19" t="s">
        <v>180</v>
      </c>
      <c r="E94" s="16" t="s">
        <v>283</v>
      </c>
      <c r="F94" s="17" t="s">
        <v>61</v>
      </c>
      <c r="G94" s="17" t="s">
        <v>104</v>
      </c>
      <c r="H94" s="17" t="s">
        <v>249</v>
      </c>
      <c r="I94" s="17" t="s">
        <v>41</v>
      </c>
      <c r="J94" s="12" t="s">
        <v>42</v>
      </c>
      <c r="K94" s="17" t="s">
        <v>52</v>
      </c>
      <c r="L94" s="12" t="s">
        <v>43</v>
      </c>
      <c r="M94" s="27">
        <v>45950</v>
      </c>
      <c r="N94" s="14">
        <f>IF(M94="",                                                                                                                                                                                                  "",
   WORKDAY(
      M94,
      IF(I94="S-Special",                                                                                                                                                                                                   45,
         IF(OR(I94="O-General",                                                                                                                                                                                                   I94="S-General"),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4" s="27">
        <v>46007</v>
      </c>
      <c r="P94" s="13">
        <f ca="1">IF(M94="",                                                                                                                                                                                                   "",
   NETWORKDAYS(
      M94,
      IF(O94&lt;&gt;"",                                                                                                                                                                                                   O94,                                                                                                                                                                                                   TODAY()),
      Dropdown!$A$2:$A$100
   )
)</f>
        <v>42</v>
      </c>
      <c r="Q94" s="13" t="str">
        <f t="shared" ca="1" si="5"/>
        <v>OVER KPI</v>
      </c>
      <c r="R94" s="13"/>
      <c r="S94" s="17"/>
      <c r="T94" s="17"/>
      <c r="U94" s="17"/>
      <c r="V94" s="17"/>
      <c r="W94" s="26">
        <v>46069</v>
      </c>
      <c r="X94" s="17"/>
      <c r="Y94" s="17"/>
      <c r="Z94" s="36" t="s">
        <v>53</v>
      </c>
      <c r="AA94" s="17"/>
      <c r="AB94" s="17"/>
      <c r="AC94" s="17"/>
      <c r="AD94" s="17"/>
      <c r="AE94" s="17"/>
      <c r="AF94" s="17"/>
      <c r="AG94" s="17"/>
      <c r="AH94" s="17"/>
      <c r="AI94" s="8"/>
    </row>
    <row r="95" spans="1:35" s="11" customFormat="1" ht="41.4" customHeight="1">
      <c r="A95" s="46">
        <v>2025</v>
      </c>
      <c r="B95" s="19" t="str">
        <f t="shared" si="4"/>
        <v>Oct</v>
      </c>
      <c r="C95" s="19" t="s">
        <v>35</v>
      </c>
      <c r="D95" s="19" t="s">
        <v>284</v>
      </c>
      <c r="E95" s="16" t="s">
        <v>285</v>
      </c>
      <c r="F95" s="17" t="s">
        <v>286</v>
      </c>
      <c r="G95" s="17" t="s">
        <v>287</v>
      </c>
      <c r="H95" s="17" t="s">
        <v>288</v>
      </c>
      <c r="I95" s="12" t="s">
        <v>41</v>
      </c>
      <c r="J95" s="12" t="s">
        <v>42</v>
      </c>
      <c r="K95" s="12" t="s">
        <v>114</v>
      </c>
      <c r="L95" s="12" t="s">
        <v>43</v>
      </c>
      <c r="M95" s="27">
        <v>45950</v>
      </c>
      <c r="N95" s="14">
        <f>IF(M95="",                                                                                                                                                                                                  "",
   WORKDAY(
      M95,
      IF(I95="S-Special",                                                                                                                                                                                                   45,
         IF(OR(I95="O-General",                                                                                                                                                                                                   I95="S-General"),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5" s="27">
        <v>45957</v>
      </c>
      <c r="P95" s="13">
        <f ca="1">IF(M95="",                                                                                                                                                                                                   "",
   NETWORKDAYS(
      M95,
      IF(O95&lt;&gt;"",                                                                                                                                                                                                   O95,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95" s="13" t="str">
        <f t="shared" ca="1" si="5"/>
        <v>ON KPI</v>
      </c>
      <c r="R95" s="13"/>
      <c r="S95" s="17"/>
      <c r="T95" s="17"/>
      <c r="U95" s="17"/>
      <c r="V95" s="17"/>
      <c r="W95" s="26">
        <v>46023</v>
      </c>
      <c r="X95" s="17"/>
      <c r="Y95" s="17"/>
      <c r="Z95" s="17" t="s">
        <v>72</v>
      </c>
      <c r="AA95" s="17"/>
      <c r="AB95" s="17"/>
      <c r="AC95" s="17"/>
      <c r="AD95" s="17"/>
      <c r="AE95" s="17"/>
      <c r="AF95" s="17"/>
      <c r="AG95" s="17"/>
      <c r="AH95" s="17"/>
      <c r="AI95" s="8"/>
    </row>
    <row r="96" spans="1:35" s="11" customFormat="1" ht="41.4" customHeight="1">
      <c r="A96" s="46">
        <v>2025</v>
      </c>
      <c r="B96" s="19" t="str">
        <f t="shared" si="4"/>
        <v>Oct</v>
      </c>
      <c r="C96" s="19" t="s">
        <v>35</v>
      </c>
      <c r="D96" s="21" t="s">
        <v>289</v>
      </c>
      <c r="E96" s="18" t="s">
        <v>290</v>
      </c>
      <c r="F96" s="18" t="s">
        <v>291</v>
      </c>
      <c r="G96" s="18" t="s">
        <v>292</v>
      </c>
      <c r="H96" s="18"/>
      <c r="I96" s="17" t="s">
        <v>41</v>
      </c>
      <c r="J96" s="12" t="s">
        <v>42</v>
      </c>
      <c r="K96" s="17" t="s">
        <v>52</v>
      </c>
      <c r="L96" s="12" t="s">
        <v>43</v>
      </c>
      <c r="M96" s="27">
        <v>45950</v>
      </c>
      <c r="N96" s="14">
        <f>IF(M96="",                                                                                                                                                                                                  "",
   WORKDAY(
      M96,
      IF(I96="S-Special",                                                                                                                                                                                                   45,
         IF(OR(I96="O-General",                                                                                                                                                                                                   I96="S-General"),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6" s="27"/>
      <c r="P96" s="13">
        <f ca="1">IF(M96="",                                                                                                                                                                                                   "",
   NETWORKDAYS(
      M96,
      IF(O96&lt;&gt;"",                                                                                                                                                                                                   O96,                                                                                                                                                                                                   TODAY()),
      Dropdown!$A$2:$A$100
   )
)</f>
        <v>191</v>
      </c>
      <c r="Q96" s="13" t="str">
        <f t="shared" ca="1" si="5"/>
        <v>OVER KPI</v>
      </c>
      <c r="R96" s="13"/>
      <c r="S96" s="17"/>
      <c r="T96" s="17"/>
      <c r="U96" s="17"/>
      <c r="V96" s="17"/>
      <c r="W96" s="26">
        <v>46054</v>
      </c>
      <c r="X96" s="17"/>
      <c r="Y96" s="17"/>
      <c r="Z96" s="31" t="s">
        <v>215</v>
      </c>
      <c r="AA96" s="17"/>
      <c r="AB96" s="17"/>
      <c r="AC96" s="17"/>
      <c r="AD96" s="17"/>
      <c r="AE96" s="17"/>
      <c r="AF96" s="17"/>
      <c r="AG96" s="17"/>
      <c r="AH96" s="17"/>
      <c r="AI96" s="8"/>
    </row>
    <row r="97" spans="1:35" s="11" customFormat="1" ht="41.4" customHeight="1">
      <c r="A97" s="46">
        <v>2025</v>
      </c>
      <c r="B97" s="19" t="str">
        <f t="shared" si="4"/>
        <v>Oct</v>
      </c>
      <c r="C97" s="19" t="s">
        <v>35</v>
      </c>
      <c r="D97" s="19" t="s">
        <v>293</v>
      </c>
      <c r="E97" s="16" t="s">
        <v>293</v>
      </c>
      <c r="F97" s="17" t="s">
        <v>174</v>
      </c>
      <c r="G97" s="17" t="s">
        <v>294</v>
      </c>
      <c r="H97" s="17" t="s">
        <v>295</v>
      </c>
      <c r="I97" s="12" t="s">
        <v>51</v>
      </c>
      <c r="J97" s="12" t="s">
        <v>42</v>
      </c>
      <c r="K97" s="17" t="s">
        <v>52</v>
      </c>
      <c r="L97" s="12" t="s">
        <v>43</v>
      </c>
      <c r="M97" s="27">
        <v>45950</v>
      </c>
      <c r="N97" s="14">
        <f>IF(M97="",                                                                                                                                                                                                  "",
   WORKDAY(
      M97,
      IF(I97="S-Special",                                                                                                                                                                                                   45,
         IF(OR(I97="O-General",                                                                                                                                                                                                   I97="S-General"),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46013</v>
      </c>
      <c r="O97" s="27"/>
      <c r="P97" s="13">
        <f ca="1">IF(M97="",                                                                                                                                                                                                   "",
   NETWORKDAYS(
      M97,
      IF(O97&lt;&gt;"",                                                                                                                                                                                                   O97,                                                                                                                                                                                                   TODAY()),
      Dropdown!$A$2:$A$100
   )
)</f>
        <v>191</v>
      </c>
      <c r="Q97" s="13" t="str">
        <f t="shared" ca="1" si="5"/>
        <v>OVER KPI</v>
      </c>
      <c r="R97" s="13"/>
      <c r="S97" s="17"/>
      <c r="T97" s="17"/>
      <c r="U97" s="17"/>
      <c r="V97" s="17"/>
      <c r="W97" s="26"/>
      <c r="X97" s="17"/>
      <c r="Y97" s="17"/>
      <c r="Z97" s="17" t="s">
        <v>72</v>
      </c>
      <c r="AA97" s="17"/>
      <c r="AB97" s="17"/>
      <c r="AC97" s="17"/>
      <c r="AD97" s="17"/>
      <c r="AE97" s="17"/>
      <c r="AF97" s="17"/>
      <c r="AG97" s="17"/>
      <c r="AH97" s="17"/>
      <c r="AI97" s="8"/>
    </row>
    <row r="98" spans="1:35" s="11" customFormat="1" ht="41.4" customHeight="1">
      <c r="A98" s="46">
        <v>2025</v>
      </c>
      <c r="B98" s="19" t="str">
        <f t="shared" si="4"/>
        <v>Oct</v>
      </c>
      <c r="C98" s="19" t="s">
        <v>35</v>
      </c>
      <c r="D98" s="21" t="s">
        <v>296</v>
      </c>
      <c r="E98" s="18" t="s">
        <v>116</v>
      </c>
      <c r="F98" s="18" t="s">
        <v>174</v>
      </c>
      <c r="G98" s="18" t="s">
        <v>297</v>
      </c>
      <c r="H98" s="18" t="s">
        <v>298</v>
      </c>
      <c r="I98" s="12" t="s">
        <v>82</v>
      </c>
      <c r="J98" s="12" t="s">
        <v>42</v>
      </c>
      <c r="K98" s="12" t="s">
        <v>72</v>
      </c>
      <c r="L98" s="12" t="s">
        <v>43</v>
      </c>
      <c r="M98" s="27">
        <v>45950</v>
      </c>
      <c r="N98" s="14">
        <f>IF(M98="",                                                                                                                                                                                                  "",
   WORKDAY(
      M98,
      IF(I98="S-Special",                                                                                                                                                                                                   45,
         IF(OR(I98="O-General",                                                                                                                                                                                                   I98="S-General"),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8" s="44">
        <v>45987</v>
      </c>
      <c r="P98" s="13">
        <f ca="1">IF(M98="",                                                                                                                                                                                                   "",
   NETWORKDAYS(
      M98,
      IF(O98&lt;&gt;"",                                                                                                                                                                                                   O98,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98" s="13" t="str">
        <f t="shared" ref="Q98:Q129" ca="1" si="6">IF(P98="",                                                                                                                                                                                                   "",
   IF(OR(I98="O-General",                                                                                                                                                                                                   I98="S-General"),
      IF(P98&lt;=30,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IF(I98="S-Special",
         IF(P98&lt;=45,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8" s="13"/>
      <c r="S98" s="17"/>
      <c r="T98" s="17"/>
      <c r="U98" s="17"/>
      <c r="V98" s="17"/>
      <c r="W98" s="26">
        <v>46023</v>
      </c>
      <c r="X98" s="17"/>
      <c r="Y98" s="17"/>
      <c r="Z98" s="38" t="s">
        <v>72</v>
      </c>
      <c r="AA98" s="17"/>
      <c r="AB98" s="17"/>
      <c r="AC98" s="17"/>
      <c r="AD98" s="17"/>
      <c r="AE98" s="17"/>
      <c r="AF98" s="17"/>
      <c r="AG98" s="17"/>
      <c r="AH98" s="17"/>
      <c r="AI98" s="8"/>
    </row>
    <row r="99" spans="1:35" s="54" customFormat="1" ht="36" customHeight="1">
      <c r="A99" s="53">
        <v>2026</v>
      </c>
      <c r="B99" s="53" t="str">
        <f t="shared" ref="B99:B107" si="7">IF(M99="", "", TEXT(M99, "[$-en-US]mmm"))</f>
        <v>Jan</v>
      </c>
      <c r="C99" s="53" t="s">
        <v>35</v>
      </c>
      <c r="D99" s="53" t="s">
        <v>166</v>
      </c>
      <c r="E99" s="53" t="s">
        <v>166</v>
      </c>
      <c r="F99" s="54" t="s">
        <v>111</v>
      </c>
      <c r="G99" s="53" t="s">
        <v>244</v>
      </c>
      <c r="H99" s="53" t="s">
        <v>299</v>
      </c>
      <c r="I99" s="53" t="s">
        <v>51</v>
      </c>
      <c r="J99" s="53" t="s">
        <v>42</v>
      </c>
      <c r="K99" s="53" t="s">
        <v>52</v>
      </c>
      <c r="L99" s="53" t="s">
        <v>43</v>
      </c>
      <c r="M99" s="55">
        <v>46031</v>
      </c>
      <c r="N99" s="56">
        <f>IF(M99="",                                                                                                                                                                                                  "",
   WORKDAY(
      M99,
      IF(I99="S-Special",                                                                                                                                                                                                   45,
         IF(OR(I99="O-General",                                                                                                                                                                                                   I99="S-General"),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99" s="57">
        <v>46048</v>
      </c>
      <c r="P99" s="53">
        <f ca="1">IF(M99="",                                                                                                                                                                                                   "",
   NETWORKDAYS(
      M99,
      IF(O99&lt;&gt;"",                                                                                                                                                                                                   O99,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99" s="53" t="str">
        <f t="shared" ca="1" si="6"/>
        <v>ON KPI</v>
      </c>
      <c r="R99" s="53" t="s">
        <v>300</v>
      </c>
      <c r="S99" s="53">
        <v>15432</v>
      </c>
      <c r="T99" s="53" t="s">
        <v>301</v>
      </c>
      <c r="U99" s="53"/>
      <c r="V99" s="112" t="s">
        <v>302</v>
      </c>
      <c r="W99" s="53" t="s">
        <v>303</v>
      </c>
      <c r="X99" s="53" t="s">
        <v>304</v>
      </c>
      <c r="Y99" s="56">
        <v>46097</v>
      </c>
      <c r="Z99" s="53" t="s">
        <v>215</v>
      </c>
      <c r="AA99" s="53"/>
      <c r="AB99" s="53"/>
      <c r="AC99" s="58">
        <v>55</v>
      </c>
      <c r="AD99" s="58">
        <v>3</v>
      </c>
      <c r="AE99" s="58">
        <v>2</v>
      </c>
      <c r="AF99" s="58"/>
      <c r="AG99" s="58"/>
      <c r="AH99" s="54">
        <v>1</v>
      </c>
    </row>
    <row r="100" spans="1:35" s="60" customFormat="1" ht="36" customHeight="1">
      <c r="A100" s="59">
        <v>2026</v>
      </c>
      <c r="B100" s="53" t="str">
        <f t="shared" si="7"/>
        <v>Jan</v>
      </c>
      <c r="C100" s="59" t="s">
        <v>35</v>
      </c>
      <c r="D100" s="59" t="s">
        <v>305</v>
      </c>
      <c r="E100" s="59" t="s">
        <v>305</v>
      </c>
      <c r="F100" s="60" t="s">
        <v>111</v>
      </c>
      <c r="G100" s="59" t="s">
        <v>306</v>
      </c>
      <c r="H100" s="59" t="s">
        <v>113</v>
      </c>
      <c r="I100" s="59" t="s">
        <v>51</v>
      </c>
      <c r="J100" s="59" t="s">
        <v>42</v>
      </c>
      <c r="K100" s="59" t="s">
        <v>114</v>
      </c>
      <c r="L100" s="59" t="s">
        <v>43</v>
      </c>
      <c r="M100" s="61">
        <v>46031</v>
      </c>
      <c r="N100" s="62">
        <f>IF(M100="",                                                                                                                                                                                                  "",
   WORKDAY(
      M100,
      IF(I100="S-Special",                                                                                                                                                                                                   45,
         IF(OR(I100="O-General",                                                                                                                                                                                                   I100="S-General"),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100" s="63">
        <v>46182</v>
      </c>
      <c r="P100" s="59">
        <f ca="1">IF(M100="",                                                                                                                                                                                                   "",
   NETWORKDAYS(
      M100,
      IF(O100&lt;&gt;"",                                                                                                                                                                                                   O100,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100" s="59" t="str">
        <f t="shared" ca="1" si="6"/>
        <v>OVER KPI</v>
      </c>
      <c r="R100" s="59" t="s">
        <v>300</v>
      </c>
      <c r="S100" s="59">
        <v>15166</v>
      </c>
      <c r="T100" s="59" t="s">
        <v>307</v>
      </c>
      <c r="U100" s="59"/>
      <c r="V100" s="113" t="s">
        <v>308</v>
      </c>
      <c r="W100" s="53" t="s">
        <v>309</v>
      </c>
      <c r="X100" s="59" t="s">
        <v>304</v>
      </c>
      <c r="Y100" s="62"/>
      <c r="Z100" s="59" t="s">
        <v>215</v>
      </c>
      <c r="AA100" s="59"/>
      <c r="AB100" s="59"/>
      <c r="AC100" s="64">
        <v>134</v>
      </c>
      <c r="AD100" s="64">
        <v>4</v>
      </c>
      <c r="AE100" s="64">
        <v>0</v>
      </c>
      <c r="AF100" s="64"/>
      <c r="AG100" s="64"/>
      <c r="AH100" s="60">
        <v>1</v>
      </c>
    </row>
    <row r="101" spans="1:35" s="65" customFormat="1" ht="36" customHeight="1">
      <c r="A101" s="60">
        <v>2026</v>
      </c>
      <c r="B101" s="53" t="str">
        <f t="shared" si="7"/>
        <v>Feb</v>
      </c>
      <c r="C101" s="59" t="s">
        <v>35</v>
      </c>
      <c r="D101" s="60" t="s">
        <v>310</v>
      </c>
      <c r="E101" s="60" t="s">
        <v>310</v>
      </c>
      <c r="F101" s="60" t="s">
        <v>48</v>
      </c>
      <c r="G101" s="60" t="s">
        <v>261</v>
      </c>
      <c r="H101" s="60" t="s">
        <v>311</v>
      </c>
      <c r="I101" s="59" t="s">
        <v>51</v>
      </c>
      <c r="J101" s="59" t="s">
        <v>42</v>
      </c>
      <c r="K101" s="60" t="s">
        <v>52</v>
      </c>
      <c r="L101" s="59" t="s">
        <v>43</v>
      </c>
      <c r="M101" s="61">
        <v>46070</v>
      </c>
      <c r="N101" s="62">
        <f>IF(M101="",                                                                                                                                                                                                  "",
   WORKDAY(
      M101,
      IF(I101="S-Special",                                                                                                                                                                                                   45,
         IF(OR(I101="O-General",                                                                                                                                                                                                   I101="S-General"),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46140</v>
      </c>
      <c r="O101" s="63">
        <v>46106</v>
      </c>
      <c r="P101" s="59">
        <f ca="1">IF(M101="",                                                                                                                                                                                                   "",
   NETWORKDAYS(
      M101,
      IF(O101&lt;&gt;"",                                                                                                                                                                                                   O101,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01" s="59" t="str">
        <f t="shared" ca="1" si="6"/>
        <v>ON KPI</v>
      </c>
      <c r="R101" s="59" t="s">
        <v>300</v>
      </c>
      <c r="S101" s="60">
        <v>16631</v>
      </c>
      <c r="T101" s="60"/>
      <c r="U101" s="60"/>
      <c r="V101" s="114" t="s">
        <v>312</v>
      </c>
      <c r="W101" s="53" t="s">
        <v>313</v>
      </c>
      <c r="X101" s="60" t="s">
        <v>304</v>
      </c>
      <c r="Y101" s="63"/>
      <c r="Z101" s="59" t="s">
        <v>215</v>
      </c>
      <c r="AA101" s="60"/>
      <c r="AB101" s="60"/>
      <c r="AC101" s="64">
        <v>250</v>
      </c>
      <c r="AD101" s="64">
        <v>9</v>
      </c>
      <c r="AE101" s="64">
        <v>2</v>
      </c>
      <c r="AF101" s="64"/>
      <c r="AG101" s="64"/>
      <c r="AH101" s="60">
        <v>1</v>
      </c>
    </row>
    <row r="102" spans="1:35" s="60" customFormat="1" ht="36" customHeight="1">
      <c r="A102" s="60">
        <v>2026</v>
      </c>
      <c r="B102" s="53" t="str">
        <f t="shared" si="7"/>
        <v>Feb</v>
      </c>
      <c r="C102" s="59" t="s">
        <v>35</v>
      </c>
      <c r="D102" s="60" t="s">
        <v>314</v>
      </c>
      <c r="E102" s="60" t="s">
        <v>314</v>
      </c>
      <c r="F102" s="60" t="s">
        <v>75</v>
      </c>
      <c r="G102" s="60" t="s">
        <v>315</v>
      </c>
      <c r="H102" s="60" t="s">
        <v>316</v>
      </c>
      <c r="I102" s="59" t="s">
        <v>41</v>
      </c>
      <c r="J102" s="59" t="s">
        <v>83</v>
      </c>
      <c r="L102" s="59" t="s">
        <v>83</v>
      </c>
      <c r="M102" s="61">
        <v>46070</v>
      </c>
      <c r="N102" s="62">
        <f>IF(M102="",                                                                                                                                                                                                  "",
   WORKDAY(
      M102,
      IF(I102="S-Special",                                                                                                                                                                                                   45,
         IF(OR(I102="O-General",                                                                                                                                                                                                   I102="S-General"),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2" s="63">
        <v>46184</v>
      </c>
      <c r="P102" s="59">
        <f ca="1">IF(M102="",                                                                                                                                                                                                   "",
   NETWORKDAYS(
      M102,
      IF(O102&lt;&gt;"",                                                                                                                                                                                                   O102,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102" s="59" t="str">
        <f t="shared" ca="1" si="6"/>
        <v>OVER KPI</v>
      </c>
      <c r="R102" s="59" t="s">
        <v>300</v>
      </c>
      <c r="V102" s="114"/>
      <c r="W102" s="60" t="s">
        <v>303</v>
      </c>
      <c r="X102" s="60" t="s">
        <v>317</v>
      </c>
      <c r="Y102" s="63"/>
      <c r="Z102" s="59"/>
      <c r="AC102" s="64"/>
      <c r="AD102" s="64"/>
      <c r="AE102" s="64"/>
      <c r="AF102" s="64"/>
      <c r="AG102" s="64"/>
    </row>
    <row r="103" spans="1:35" s="65" customFormat="1" ht="36" customHeight="1">
      <c r="A103" s="60">
        <v>2026</v>
      </c>
      <c r="B103" s="53" t="str">
        <f t="shared" si="7"/>
        <v>Feb</v>
      </c>
      <c r="C103" s="59" t="s">
        <v>35</v>
      </c>
      <c r="D103" s="60" t="s">
        <v>318</v>
      </c>
      <c r="E103" s="60" t="s">
        <v>318</v>
      </c>
      <c r="F103" s="60" t="s">
        <v>291</v>
      </c>
      <c r="G103" s="59" t="s">
        <v>319</v>
      </c>
      <c r="H103" s="60" t="s">
        <v>320</v>
      </c>
      <c r="I103" s="59" t="s">
        <v>51</v>
      </c>
      <c r="J103" s="59" t="s">
        <v>42</v>
      </c>
      <c r="K103" s="60" t="s">
        <v>321</v>
      </c>
      <c r="L103" s="59" t="s">
        <v>43</v>
      </c>
      <c r="M103" s="61">
        <v>46064</v>
      </c>
      <c r="N103" s="62">
        <f>IF(M103="",                                                                                                                                                                                                  "",
   WORKDAY(
      M103,
      IF(I103="S-Special",                                                                                                                                                                                                   45,
         IF(OR(I103="O-General",                                                                                                                                                                                                   I103="S-General"),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46134</v>
      </c>
      <c r="O103" s="92">
        <v>46105</v>
      </c>
      <c r="P103" s="59">
        <f ca="1">IF(M103="",                                                                                                                                                                                                   "",
   NETWORKDAYS(
      M103,
      IF(O103&lt;&gt;"",                                                                                                                                                                                                   O103,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03" s="59" t="str">
        <f t="shared" ca="1" si="6"/>
        <v>ON KPI</v>
      </c>
      <c r="R103" s="59" t="s">
        <v>300</v>
      </c>
      <c r="S103" s="60">
        <v>16552</v>
      </c>
      <c r="T103" s="60" t="s">
        <v>322</v>
      </c>
      <c r="U103" s="60"/>
      <c r="V103" s="114" t="s">
        <v>323</v>
      </c>
      <c r="W103" s="60" t="s">
        <v>324</v>
      </c>
      <c r="X103" s="60" t="s">
        <v>300</v>
      </c>
      <c r="Y103" s="63"/>
      <c r="Z103" s="59" t="s">
        <v>215</v>
      </c>
      <c r="AA103" s="60"/>
      <c r="AB103" s="60"/>
      <c r="AC103" s="64">
        <v>27</v>
      </c>
      <c r="AD103" s="64">
        <v>8</v>
      </c>
      <c r="AE103" s="64">
        <v>3</v>
      </c>
      <c r="AF103" s="64"/>
      <c r="AG103" s="64"/>
      <c r="AH103" s="60">
        <v>1</v>
      </c>
    </row>
    <row r="104" spans="1:35" s="60" customFormat="1" ht="36" customHeight="1">
      <c r="A104" s="60">
        <v>2026</v>
      </c>
      <c r="B104" s="53" t="str">
        <f t="shared" si="7"/>
        <v>Feb</v>
      </c>
      <c r="C104" s="59" t="s">
        <v>35</v>
      </c>
      <c r="D104" s="60" t="s">
        <v>237</v>
      </c>
      <c r="E104" s="60" t="s">
        <v>237</v>
      </c>
      <c r="F104" s="60" t="s">
        <v>48</v>
      </c>
      <c r="G104" s="60" t="s">
        <v>97</v>
      </c>
      <c r="H104" s="60" t="s">
        <v>325</v>
      </c>
      <c r="I104" s="59" t="s">
        <v>41</v>
      </c>
      <c r="J104" s="59" t="s">
        <v>42</v>
      </c>
      <c r="K104" s="60" t="s">
        <v>52</v>
      </c>
      <c r="L104" s="59" t="s">
        <v>43</v>
      </c>
      <c r="M104" s="61">
        <v>46070</v>
      </c>
      <c r="N104" s="62">
        <f>IF(M104="",                                                                                                                                                                                                  "",
   WORKDAY(
      M104,
      IF(I104="S-Special",                                                                                                                                                                                                   45,
         IF(OR(I104="O-General",                                                                                                                                                                                                   I104="S-General"),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4" s="93">
        <v>46105</v>
      </c>
      <c r="P104" s="59">
        <f ca="1">IF(M104="",                                                                                                                                                                                                   "",
   NETWORKDAYS(
      M104,
      IF(O104&lt;&gt;"",                                                                                                                                                                                                   O104,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04" s="59" t="str">
        <f t="shared" ca="1" si="6"/>
        <v>ON KPI</v>
      </c>
      <c r="R104" s="59"/>
      <c r="V104" s="114" t="s">
        <v>326</v>
      </c>
      <c r="W104" s="60" t="s">
        <v>327</v>
      </c>
      <c r="X104" s="60" t="s">
        <v>304</v>
      </c>
      <c r="Y104" s="63"/>
      <c r="Z104" s="59" t="s">
        <v>215</v>
      </c>
      <c r="AC104" s="64">
        <v>274</v>
      </c>
      <c r="AD104" s="64">
        <v>5</v>
      </c>
      <c r="AE104" s="64">
        <v>2</v>
      </c>
      <c r="AF104" s="64"/>
      <c r="AG104" s="64"/>
      <c r="AH104" s="60">
        <v>1</v>
      </c>
    </row>
    <row r="105" spans="1:35" s="65" customFormat="1" ht="36" customHeight="1">
      <c r="A105" s="60">
        <v>2026</v>
      </c>
      <c r="B105" s="53" t="str">
        <f t="shared" si="7"/>
        <v>Mar</v>
      </c>
      <c r="C105" s="59" t="s">
        <v>35</v>
      </c>
      <c r="D105" s="60" t="s">
        <v>310</v>
      </c>
      <c r="E105" s="60" t="s">
        <v>310</v>
      </c>
      <c r="F105" s="60" t="s">
        <v>48</v>
      </c>
      <c r="G105" s="60" t="s">
        <v>261</v>
      </c>
      <c r="H105" s="60" t="s">
        <v>311</v>
      </c>
      <c r="I105" s="59" t="s">
        <v>51</v>
      </c>
      <c r="J105" s="59" t="s">
        <v>42</v>
      </c>
      <c r="K105" s="60" t="s">
        <v>52</v>
      </c>
      <c r="L105" s="59" t="s">
        <v>43</v>
      </c>
      <c r="M105" s="61">
        <v>46094</v>
      </c>
      <c r="N105" s="62">
        <f>IF(M105="",                                                                                                                                                                                                  "",
   WORKDAY(
      M105,
      IF(I105="S-Special",                                                                                                                                                                                                   45,
         IF(OR(I105="O-General",                                                                                                                                                                                                   I105="S-General"),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46168</v>
      </c>
      <c r="O105" s="63">
        <v>46104</v>
      </c>
      <c r="P105" s="59">
        <f ca="1">IF(M105="",                                                                                                                                                                                                   "",
   NETWORKDAYS(
      M105,
      IF(O105&lt;&gt;"",                                                                                                                                                                                                   O105,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05" s="59" t="str">
        <f t="shared" ca="1" si="6"/>
        <v>ON KPI</v>
      </c>
      <c r="R105" s="59" t="s">
        <v>300</v>
      </c>
      <c r="S105" s="60">
        <v>15969</v>
      </c>
      <c r="T105" s="60"/>
      <c r="U105" s="60"/>
      <c r="V105" s="114" t="s">
        <v>328</v>
      </c>
      <c r="W105" s="60" t="s">
        <v>313</v>
      </c>
      <c r="X105" s="60" t="s">
        <v>304</v>
      </c>
      <c r="Y105" s="63"/>
      <c r="Z105" s="59" t="s">
        <v>215</v>
      </c>
      <c r="AA105" s="60"/>
      <c r="AB105" s="60"/>
      <c r="AC105" s="64"/>
      <c r="AD105" s="64"/>
      <c r="AE105" s="64"/>
      <c r="AF105" s="64"/>
      <c r="AG105" s="64"/>
      <c r="AH105" s="60"/>
    </row>
    <row r="106" spans="1:35" s="60" customFormat="1" ht="36" customHeight="1">
      <c r="A106" s="60">
        <v>2026</v>
      </c>
      <c r="B106" s="53" t="str">
        <f t="shared" si="7"/>
        <v>Mar</v>
      </c>
      <c r="C106" s="59" t="s">
        <v>35</v>
      </c>
      <c r="D106" s="60" t="s">
        <v>329</v>
      </c>
      <c r="E106" s="60" t="s">
        <v>330</v>
      </c>
      <c r="I106" s="59" t="s">
        <v>41</v>
      </c>
      <c r="J106" s="59" t="s">
        <v>42</v>
      </c>
      <c r="K106" s="60" t="s">
        <v>52</v>
      </c>
      <c r="L106" s="59" t="s">
        <v>43</v>
      </c>
      <c r="M106" s="61">
        <v>46091</v>
      </c>
      <c r="N106" s="62">
        <f>IF(M106="",                                                                                                                                                                                                  "",
   WORKDAY(
      M106,
      IF(I106="S-Special",                                                                                                                                                                                                   45,
         IF(OR(I106="O-General",                                                                                                                                                                                                   I106="S-General"),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6" s="63">
        <v>46142</v>
      </c>
      <c r="P106" s="59">
        <f ca="1">IF(M106="",                                                                                                                                                                                                   "",
   NETWORKDAYS(
      M106,
      IF(O106&lt;&gt;"",                                                                                                                                                                                                   O106,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106" s="59" t="str">
        <f t="shared" ca="1" si="6"/>
        <v>OVER KPI</v>
      </c>
      <c r="R106" s="59" t="s">
        <v>331</v>
      </c>
      <c r="V106" s="114" t="s">
        <v>332</v>
      </c>
      <c r="W106" s="60" t="s">
        <v>333</v>
      </c>
      <c r="X106" s="60" t="s">
        <v>334</v>
      </c>
      <c r="Y106" s="63"/>
      <c r="Z106" s="59" t="s">
        <v>53</v>
      </c>
      <c r="AC106" s="64"/>
      <c r="AD106" s="64"/>
      <c r="AE106" s="64"/>
      <c r="AF106" s="64"/>
      <c r="AG106" s="64"/>
    </row>
    <row r="107" spans="1:35" s="65" customFormat="1" ht="36" customHeight="1">
      <c r="A107" s="60">
        <v>2026</v>
      </c>
      <c r="B107" s="53" t="str">
        <f t="shared" si="7"/>
        <v>Mar</v>
      </c>
      <c r="C107" s="59" t="s">
        <v>35</v>
      </c>
      <c r="D107" s="60" t="s">
        <v>246</v>
      </c>
      <c r="E107" s="60" t="s">
        <v>246</v>
      </c>
      <c r="F107" s="60" t="s">
        <v>335</v>
      </c>
      <c r="G107" s="60" t="s">
        <v>156</v>
      </c>
      <c r="H107" s="60" t="s">
        <v>336</v>
      </c>
      <c r="I107" s="59" t="s">
        <v>41</v>
      </c>
      <c r="J107" s="59" t="s">
        <v>42</v>
      </c>
      <c r="K107" s="60" t="s">
        <v>52</v>
      </c>
      <c r="L107" s="59" t="s">
        <v>43</v>
      </c>
      <c r="M107" s="61">
        <v>46091</v>
      </c>
      <c r="N107" s="62">
        <f>IF(M107="",                                                                                                                                                                                                  "",
   WORKDAY(
      M107,
      IF(I107="S-Special",                                                                                                                                                                                                   45,
         IF(OR(I107="O-General",                                                                                                                                                                                                   I107="S-General"),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7" s="63">
        <v>46096</v>
      </c>
      <c r="P107" s="59">
        <f ca="1">IF(M107="",                                                                                                                                                                                                   "",
   NETWORKDAYS(
      M107,
      IF(O107&lt;&gt;"",                                                                                                                                                                                                   O107,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07" s="59" t="str">
        <f t="shared" ca="1" si="6"/>
        <v>ON KPI</v>
      </c>
      <c r="R107" s="59" t="s">
        <v>300</v>
      </c>
      <c r="S107" s="60">
        <v>16733</v>
      </c>
      <c r="T107" s="60" t="s">
        <v>337</v>
      </c>
      <c r="U107" s="60">
        <v>16749</v>
      </c>
      <c r="V107" s="114" t="s">
        <v>338</v>
      </c>
      <c r="W107" s="60" t="s">
        <v>324</v>
      </c>
      <c r="X107" s="60" t="s">
        <v>334</v>
      </c>
      <c r="Y107" s="63"/>
      <c r="Z107" s="59" t="s">
        <v>215</v>
      </c>
      <c r="AA107" s="60"/>
      <c r="AB107" s="60"/>
      <c r="AC107" s="64"/>
      <c r="AD107" s="64"/>
      <c r="AE107" s="64"/>
      <c r="AF107" s="64"/>
      <c r="AG107" s="64"/>
      <c r="AH107" s="60"/>
    </row>
    <row r="108" spans="1:35" s="65" customFormat="1" ht="36" customHeight="1">
      <c r="A108" s="66">
        <v>2026</v>
      </c>
      <c r="B108" s="59" t="str">
        <f>IF(M108="", "", TEXT(M108, "[$-en-US]mmmm"))</f>
        <v>March</v>
      </c>
      <c r="C108" s="59" t="s">
        <v>35</v>
      </c>
      <c r="D108" s="60" t="s">
        <v>339</v>
      </c>
      <c r="E108" s="60" t="s">
        <v>339</v>
      </c>
      <c r="F108" s="60" t="s">
        <v>291</v>
      </c>
      <c r="G108" s="60" t="s">
        <v>319</v>
      </c>
      <c r="H108" s="60" t="s">
        <v>340</v>
      </c>
      <c r="I108" s="59" t="s">
        <v>51</v>
      </c>
      <c r="J108" s="59" t="s">
        <v>42</v>
      </c>
      <c r="K108" s="60" t="s">
        <v>52</v>
      </c>
      <c r="L108" s="59" t="s">
        <v>43</v>
      </c>
      <c r="M108" s="61">
        <v>46098</v>
      </c>
      <c r="N108" s="62">
        <f>IF(M108="",                                                                                                                                                                                                  "",
   WORKDAY(
      M108,
      IF(I108="S-Special",                                                                                                                                                                                                   45,
         IF(OR(I108="O-General",                                                                                                                                                                                                   I108="S-General"),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46170</v>
      </c>
      <c r="O108" s="63">
        <v>46104</v>
      </c>
      <c r="P108" s="59">
        <f ca="1">IF(M108="",                                                                                                                                                                                                   "",
   NETWORKDAYS(
      M108,
      IF(O108&lt;&gt;"",                                                                                                                                                                                                   O108,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08" s="59" t="str">
        <f t="shared" ca="1" si="6"/>
        <v>ON KPI</v>
      </c>
      <c r="R108" s="59" t="s">
        <v>341</v>
      </c>
      <c r="S108" s="60">
        <v>16269</v>
      </c>
      <c r="T108" s="60" t="s">
        <v>342</v>
      </c>
      <c r="U108" s="60"/>
      <c r="V108" s="114" t="s">
        <v>343</v>
      </c>
      <c r="W108" s="60" t="s">
        <v>309</v>
      </c>
      <c r="X108" s="60" t="s">
        <v>304</v>
      </c>
      <c r="Y108" s="63"/>
      <c r="Z108" s="59" t="s">
        <v>215</v>
      </c>
      <c r="AA108" s="60"/>
      <c r="AB108" s="60"/>
      <c r="AC108" s="64"/>
      <c r="AD108" s="64"/>
      <c r="AE108" s="64"/>
      <c r="AF108" s="67"/>
      <c r="AG108" s="67"/>
    </row>
    <row r="109" spans="1:35" s="65" customFormat="1" ht="36" customHeight="1">
      <c r="A109" s="66">
        <v>2026</v>
      </c>
      <c r="B109" s="53" t="str">
        <f t="shared" ref="B109:B117" si="8">IF(M109="", "", TEXT(M109, "[$-en-US]mmm"))</f>
        <v>May</v>
      </c>
      <c r="C109" s="59" t="s">
        <v>35</v>
      </c>
      <c r="D109" s="60" t="s">
        <v>46</v>
      </c>
      <c r="E109" s="60" t="s">
        <v>248</v>
      </c>
      <c r="F109" s="60" t="s">
        <v>61</v>
      </c>
      <c r="G109" s="60" t="s">
        <v>104</v>
      </c>
      <c r="H109" s="60" t="s">
        <v>344</v>
      </c>
      <c r="I109" s="59" t="s">
        <v>41</v>
      </c>
      <c r="J109" s="59" t="s">
        <v>42</v>
      </c>
      <c r="K109" s="60" t="s">
        <v>52</v>
      </c>
      <c r="L109" s="59" t="s">
        <v>43</v>
      </c>
      <c r="M109" s="61">
        <v>46151</v>
      </c>
      <c r="N109" s="62">
        <f>IF(M109="",                                                                                                                                                                                                  "",
   WORKDAY(
      M109,
      IF(I109="S-Special",                                                                                                                                                                                                   45,
         IF(OR(I109="O-General",                                                                                                                                                                                                   I109="S-General"),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09" s="63">
        <v>46189</v>
      </c>
      <c r="P109" s="59">
        <f ca="1">IF(M109="",                                                                                                                                                                                                   "",
   NETWORKDAYS(
      M109,
      IF(O109&lt;&gt;"",                                                                                                                                                                                                   O109,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09" s="59" t="str">
        <f t="shared" ca="1" si="6"/>
        <v>ON KPI</v>
      </c>
      <c r="R109" s="59" t="s">
        <v>300</v>
      </c>
      <c r="S109" s="60" t="s">
        <v>345</v>
      </c>
      <c r="T109" s="60" t="s">
        <v>346</v>
      </c>
      <c r="U109" s="60"/>
      <c r="V109" s="114" t="s">
        <v>347</v>
      </c>
      <c r="W109" s="60" t="s">
        <v>348</v>
      </c>
      <c r="X109" s="60" t="s">
        <v>304</v>
      </c>
      <c r="Y109" s="63"/>
      <c r="Z109" s="59" t="s">
        <v>215</v>
      </c>
      <c r="AA109" s="60"/>
      <c r="AB109" s="60"/>
      <c r="AC109" s="64"/>
      <c r="AD109" s="64"/>
      <c r="AE109" s="64"/>
      <c r="AF109" s="68"/>
      <c r="AG109" s="68"/>
    </row>
    <row r="110" spans="1:35" s="65" customFormat="1" ht="36" customHeight="1">
      <c r="A110" s="66">
        <v>2026</v>
      </c>
      <c r="B110" s="53" t="str">
        <f t="shared" si="8"/>
        <v>May</v>
      </c>
      <c r="C110" s="59" t="s">
        <v>35</v>
      </c>
      <c r="D110" s="60" t="s">
        <v>349</v>
      </c>
      <c r="E110" s="60" t="s">
        <v>350</v>
      </c>
      <c r="F110" s="60" t="s">
        <v>87</v>
      </c>
      <c r="G110" s="60" t="s">
        <v>106</v>
      </c>
      <c r="H110" s="60" t="s">
        <v>351</v>
      </c>
      <c r="I110" s="59" t="s">
        <v>41</v>
      </c>
      <c r="J110" s="59" t="s">
        <v>42</v>
      </c>
      <c r="K110" s="60" t="s">
        <v>52</v>
      </c>
      <c r="L110" s="59" t="s">
        <v>43</v>
      </c>
      <c r="M110" s="61">
        <v>46169</v>
      </c>
      <c r="N110" s="62">
        <f>IF(M110="",                                                                                                                                                                                                  "",
   WORKDAY(
      M110,
      IF(I110="S-Special",                                                                                                                                                                                                   45,
         IF(OR(I110="O-General",                                                                                                                                                                                                   I110="S-General"),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46213</v>
      </c>
      <c r="O110" s="63">
        <v>46209</v>
      </c>
      <c r="P110" s="59">
        <f ca="1">IF(M110="",                                                                                                                                                                                                   "",
   NETWORKDAYS(
      M110,
      IF(O110&lt;&gt;"",                                                                                                                                                                                                   O110,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10" s="59" t="str">
        <f t="shared" ca="1" si="6"/>
        <v>ON KPI</v>
      </c>
      <c r="R110" s="59" t="s">
        <v>341</v>
      </c>
      <c r="S110" s="60">
        <v>15917</v>
      </c>
      <c r="T110" s="60" t="s">
        <v>352</v>
      </c>
      <c r="U110" s="60"/>
      <c r="V110" s="114" t="s">
        <v>353</v>
      </c>
      <c r="W110" s="60" t="s">
        <v>354</v>
      </c>
      <c r="X110" s="60" t="s">
        <v>304</v>
      </c>
      <c r="Y110" s="63"/>
      <c r="Z110" s="59" t="s">
        <v>160</v>
      </c>
      <c r="AA110" s="60"/>
      <c r="AB110" s="60"/>
      <c r="AC110" s="64"/>
      <c r="AD110" s="64"/>
      <c r="AE110" s="64"/>
      <c r="AF110" s="68"/>
      <c r="AG110" s="68"/>
      <c r="AI110" s="69" t="s">
        <v>355</v>
      </c>
    </row>
    <row r="111" spans="1:35" s="65" customFormat="1" ht="36" customHeight="1">
      <c r="A111" s="66">
        <v>2026</v>
      </c>
      <c r="B111" s="53" t="str">
        <f t="shared" si="8"/>
        <v>May</v>
      </c>
      <c r="C111" s="59" t="s">
        <v>35</v>
      </c>
      <c r="D111" s="70" t="s">
        <v>356</v>
      </c>
      <c r="E111" s="70" t="s">
        <v>356</v>
      </c>
      <c r="F111" s="70" t="s">
        <v>87</v>
      </c>
      <c r="G111" s="70" t="s">
        <v>106</v>
      </c>
      <c r="H111" s="70" t="s">
        <v>254</v>
      </c>
      <c r="I111" s="71" t="s">
        <v>41</v>
      </c>
      <c r="J111" s="59" t="s">
        <v>42</v>
      </c>
      <c r="K111" s="60" t="s">
        <v>52</v>
      </c>
      <c r="L111" s="71" t="s">
        <v>357</v>
      </c>
      <c r="M111" s="72">
        <v>46151</v>
      </c>
      <c r="N111" s="73">
        <f>IF(M111="",                                                                                                                                                                                                  "",
   WORKDAY(
      M111,
      IF(I111="S-Special",                                                                                                                                                                                                   45,
         IF(OR(I111="O-General",                                                                                                                                                                                                   I111="S-General"),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11" s="63">
        <v>46184</v>
      </c>
      <c r="P111" s="71">
        <f ca="1">IF(M111="",                                                                                                                                                                                                   "",
   NETWORKDAYS(
      M111,
      IF(O111&lt;&gt;"",                                                                                                                                                                                                   O111,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111" s="71" t="str">
        <f t="shared" ca="1" si="6"/>
        <v>ON KPI</v>
      </c>
      <c r="R111" s="71"/>
      <c r="S111" s="70"/>
      <c r="T111" s="70"/>
      <c r="U111" s="70">
        <v>15880</v>
      </c>
      <c r="V111" s="115" t="s">
        <v>358</v>
      </c>
      <c r="W111" s="70"/>
      <c r="X111" s="70" t="s">
        <v>317</v>
      </c>
      <c r="Y111" s="74"/>
      <c r="Z111" s="71" t="s">
        <v>72</v>
      </c>
      <c r="AA111" s="70"/>
      <c r="AB111" s="70"/>
      <c r="AC111" s="75"/>
      <c r="AD111" s="75"/>
      <c r="AE111" s="75"/>
      <c r="AF111" s="67"/>
      <c r="AG111" s="67"/>
      <c r="AH111" s="76"/>
    </row>
    <row r="112" spans="1:35" s="65" customFormat="1" ht="36" customHeight="1">
      <c r="A112" s="66">
        <v>2026</v>
      </c>
      <c r="B112" s="53" t="str">
        <f t="shared" si="8"/>
        <v>Jun</v>
      </c>
      <c r="C112" s="59" t="s">
        <v>35</v>
      </c>
      <c r="D112" s="110" t="s">
        <v>359</v>
      </c>
      <c r="E112" s="60" t="s">
        <v>360</v>
      </c>
      <c r="F112" s="60" t="s">
        <v>111</v>
      </c>
      <c r="G112" s="60" t="s">
        <v>361</v>
      </c>
      <c r="H112" s="60" t="s">
        <v>362</v>
      </c>
      <c r="I112" s="59" t="s">
        <v>51</v>
      </c>
      <c r="J112" s="59" t="s">
        <v>42</v>
      </c>
      <c r="K112" s="60" t="s">
        <v>52</v>
      </c>
      <c r="L112" s="71" t="s">
        <v>363</v>
      </c>
      <c r="M112" s="72">
        <v>46182</v>
      </c>
      <c r="N112" s="62">
        <f>IF(M112="",                                                                                                                                                                                                  "",
   WORKDAY(
      M112,
      IF(I112="S-Special",                                                                                                                                                                                                   45,
         IF(OR(I112="O-General",                                                                                                                                                                                                   I112="S-General"),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2" s="63">
        <v>46212</v>
      </c>
      <c r="P112" s="59">
        <f ca="1">IF(M112="",                                                                                                                                                                                                   "",
   NETWORKDAYS(
      M112,
      IF(O112&lt;&gt;"",                                                                                                                                                                                                   O112,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112" s="59" t="str">
        <f t="shared" ca="1" si="6"/>
        <v>ON KPI</v>
      </c>
      <c r="R112" s="59"/>
      <c r="S112" s="60">
        <v>16124</v>
      </c>
      <c r="T112" s="60"/>
      <c r="U112" s="60"/>
      <c r="V112" s="114"/>
      <c r="W112" s="60"/>
      <c r="X112" s="60" t="s">
        <v>317</v>
      </c>
      <c r="Y112" s="63"/>
      <c r="Z112" s="59"/>
      <c r="AA112" s="60"/>
      <c r="AB112" s="60" t="s">
        <v>364</v>
      </c>
      <c r="AC112" s="64"/>
      <c r="AD112" s="64"/>
      <c r="AE112" s="64"/>
      <c r="AF112" s="67"/>
      <c r="AG112" s="67"/>
      <c r="AI112" s="69" t="s">
        <v>365</v>
      </c>
    </row>
    <row r="113" spans="1:35" s="65" customFormat="1" ht="36" customHeight="1">
      <c r="A113" s="66">
        <v>2026</v>
      </c>
      <c r="B113" s="53" t="str">
        <f t="shared" si="8"/>
        <v>Jun</v>
      </c>
      <c r="C113" s="59" t="s">
        <v>35</v>
      </c>
      <c r="D113" s="70" t="s">
        <v>96</v>
      </c>
      <c r="E113" s="70" t="s">
        <v>96</v>
      </c>
      <c r="F113" s="70" t="s">
        <v>48</v>
      </c>
      <c r="G113" s="70" t="s">
        <v>97</v>
      </c>
      <c r="H113" s="70" t="s">
        <v>98</v>
      </c>
      <c r="I113" s="71" t="s">
        <v>51</v>
      </c>
      <c r="J113" s="59" t="s">
        <v>42</v>
      </c>
      <c r="K113" s="60" t="s">
        <v>52</v>
      </c>
      <c r="L113" s="71" t="s">
        <v>357</v>
      </c>
      <c r="M113" s="72">
        <v>46182</v>
      </c>
      <c r="N113" s="73">
        <f>IF(M113="",                                                                                                                                                                                                  "",
   WORKDAY(
      M113,
      IF(I113="S-Special",                                                                                                                                                                                                   45,
         IF(OR(I113="O-General",                                                                                                                                                                                                   I113="S-General"),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3" s="63">
        <v>46213</v>
      </c>
      <c r="P113" s="71">
        <f ca="1">IF(M113="",                                                                                                                                                                                                   "",
   NETWORKDAYS(
      M113,
      IF(O113&lt;&gt;"",                                                                                                                                                                                                   O113,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3" s="71" t="str">
        <f t="shared" ca="1" si="6"/>
        <v>ON KPI</v>
      </c>
      <c r="R113" s="71"/>
      <c r="S113" s="70">
        <v>16700</v>
      </c>
      <c r="T113" s="70"/>
      <c r="U113" s="70"/>
      <c r="V113" s="115" t="s">
        <v>366</v>
      </c>
      <c r="W113" s="60" t="s">
        <v>367</v>
      </c>
      <c r="X113" s="70" t="s">
        <v>317</v>
      </c>
      <c r="Y113" s="74"/>
      <c r="Z113" s="71" t="s">
        <v>215</v>
      </c>
      <c r="AA113" s="70"/>
      <c r="AB113" s="71" t="s">
        <v>368</v>
      </c>
      <c r="AC113" s="75"/>
      <c r="AD113" s="75"/>
      <c r="AE113" s="75"/>
      <c r="AF113" s="67"/>
      <c r="AG113" s="67"/>
      <c r="AH113" s="76"/>
      <c r="AI113" s="69" t="s">
        <v>369</v>
      </c>
    </row>
    <row r="114" spans="1:35" s="65" customFormat="1" ht="36" customHeight="1">
      <c r="A114" s="66">
        <v>2026</v>
      </c>
      <c r="B114" s="53" t="str">
        <f t="shared" si="8"/>
        <v>Jun</v>
      </c>
      <c r="C114" s="59" t="s">
        <v>35</v>
      </c>
      <c r="D114" s="70" t="s">
        <v>370</v>
      </c>
      <c r="E114" s="70" t="s">
        <v>370</v>
      </c>
      <c r="F114" s="70" t="s">
        <v>174</v>
      </c>
      <c r="G114" s="70" t="s">
        <v>294</v>
      </c>
      <c r="H114" s="70" t="s">
        <v>371</v>
      </c>
      <c r="I114" s="71" t="s">
        <v>41</v>
      </c>
      <c r="J114" s="59" t="s">
        <v>42</v>
      </c>
      <c r="K114" s="60" t="s">
        <v>114</v>
      </c>
      <c r="L114" s="71" t="s">
        <v>43</v>
      </c>
      <c r="M114" s="72">
        <v>46182</v>
      </c>
      <c r="N114" s="73">
        <f>IF(M114="",                                                                                                                                                                                                  "",
   WORKDAY(
      M114,
      IF(I114="S-Special",                                                                                                                                                                                                   45,
         IF(OR(I114="O-General",                                                                                                                                                                                                   I114="S-General"),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4" s="63">
        <v>46220</v>
      </c>
      <c r="P114" s="71">
        <f ca="1">IF(M114="",                                                                                                                                                                                                   "",
   NETWORKDAYS(
      M114,
      IF(O114&lt;&gt;"",                                                                                                                                                                                                   O114,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14" s="71" t="str">
        <f t="shared" ca="1" si="6"/>
        <v>ON KPI</v>
      </c>
      <c r="R114" s="71"/>
      <c r="S114" s="70">
        <v>15889</v>
      </c>
      <c r="T114" s="70"/>
      <c r="U114" s="70"/>
      <c r="V114" s="115"/>
      <c r="W114" s="70"/>
      <c r="X114" s="70" t="s">
        <v>304</v>
      </c>
      <c r="Y114" s="74"/>
      <c r="Z114" s="71"/>
      <c r="AA114" s="70"/>
      <c r="AB114" s="70" t="s">
        <v>372</v>
      </c>
      <c r="AC114" s="75"/>
      <c r="AD114" s="75"/>
      <c r="AE114" s="75"/>
      <c r="AF114" s="67"/>
      <c r="AG114" s="67"/>
      <c r="AH114" s="76"/>
      <c r="AI114" s="45" t="s">
        <v>373</v>
      </c>
    </row>
    <row r="115" spans="1:35" s="65" customFormat="1" ht="36" customHeight="1">
      <c r="A115" s="66">
        <v>2026</v>
      </c>
      <c r="B115" s="53" t="str">
        <f t="shared" si="8"/>
        <v>Jun</v>
      </c>
      <c r="C115" s="59" t="s">
        <v>35</v>
      </c>
      <c r="D115" s="70" t="s">
        <v>374</v>
      </c>
      <c r="E115" s="70" t="s">
        <v>374</v>
      </c>
      <c r="F115" s="70" t="s">
        <v>291</v>
      </c>
      <c r="G115" s="70" t="s">
        <v>292</v>
      </c>
      <c r="H115" s="70"/>
      <c r="I115" s="71" t="s">
        <v>51</v>
      </c>
      <c r="J115" s="59" t="s">
        <v>42</v>
      </c>
      <c r="K115" s="60" t="s">
        <v>52</v>
      </c>
      <c r="L115" s="71" t="s">
        <v>43</v>
      </c>
      <c r="M115" s="72">
        <v>46182</v>
      </c>
      <c r="N115" s="73">
        <f>IF(M115="",                                                                                                                                                                                                  "",
   WORKDAY(
      M115,
      IF(I115="S-Special",                                                                                                                                                                                                   45,
         IF(OR(I115="O-General",                                                                                                                                                                                                   I115="S-General"),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5" s="63">
        <v>46213</v>
      </c>
      <c r="P115" s="71">
        <f ca="1">IF(M115="",                                                                                                                                                                                                   "",
   NETWORKDAYS(
      M115,
      IF(O115&lt;&gt;"",                                                                                                                                                                                                   O115,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5" s="71" t="str">
        <f t="shared" ca="1" si="6"/>
        <v>ON KPI</v>
      </c>
      <c r="R115" s="71"/>
      <c r="S115" s="70">
        <v>16266</v>
      </c>
      <c r="T115" s="70"/>
      <c r="U115" s="76"/>
      <c r="V115" s="118" t="s">
        <v>375</v>
      </c>
      <c r="W115" s="120"/>
      <c r="X115" s="70" t="s">
        <v>304</v>
      </c>
      <c r="Y115" s="74"/>
      <c r="Z115" s="71" t="s">
        <v>215</v>
      </c>
      <c r="AA115" s="70"/>
      <c r="AB115" s="60" t="s">
        <v>364</v>
      </c>
      <c r="AC115" s="75"/>
      <c r="AD115" s="75"/>
      <c r="AE115" s="75"/>
      <c r="AF115" s="67"/>
      <c r="AG115" s="67"/>
      <c r="AH115" s="76"/>
      <c r="AI115" s="45" t="s">
        <v>376</v>
      </c>
    </row>
    <row r="116" spans="1:35" s="76" customFormat="1" ht="36" customHeight="1">
      <c r="A116" s="66">
        <v>2026</v>
      </c>
      <c r="B116" s="53" t="str">
        <f t="shared" si="8"/>
        <v>Jun</v>
      </c>
      <c r="C116" s="71" t="s">
        <v>35</v>
      </c>
      <c r="D116" s="70" t="s">
        <v>260</v>
      </c>
      <c r="E116" s="70" t="s">
        <v>260</v>
      </c>
      <c r="F116" s="70" t="s">
        <v>48</v>
      </c>
      <c r="G116" s="70" t="s">
        <v>261</v>
      </c>
      <c r="H116" s="70" t="s">
        <v>377</v>
      </c>
      <c r="I116" s="71" t="s">
        <v>51</v>
      </c>
      <c r="J116" s="59" t="s">
        <v>42</v>
      </c>
      <c r="K116" s="70" t="s">
        <v>52</v>
      </c>
      <c r="L116" s="71" t="s">
        <v>43</v>
      </c>
      <c r="M116" s="72">
        <v>46182</v>
      </c>
      <c r="N116" s="73">
        <f>IF(M116="",                                                                                                                                                                                                  "",
   WORKDAY(
      M116,
      IF(I116="S-Special",                                                                                                                                                                                                   45,
         IF(OR(I116="O-General",                                                                                                                                                                                                   I116="S-General"),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6" s="63">
        <v>46205</v>
      </c>
      <c r="P116" s="71">
        <f ca="1">IF(M116="",                                                                                                                                                                                                   "",
   NETWORKDAYS(
      M116,
      IF(O116&lt;&gt;"",                                                                                                                                                                                                   O116,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6" s="71" t="str">
        <f t="shared" ca="1" si="6"/>
        <v>ON KPI</v>
      </c>
      <c r="R116" s="71" t="s">
        <v>300</v>
      </c>
      <c r="S116" s="70">
        <v>16404</v>
      </c>
      <c r="T116" s="70"/>
      <c r="V116" s="119" t="s">
        <v>378</v>
      </c>
      <c r="W116" s="66" t="s">
        <v>348</v>
      </c>
      <c r="X116" s="70" t="s">
        <v>304</v>
      </c>
      <c r="Y116" s="74"/>
      <c r="Z116" s="71" t="s">
        <v>215</v>
      </c>
      <c r="AA116" s="70"/>
      <c r="AB116" s="60" t="s">
        <v>364</v>
      </c>
      <c r="AC116" s="75"/>
      <c r="AD116" s="75"/>
      <c r="AE116" s="75"/>
      <c r="AF116" s="67"/>
      <c r="AG116" s="67"/>
      <c r="AI116" s="77" t="s">
        <v>379</v>
      </c>
    </row>
    <row r="117" spans="1:35" s="105" customFormat="1" ht="31.5" customHeight="1">
      <c r="A117" s="95">
        <v>2026</v>
      </c>
      <c r="B117" s="96" t="str">
        <f t="shared" si="8"/>
        <v>Jul</v>
      </c>
      <c r="C117" s="96" t="s">
        <v>35</v>
      </c>
      <c r="D117" s="97" t="s">
        <v>380</v>
      </c>
      <c r="E117" s="97" t="s">
        <v>380</v>
      </c>
      <c r="F117" s="97" t="s">
        <v>90</v>
      </c>
      <c r="G117" s="70" t="s">
        <v>156</v>
      </c>
      <c r="H117" s="97"/>
      <c r="I117" s="96" t="s">
        <v>41</v>
      </c>
      <c r="J117" s="96" t="s">
        <v>42</v>
      </c>
      <c r="K117" s="97"/>
      <c r="L117" s="96" t="s">
        <v>381</v>
      </c>
      <c r="M117" s="98">
        <v>46226</v>
      </c>
      <c r="N117" s="99">
        <f>IF(M117="",                                                                                                                                                                                                  "",
   WORKDAY(
      M117,
      IF(I117="S-Special",                                                                                                                                                                                                   45,
         IF(OR(I117="O-General",                                                                                                                                                                                                   I117="S-General"),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46274</v>
      </c>
      <c r="O117" s="100"/>
      <c r="P117" s="96">
        <f ca="1">IF(M117="",                                                                                                                                                                                                   "",
   NETWORKDAYS(
      M117,
      IF(O117&lt;&gt;"",                                                                                                                                                                                                   O117,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17" s="96" t="str">
        <f t="shared" ca="1" si="6"/>
        <v>ON KPI</v>
      </c>
      <c r="R117" s="96" t="s">
        <v>341</v>
      </c>
      <c r="S117" s="97">
        <v>15880</v>
      </c>
      <c r="T117" s="97"/>
      <c r="U117" s="97"/>
      <c r="V117" s="116"/>
      <c r="W117" s="100"/>
      <c r="X117" s="97" t="s">
        <v>317</v>
      </c>
      <c r="Y117" s="101"/>
      <c r="Z117" s="96"/>
      <c r="AA117" s="97"/>
      <c r="AB117" s="147" t="s">
        <v>382</v>
      </c>
      <c r="AC117" s="102"/>
      <c r="AD117" s="102"/>
      <c r="AE117" s="102"/>
      <c r="AF117" s="103"/>
      <c r="AG117" s="103"/>
      <c r="AH117" s="104"/>
      <c r="AI117" s="108" t="s">
        <v>383</v>
      </c>
    </row>
    <row r="118" spans="1:35" s="105" customFormat="1" ht="31.5" customHeight="1">
      <c r="A118" s="95">
        <v>2026</v>
      </c>
      <c r="B118" s="96" t="str">
        <f t="shared" ref="B118:B119" si="9">IF(M118="", "", TEXT(M118, "[$-en-US]mmm"))</f>
        <v>Jun</v>
      </c>
      <c r="C118" s="96" t="s">
        <v>35</v>
      </c>
      <c r="D118" s="121" t="s">
        <v>318</v>
      </c>
      <c r="E118" s="97" t="s">
        <v>318</v>
      </c>
      <c r="F118" s="97" t="s">
        <v>291</v>
      </c>
      <c r="G118" s="106" t="s">
        <v>319</v>
      </c>
      <c r="H118" s="107" t="s">
        <v>320</v>
      </c>
      <c r="I118" s="96" t="s">
        <v>51</v>
      </c>
      <c r="J118" s="96" t="s">
        <v>42</v>
      </c>
      <c r="K118" s="97"/>
      <c r="L118" s="96" t="s">
        <v>363</v>
      </c>
      <c r="M118" s="98">
        <v>46203</v>
      </c>
      <c r="N118" s="99">
        <f>IF(M118="",                                                                                                                                                                                                  "",
   WORKDAY(
      M118,
      IF(I118="S-Special",                                                                                                                                                                                                   45,
         IF(OR(I118="O-General",                                                                                                                                                                                                   I118="S-General"),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46272</v>
      </c>
      <c r="O118" s="100"/>
      <c r="P118" s="96">
        <f ca="1">IF(M118="",                                                                                                                                                                                                   "",
   NETWORKDAYS(
      M118,
      IF(O118&lt;&gt;"",                                                                                                                                                                                                   O118,                                                                                                                                                                                                   TODAY()),
      Dropdown!$A$2:$A$100
   )
)</f>
        <v>22</v>
      </c>
      <c r="Q118" s="96" t="str">
        <f t="shared" ca="1" si="6"/>
        <v>ON KPI</v>
      </c>
      <c r="R118" s="96" t="s">
        <v>300</v>
      </c>
      <c r="S118" s="97">
        <v>16748</v>
      </c>
      <c r="T118" s="97" t="s">
        <v>323</v>
      </c>
      <c r="U118" s="97"/>
      <c r="V118" s="116"/>
      <c r="W118" s="100"/>
      <c r="X118" s="97" t="s">
        <v>317</v>
      </c>
      <c r="Y118" s="101"/>
      <c r="Z118" s="96"/>
      <c r="AA118" s="97"/>
      <c r="AB118" s="97" t="s">
        <v>384</v>
      </c>
      <c r="AC118" s="102"/>
      <c r="AD118" s="102"/>
      <c r="AE118" s="102"/>
      <c r="AF118" s="103"/>
      <c r="AG118" s="103"/>
      <c r="AH118" s="104"/>
      <c r="AI118" s="108" t="s">
        <v>385</v>
      </c>
    </row>
    <row r="119" spans="1:35" s="105" customFormat="1" ht="31.5" customHeight="1">
      <c r="A119" s="95">
        <v>2026</v>
      </c>
      <c r="B119" s="96" t="str">
        <f t="shared" si="9"/>
        <v>Jun</v>
      </c>
      <c r="C119" s="96" t="s">
        <v>35</v>
      </c>
      <c r="D119" s="109" t="s">
        <v>46</v>
      </c>
      <c r="E119" s="97" t="s">
        <v>386</v>
      </c>
      <c r="F119" s="97" t="s">
        <v>61</v>
      </c>
      <c r="G119" s="97" t="s">
        <v>104</v>
      </c>
      <c r="H119" s="97" t="s">
        <v>387</v>
      </c>
      <c r="I119" s="96" t="s">
        <v>41</v>
      </c>
      <c r="J119" s="96" t="s">
        <v>42</v>
      </c>
      <c r="K119" s="97"/>
      <c r="L119" s="96" t="s">
        <v>363</v>
      </c>
      <c r="M119" s="98">
        <v>46182</v>
      </c>
      <c r="N119" s="99">
        <f>IF(M119="",                                                                                                                                                                                                  "",
   WORKDAY(
      M119,
      IF(I119="S-Special",                                                                                                                                                                                                   45,
         IF(OR(I119="O-General",                                                                                                                                                                                                   I119="S-General"),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9" s="100">
        <v>46248</v>
      </c>
      <c r="P119" s="96">
        <f ca="1">IF(M119="",                                                                                                                                                                                                   "",
   NETWORKDAYS(
      M119,
      IF(O119&lt;&gt;"",                                                                                                                                                                                                   O119,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9" s="96" t="str">
        <f t="shared" ca="1" si="6"/>
        <v>OVER KPI</v>
      </c>
      <c r="R119" s="96" t="s">
        <v>341</v>
      </c>
      <c r="S119" s="97">
        <v>15647</v>
      </c>
      <c r="T119" s="97" t="s">
        <v>388</v>
      </c>
      <c r="U119" s="97"/>
      <c r="V119" s="116"/>
      <c r="W119" s="100"/>
      <c r="X119" s="97" t="s">
        <v>317</v>
      </c>
      <c r="Y119" s="101"/>
      <c r="Z119" s="96"/>
      <c r="AA119" s="97"/>
      <c r="AB119" s="96" t="s">
        <v>389</v>
      </c>
      <c r="AC119" s="102"/>
      <c r="AD119" s="102"/>
      <c r="AE119" s="102"/>
      <c r="AF119" s="103"/>
      <c r="AG119" s="103"/>
      <c r="AH119" s="104"/>
      <c r="AI119" s="108" t="s">
        <v>390</v>
      </c>
    </row>
  </sheetData>
  <autoFilter ref="V127" xr:uid="{817CD080-0396-428F-B39B-215D57916061}"/>
  <phoneticPr fontId="5" type="noConversion"/>
  <conditionalFormatting sqref="I1:I1048576">
    <cfRule type="containsText" dxfId="8" priority="3" operator="containsText" text="Special">
      <formula>NOT(ISERROR(SEARCH("Special",I1)))</formula>
    </cfRule>
  </conditionalFormatting>
  <conditionalFormatting sqref="J1:J1048576">
    <cfRule type="containsText" dxfId="7" priority="2" operator="containsText" text="Approved">
      <formula>NOT(ISERROR(SEARCH("Approved",J1)))</formula>
    </cfRule>
  </conditionalFormatting>
  <conditionalFormatting sqref="K1:K1048576">
    <cfRule type="containsText" dxfId="6" priority="6" operator="containsText" text="Hold">
      <formula>NOT(ISERROR(SEARCH("Hold",K1)))</formula>
    </cfRule>
  </conditionalFormatting>
  <conditionalFormatting sqref="L1:L1048576">
    <cfRule type="containsText" dxfId="5" priority="1" operator="containsText" text="Final Interview">
      <formula>NOT(ISERROR(SEARCH("Final Interview",L1)))</formula>
    </cfRule>
    <cfRule type="containsText" dxfId="4" priority="7" operator="containsText" text="Effective">
      <formula>NOT(ISERROR(SEARCH("Effective",L1)))</formula>
    </cfRule>
    <cfRule type="containsText" dxfId="3" priority="8" operator="containsText" text="Wait to Join">
      <formula>NOT(ISERROR(SEARCH("Wait to Join",L1)))</formula>
    </cfRule>
  </conditionalFormatting>
  <conditionalFormatting sqref="L2:L119">
    <cfRule type="containsText" dxfId="2" priority="9" operator="containsText" text="Effective">
      <formula>NOT(ISERROR(SEARCH("Effective",L2)))</formula>
    </cfRule>
  </conditionalFormatting>
  <conditionalFormatting sqref="Q1:R1048576">
    <cfRule type="containsText" dxfId="1" priority="4" operator="containsText" text="OVER KPI">
      <formula>NOT(ISERROR(SEARCH("OVER KPI",Q1)))</formula>
    </cfRule>
    <cfRule type="containsText" dxfId="0" priority="5" operator="containsText" text="ON KPI">
      <formula>NOT(ISERROR(SEARCH("ON KPI",Q1)))</formula>
    </cfRule>
  </conditionalFormatting>
  <hyperlinks>
    <hyperlink ref="AI113" r:id="rId1" xr:uid="{75445B6B-41DC-490F-920E-126AF73276F0}"/>
    <hyperlink ref="AI115" r:id="rId2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B955782B-AE7F-4712-93CD-1ECAC26C1C1A}"/>
    <hyperlink ref="AI116" r:id="rId3" xr:uid="{F3ED0DAE-C5C4-45D2-A95F-D1327440D1AF}"/>
    <hyperlink ref="AI112" r:id="rId4" xr:uid="{295AB73A-DD0A-4E65-8972-1844DAA90BE8}"/>
    <hyperlink ref="AI114" r:id="rId5" xr:uid="{312EB09C-EFC8-4486-8755-06654057D5E8}"/>
    <hyperlink ref="AI110" r:id="rId6" xr:uid="{60B9A379-7A08-4CCA-8EBD-7E9DA6E61218}"/>
    <hyperlink ref="AI119" r:id="rId7" xr:uid="{6412AD55-DFDE-4449-8C87-7306C306DF21}"/>
    <hyperlink ref="AI118" r:id="rId8" xr:uid="{3AE257EE-27A3-49C5-A451-67A7958DDEDF}"/>
    <hyperlink ref="AI117" r:id="rId9" display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xr:uid="{932F9692-9604-47F9-9C67-1579DC12341D}"/>
  </hyperlinks>
  <pageMargins left="0.7" right="0.7" top="0.75" bottom="0.75" header="0.3" footer="0.3"/>
  <ignoredErrors>
    <ignoredError sqref="B32" calculatedColumn="1"/>
  </ignoredErrors>
  <legacyDrawing r:id="rId10"/>
  <tableParts count="1"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F15F0AEB-090A-441C-972C-1207759A5266}">
          <x14:formula1>
            <xm:f>Dropdown!$K$2:$K$1048576</xm:f>
          </x14:formula1>
          <xm:sqref>G77:G84 G96:G1048576</xm:sqref>
        </x14:dataValidation>
        <x14:dataValidation type="list" allowBlank="1" showInputMessage="1" showErrorMessage="1" xr:uid="{0ED21357-3167-40EC-B3D8-E2D4D2133C43}">
          <x14:formula1>
            <xm:f>Dropdown!$L$2:$L$1048576</xm:f>
          </x14:formula1>
          <xm:sqref>H77:H84 H96:H1048576</xm:sqref>
        </x14:dataValidation>
        <x14:dataValidation type="list" allowBlank="1" showInputMessage="1" showErrorMessage="1" xr:uid="{A10DA5BF-F14A-450E-8F70-948B4C152C6A}">
          <x14:formula1>
            <xm:f>Dropdown!$J:$J</xm:f>
          </x14:formula1>
          <xm:sqref>F77:F84 F96:F1048576</xm:sqref>
        </x14:dataValidation>
        <x14:dataValidation type="list" allowBlank="1" showInputMessage="1" showErrorMessage="1" xr:uid="{CF8F8853-0925-43DF-999B-19082569BC0F}">
          <x14:formula1>
            <xm:f>Dropdown!$B$2:$B$4</xm:f>
          </x14:formula1>
          <xm:sqref>I2:I119</xm:sqref>
        </x14:dataValidation>
        <x14:dataValidation type="list" allowBlank="1" showInputMessage="1" showErrorMessage="1" xr:uid="{38F39922-C8D8-44DD-A2D9-454996D8D019}">
          <x14:formula1>
            <xm:f>Dropdown!$H$2:$H$3</xm:f>
          </x14:formula1>
          <xm:sqref>X2:X98</xm:sqref>
        </x14:dataValidation>
        <x14:dataValidation type="list" allowBlank="1" showInputMessage="1" showErrorMessage="1" xr:uid="{75E2AF62-7CE1-4E41-B6C2-C25647190B07}">
          <x14:formula1>
            <xm:f>Dropdown!$G$2:$G$4</xm:f>
          </x14:formula1>
          <xm:sqref>K1:K1048576</xm:sqref>
        </x14:dataValidation>
        <x14:dataValidation type="list" allowBlank="1" showInputMessage="1" showErrorMessage="1" xr:uid="{761C6A97-22A4-4BF9-86E1-5BB95330ACF6}">
          <x14:formula1>
            <xm:f>Dropdown!$C$2:$C$10</xm:f>
          </x14:formula1>
          <xm:sqref>L1:L1048576</xm:sqref>
        </x14:dataValidation>
        <x14:dataValidation type="list" allowBlank="1" showInputMessage="1" showErrorMessage="1" xr:uid="{55BB5149-73A2-4B8C-AD8D-2B57D709BB0F}">
          <x14:formula1>
            <xm:f>Dropdown!$F$2:$F$9</xm:f>
          </x14:formula1>
          <xm:sqref>Z1:Z1048576</xm:sqref>
        </x14:dataValidation>
        <x14:dataValidation type="list" allowBlank="1" showInputMessage="1" showErrorMessage="1" xr:uid="{08EAC8F2-FF42-4AFD-AE38-87EDC9A75FE3}">
          <x14:formula1>
            <xm:f>Dropdown!$D$2:$D$4</xm:f>
          </x14:formula1>
          <xm:sqref>C1:C1048576</xm:sqref>
        </x14:dataValidation>
        <x14:dataValidation type="list" allowBlank="1" showInputMessage="1" showErrorMessage="1" xr:uid="{7AFC1605-BFE4-4D6F-9A81-930DD63CEF84}">
          <x14:formula1>
            <xm:f>Dropdown!$I$2:$I$4</xm:f>
          </x14:formula1>
          <xm:sqref>J1:J1048576</xm:sqref>
        </x14:dataValidation>
        <x14:dataValidation type="list" allowBlank="1" showInputMessage="1" showErrorMessage="1" xr:uid="{8B7D5C5A-14D2-49C3-BCCE-226A7D3B37DC}">
          <x14:formula1>
            <xm:f>Dropdown!$N$2:$N$7</xm:f>
          </x14:formula1>
          <xm:sqref>R99:R1048576</xm:sqref>
        </x14:dataValidation>
        <x14:dataValidation type="list" allowBlank="1" showInputMessage="1" showErrorMessage="1" xr:uid="{C091B8FB-5583-4EB6-B17A-C58BCF1C0419}">
          <x14:formula1>
            <xm:f>Dropdown!$M$2:$M$6</xm:f>
          </x14:formula1>
          <xm:sqref>X99:X1048576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335D-9F7C-4ABD-A50B-EC31212444DC}">
  <dimension ref="A1:N1000"/>
  <sheetViews>
    <sheetView tabSelected="1" workbookViewId="0">
      <selection activeCell="A2" sqref="A2:A116"/>
    </sheetView>
  </sheetViews>
  <sheetFormatPr defaultColWidth="13.09765625" defaultRowHeight="21"/>
  <cols>
    <col min="1" max="1" width="13.19921875" style="4" customWidth="1"/>
    <col min="2" max="2" width="17.09765625" style="1" customWidth="1"/>
    <col min="3" max="3" width="18.3984375" style="1" customWidth="1"/>
    <col min="4" max="4" width="17.69921875" style="1" customWidth="1"/>
    <col min="5" max="5" width="9.19921875" style="1" customWidth="1"/>
    <col min="6" max="6" width="26.3984375" style="1" customWidth="1"/>
    <col min="7" max="7" width="10.8984375" style="1" customWidth="1"/>
    <col min="8" max="8" width="9.3984375" style="1" customWidth="1"/>
    <col min="9" max="1256" width="13.09765625" style="1" customWidth="1"/>
    <col min="1257" max="16384" width="13.09765625" style="1"/>
  </cols>
  <sheetData>
    <row r="1" spans="1:14">
      <c r="A1" s="3" t="s">
        <v>391</v>
      </c>
      <c r="B1" s="1" t="s">
        <v>8</v>
      </c>
      <c r="C1" s="1" t="s">
        <v>392</v>
      </c>
      <c r="D1" s="1" t="s">
        <v>393</v>
      </c>
      <c r="E1" s="1" t="s">
        <v>394</v>
      </c>
      <c r="F1" s="1" t="s">
        <v>395</v>
      </c>
      <c r="G1" s="1" t="s">
        <v>72</v>
      </c>
      <c r="H1" s="1" t="s">
        <v>396</v>
      </c>
      <c r="I1" s="1" t="s">
        <v>9</v>
      </c>
      <c r="J1" s="6" t="s">
        <v>397</v>
      </c>
      <c r="K1" s="6" t="s">
        <v>398</v>
      </c>
      <c r="L1" s="7" t="s">
        <v>399</v>
      </c>
      <c r="M1" s="1" t="s">
        <v>23</v>
      </c>
      <c r="N1" s="1" t="s">
        <v>400</v>
      </c>
    </row>
    <row r="2" spans="1:14" ht="84">
      <c r="A2" s="4">
        <v>46023</v>
      </c>
      <c r="B2" s="1" t="s">
        <v>41</v>
      </c>
      <c r="C2" s="1" t="s">
        <v>43</v>
      </c>
      <c r="D2" s="1" t="s">
        <v>35</v>
      </c>
      <c r="E2" s="1" t="s">
        <v>29</v>
      </c>
      <c r="F2" s="1" t="s">
        <v>215</v>
      </c>
      <c r="G2" s="1" t="s">
        <v>72</v>
      </c>
      <c r="H2" s="1" t="s">
        <v>334</v>
      </c>
      <c r="I2" s="1" t="s">
        <v>83</v>
      </c>
      <c r="J2" s="2" t="s">
        <v>174</v>
      </c>
      <c r="K2" s="2" t="s">
        <v>175</v>
      </c>
      <c r="L2" s="2" t="s">
        <v>401</v>
      </c>
      <c r="M2" s="1" t="s">
        <v>334</v>
      </c>
      <c r="N2" s="1" t="s">
        <v>300</v>
      </c>
    </row>
    <row r="3" spans="1:14" ht="84.6" thickBot="1">
      <c r="A3" s="4">
        <v>46024</v>
      </c>
      <c r="B3" s="1" t="s">
        <v>51</v>
      </c>
      <c r="C3" s="1" t="s">
        <v>357</v>
      </c>
      <c r="D3" s="1" t="s">
        <v>45</v>
      </c>
      <c r="E3" s="1" t="s">
        <v>402</v>
      </c>
      <c r="F3" s="1" t="s">
        <v>53</v>
      </c>
      <c r="G3" s="1" t="s">
        <v>114</v>
      </c>
      <c r="H3" s="1" t="s">
        <v>403</v>
      </c>
      <c r="I3" s="1" t="s">
        <v>404</v>
      </c>
      <c r="J3" s="2" t="s">
        <v>182</v>
      </c>
      <c r="K3" s="2" t="s">
        <v>228</v>
      </c>
      <c r="L3" s="2" t="s">
        <v>405</v>
      </c>
      <c r="M3" s="1" t="s">
        <v>304</v>
      </c>
      <c r="N3" s="1" t="s">
        <v>406</v>
      </c>
    </row>
    <row r="4" spans="1:14" ht="84.6" thickBot="1">
      <c r="A4" s="4">
        <v>46025</v>
      </c>
      <c r="B4" s="1" t="s">
        <v>82</v>
      </c>
      <c r="C4" s="1" t="s">
        <v>363</v>
      </c>
      <c r="D4" s="1" t="s">
        <v>54</v>
      </c>
      <c r="E4" s="1" t="s">
        <v>407</v>
      </c>
      <c r="F4" s="1" t="s">
        <v>72</v>
      </c>
      <c r="G4" s="1" t="s">
        <v>52</v>
      </c>
      <c r="I4" s="1" t="s">
        <v>42</v>
      </c>
      <c r="J4" s="2" t="s">
        <v>123</v>
      </c>
      <c r="K4" s="2" t="s">
        <v>224</v>
      </c>
      <c r="L4" s="2" t="s">
        <v>408</v>
      </c>
      <c r="M4" s="1" t="s">
        <v>403</v>
      </c>
      <c r="N4" s="1" t="s">
        <v>341</v>
      </c>
    </row>
    <row r="5" spans="1:14" ht="105.6" thickBot="1">
      <c r="A5" s="4">
        <v>46026</v>
      </c>
      <c r="C5" s="1" t="s">
        <v>409</v>
      </c>
      <c r="F5" s="1" t="s">
        <v>410</v>
      </c>
      <c r="J5" s="2" t="s">
        <v>411</v>
      </c>
      <c r="K5" s="2" t="s">
        <v>281</v>
      </c>
      <c r="L5" s="2" t="s">
        <v>226</v>
      </c>
      <c r="M5" s="1" t="s">
        <v>300</v>
      </c>
      <c r="N5" s="1" t="s">
        <v>412</v>
      </c>
    </row>
    <row r="6" spans="1:14" ht="84">
      <c r="A6" s="4">
        <v>46032</v>
      </c>
      <c r="C6" s="1" t="s">
        <v>381</v>
      </c>
      <c r="F6" s="1" t="s">
        <v>413</v>
      </c>
      <c r="J6" s="2" t="s">
        <v>119</v>
      </c>
      <c r="K6" s="2" t="s">
        <v>414</v>
      </c>
      <c r="L6" s="2" t="s">
        <v>415</v>
      </c>
      <c r="M6" s="1" t="s">
        <v>317</v>
      </c>
      <c r="N6" s="1" t="s">
        <v>416</v>
      </c>
    </row>
    <row r="7" spans="1:14" ht="63.6" thickBot="1">
      <c r="A7" s="4">
        <v>46033</v>
      </c>
      <c r="C7" s="1" t="s">
        <v>84</v>
      </c>
      <c r="F7" s="1" t="s">
        <v>417</v>
      </c>
      <c r="J7" s="2" t="s">
        <v>177</v>
      </c>
      <c r="K7" s="2" t="s">
        <v>418</v>
      </c>
      <c r="L7" s="2" t="s">
        <v>419</v>
      </c>
      <c r="N7" s="1" t="s">
        <v>331</v>
      </c>
    </row>
    <row r="8" spans="1:14" ht="42.6" thickBot="1">
      <c r="A8" s="4">
        <v>46039</v>
      </c>
      <c r="C8" s="1" t="s">
        <v>83</v>
      </c>
      <c r="F8" s="1" t="s">
        <v>219</v>
      </c>
      <c r="J8" s="2" t="s">
        <v>127</v>
      </c>
      <c r="K8" s="2" t="s">
        <v>420</v>
      </c>
      <c r="L8" s="2" t="s">
        <v>421</v>
      </c>
    </row>
    <row r="9" spans="1:14" ht="84.6" thickBot="1">
      <c r="A9" s="4">
        <v>46040</v>
      </c>
      <c r="C9" s="1" t="s">
        <v>422</v>
      </c>
      <c r="F9" s="1" t="s">
        <v>160</v>
      </c>
      <c r="J9" s="2" t="s">
        <v>145</v>
      </c>
      <c r="K9" s="2" t="s">
        <v>120</v>
      </c>
      <c r="L9" s="2" t="s">
        <v>423</v>
      </c>
    </row>
    <row r="10" spans="1:14" ht="84.6" thickBot="1">
      <c r="A10" s="4">
        <v>46047</v>
      </c>
      <c r="J10" s="2" t="s">
        <v>424</v>
      </c>
      <c r="K10" s="2" t="s">
        <v>178</v>
      </c>
      <c r="L10" s="2" t="s">
        <v>425</v>
      </c>
    </row>
    <row r="11" spans="1:14" ht="105.6" thickBot="1">
      <c r="A11" s="4">
        <v>46053</v>
      </c>
      <c r="J11" s="2" t="s">
        <v>48</v>
      </c>
      <c r="K11" s="2" t="s">
        <v>124</v>
      </c>
      <c r="L11" s="2" t="s">
        <v>426</v>
      </c>
    </row>
    <row r="12" spans="1:14" ht="42.6" thickBot="1">
      <c r="A12" s="4">
        <v>46054</v>
      </c>
      <c r="J12" s="2" t="s">
        <v>111</v>
      </c>
      <c r="K12" s="2" t="s">
        <v>171</v>
      </c>
      <c r="L12" s="2" t="s">
        <v>427</v>
      </c>
    </row>
    <row r="13" spans="1:14" ht="63.6" thickBot="1">
      <c r="A13" s="4">
        <v>46061</v>
      </c>
      <c r="J13" s="2" t="s">
        <v>81</v>
      </c>
      <c r="K13" s="2" t="s">
        <v>128</v>
      </c>
      <c r="L13" s="2" t="s">
        <v>428</v>
      </c>
    </row>
    <row r="14" spans="1:14" ht="84.6" thickBot="1">
      <c r="A14" s="4">
        <v>46067</v>
      </c>
      <c r="J14" s="2" t="s">
        <v>61</v>
      </c>
      <c r="K14" s="2" t="s">
        <v>49</v>
      </c>
      <c r="L14" s="2" t="s">
        <v>429</v>
      </c>
    </row>
    <row r="15" spans="1:14" ht="84.6" thickBot="1">
      <c r="A15" s="4">
        <v>46068</v>
      </c>
      <c r="J15" s="2" t="s">
        <v>66</v>
      </c>
      <c r="K15" s="2" t="s">
        <v>183</v>
      </c>
      <c r="L15" s="2" t="s">
        <v>430</v>
      </c>
    </row>
    <row r="16" spans="1:14" ht="63.6" thickBot="1">
      <c r="A16" s="4">
        <v>46075</v>
      </c>
      <c r="J16" s="2" t="s">
        <v>54</v>
      </c>
      <c r="K16" s="2" t="s">
        <v>132</v>
      </c>
      <c r="L16" s="2" t="s">
        <v>431</v>
      </c>
    </row>
    <row r="17" spans="1:12" ht="84.6" thickBot="1">
      <c r="A17" s="4">
        <v>46081</v>
      </c>
      <c r="J17" s="2" t="s">
        <v>75</v>
      </c>
      <c r="K17" s="2" t="s">
        <v>212</v>
      </c>
      <c r="L17" s="2" t="s">
        <v>259</v>
      </c>
    </row>
    <row r="18" spans="1:12" ht="63.6" thickBot="1">
      <c r="A18" s="4">
        <v>46082</v>
      </c>
      <c r="J18" s="2" t="s">
        <v>87</v>
      </c>
      <c r="K18" s="2" t="s">
        <v>432</v>
      </c>
      <c r="L18" s="2" t="s">
        <v>433</v>
      </c>
    </row>
    <row r="19" spans="1:12" ht="84.6" thickBot="1">
      <c r="A19" s="4">
        <v>46084</v>
      </c>
      <c r="J19" s="2" t="s">
        <v>79</v>
      </c>
      <c r="K19" s="2" t="s">
        <v>434</v>
      </c>
      <c r="L19" s="2" t="s">
        <v>435</v>
      </c>
    </row>
    <row r="20" spans="1:12" ht="84.6" thickBot="1">
      <c r="A20" s="4">
        <v>46089</v>
      </c>
      <c r="J20" s="2" t="s">
        <v>90</v>
      </c>
      <c r="K20" s="2" t="s">
        <v>436</v>
      </c>
      <c r="L20" s="2" t="s">
        <v>437</v>
      </c>
    </row>
    <row r="21" spans="1:12" ht="105.6" thickBot="1">
      <c r="A21" s="4">
        <v>46095</v>
      </c>
      <c r="J21" s="2" t="s">
        <v>38</v>
      </c>
      <c r="K21" s="2" t="s">
        <v>438</v>
      </c>
      <c r="L21" s="2" t="s">
        <v>439</v>
      </c>
    </row>
    <row r="22" spans="1:12" ht="63.6" thickBot="1">
      <c r="A22" s="4">
        <v>46096</v>
      </c>
      <c r="J22" s="2" t="s">
        <v>291</v>
      </c>
      <c r="K22" s="2" t="s">
        <v>440</v>
      </c>
      <c r="L22" s="2" t="s">
        <v>441</v>
      </c>
    </row>
    <row r="23" spans="1:12" ht="84.6" thickBot="1">
      <c r="A23" s="4">
        <v>46103</v>
      </c>
      <c r="J23" s="2" t="s">
        <v>208</v>
      </c>
      <c r="K23" s="2" t="s">
        <v>442</v>
      </c>
      <c r="L23" s="2" t="s">
        <v>443</v>
      </c>
    </row>
    <row r="24" spans="1:12" ht="63.6" thickBot="1">
      <c r="A24" s="4">
        <v>46109</v>
      </c>
      <c r="J24" s="2" t="s">
        <v>149</v>
      </c>
      <c r="K24" s="2" t="s">
        <v>167</v>
      </c>
      <c r="L24" s="2" t="s">
        <v>444</v>
      </c>
    </row>
    <row r="25" spans="1:12" ht="63.6" thickBot="1">
      <c r="A25" s="4">
        <v>46110</v>
      </c>
      <c r="J25" s="2" t="s">
        <v>286</v>
      </c>
      <c r="K25" s="2" t="s">
        <v>445</v>
      </c>
      <c r="L25" s="2" t="s">
        <v>446</v>
      </c>
    </row>
    <row r="26" spans="1:12" ht="63.6" thickBot="1">
      <c r="A26" s="4">
        <v>46116</v>
      </c>
      <c r="J26" s="2" t="s">
        <v>335</v>
      </c>
      <c r="K26" s="2" t="s">
        <v>447</v>
      </c>
      <c r="L26" s="2" t="s">
        <v>448</v>
      </c>
    </row>
    <row r="27" spans="1:12" ht="84">
      <c r="A27" s="4">
        <v>46117</v>
      </c>
      <c r="J27" s="2" t="s">
        <v>174</v>
      </c>
      <c r="K27" s="2" t="s">
        <v>261</v>
      </c>
      <c r="L27" s="2" t="s">
        <v>125</v>
      </c>
    </row>
    <row r="28" spans="1:12" ht="21.6" thickBot="1">
      <c r="A28" s="4">
        <v>46118</v>
      </c>
      <c r="J28" s="2"/>
      <c r="K28" s="2" t="s">
        <v>81</v>
      </c>
      <c r="L28" s="2" t="s">
        <v>449</v>
      </c>
    </row>
    <row r="29" spans="1:12" ht="84.6" thickBot="1">
      <c r="A29" s="4">
        <v>46123</v>
      </c>
      <c r="J29" s="2"/>
      <c r="K29" s="2" t="s">
        <v>62</v>
      </c>
      <c r="L29" s="2" t="s">
        <v>121</v>
      </c>
    </row>
    <row r="30" spans="1:12" ht="63.6" thickBot="1">
      <c r="A30" s="4">
        <v>46124</v>
      </c>
      <c r="J30" s="2"/>
      <c r="K30" s="2" t="s">
        <v>67</v>
      </c>
      <c r="L30" s="2" t="s">
        <v>450</v>
      </c>
    </row>
    <row r="31" spans="1:12" ht="84.6" thickBot="1">
      <c r="A31" s="4">
        <v>46125</v>
      </c>
      <c r="J31" s="2"/>
      <c r="K31" s="2" t="s">
        <v>57</v>
      </c>
      <c r="L31" s="2" t="s">
        <v>451</v>
      </c>
    </row>
    <row r="32" spans="1:12" ht="42.6" thickBot="1">
      <c r="A32" s="4">
        <v>46126</v>
      </c>
      <c r="J32" s="2"/>
      <c r="K32" s="2" t="s">
        <v>70</v>
      </c>
      <c r="L32" s="2" t="s">
        <v>452</v>
      </c>
    </row>
    <row r="33" spans="1:12" ht="63.6" thickBot="1">
      <c r="A33" s="4">
        <v>46127</v>
      </c>
      <c r="J33" s="2"/>
      <c r="K33" s="2" t="s">
        <v>76</v>
      </c>
      <c r="L33" s="2" t="s">
        <v>453</v>
      </c>
    </row>
    <row r="34" spans="1:12" ht="63.6" thickBot="1">
      <c r="A34" s="4">
        <v>46130</v>
      </c>
      <c r="J34" s="2"/>
      <c r="K34" s="2" t="s">
        <v>99</v>
      </c>
      <c r="L34" s="2" t="s">
        <v>454</v>
      </c>
    </row>
    <row r="35" spans="1:12" ht="63.6" thickBot="1">
      <c r="A35" s="4">
        <v>46131</v>
      </c>
      <c r="J35" s="2"/>
      <c r="K35" s="2" t="s">
        <v>80</v>
      </c>
      <c r="L35" s="2" t="s">
        <v>455</v>
      </c>
    </row>
    <row r="36" spans="1:12" ht="42.6" thickBot="1">
      <c r="A36" s="4">
        <v>46138</v>
      </c>
      <c r="J36" s="2"/>
      <c r="K36" s="2" t="s">
        <v>94</v>
      </c>
      <c r="L36" s="2" t="s">
        <v>456</v>
      </c>
    </row>
    <row r="37" spans="1:12" ht="63.6" thickBot="1">
      <c r="A37" s="4">
        <v>46143</v>
      </c>
      <c r="J37" s="2"/>
      <c r="K37" s="2" t="s">
        <v>91</v>
      </c>
      <c r="L37" s="2" t="s">
        <v>457</v>
      </c>
    </row>
    <row r="38" spans="1:12" ht="63.6" thickBot="1">
      <c r="A38" s="4">
        <v>46144</v>
      </c>
      <c r="J38" s="2"/>
      <c r="K38" s="2" t="s">
        <v>97</v>
      </c>
      <c r="L38" s="2" t="s">
        <v>458</v>
      </c>
    </row>
    <row r="39" spans="1:12" ht="63.6" thickBot="1">
      <c r="A39" s="4">
        <v>46145</v>
      </c>
      <c r="J39" s="2"/>
      <c r="K39" s="2" t="s">
        <v>39</v>
      </c>
      <c r="L39" s="2" t="s">
        <v>459</v>
      </c>
    </row>
    <row r="40" spans="1:12" ht="84.6" thickBot="1">
      <c r="A40" s="4">
        <v>46146</v>
      </c>
      <c r="J40" s="2"/>
      <c r="K40" s="2" t="s">
        <v>460</v>
      </c>
      <c r="L40" s="2" t="s">
        <v>229</v>
      </c>
    </row>
    <row r="41" spans="1:12" ht="63.6" thickBot="1">
      <c r="A41" s="4">
        <v>46152</v>
      </c>
      <c r="J41" s="2"/>
      <c r="K41" s="2" t="s">
        <v>104</v>
      </c>
      <c r="L41" s="2" t="s">
        <v>461</v>
      </c>
    </row>
    <row r="42" spans="1:12" ht="63.6" thickBot="1">
      <c r="A42" s="4">
        <v>46153</v>
      </c>
      <c r="J42" s="2"/>
      <c r="K42" s="2" t="s">
        <v>101</v>
      </c>
      <c r="L42" s="2" t="s">
        <v>462</v>
      </c>
    </row>
    <row r="43" spans="1:12" ht="84.6" thickBot="1">
      <c r="A43" s="4">
        <v>46158</v>
      </c>
      <c r="J43" s="2"/>
      <c r="K43" s="2" t="s">
        <v>112</v>
      </c>
      <c r="L43" s="2" t="s">
        <v>463</v>
      </c>
    </row>
    <row r="44" spans="1:12" ht="42.6" thickBot="1">
      <c r="A44" s="4">
        <v>46159</v>
      </c>
      <c r="J44" s="2"/>
      <c r="K44" s="2" t="s">
        <v>315</v>
      </c>
      <c r="L44" s="2" t="s">
        <v>264</v>
      </c>
    </row>
    <row r="45" spans="1:12" ht="84.6" thickBot="1">
      <c r="A45" s="4">
        <v>46166</v>
      </c>
      <c r="J45" s="2"/>
      <c r="K45" s="2" t="s">
        <v>252</v>
      </c>
      <c r="L45" s="2" t="s">
        <v>464</v>
      </c>
    </row>
    <row r="46" spans="1:12" ht="42.6" thickBot="1">
      <c r="A46" s="4">
        <v>46172</v>
      </c>
      <c r="J46" s="2"/>
      <c r="K46" s="2" t="s">
        <v>142</v>
      </c>
      <c r="L46" s="2" t="s">
        <v>465</v>
      </c>
    </row>
    <row r="47" spans="1:12" ht="84.6" thickBot="1">
      <c r="A47" s="4">
        <v>46173</v>
      </c>
      <c r="J47" s="2"/>
      <c r="K47" s="2" t="s">
        <v>136</v>
      </c>
      <c r="L47" s="2" t="s">
        <v>466</v>
      </c>
    </row>
    <row r="48" spans="1:12" ht="42.6" thickBot="1">
      <c r="A48" s="4">
        <v>46174</v>
      </c>
      <c r="J48" s="2"/>
      <c r="K48" s="2" t="s">
        <v>467</v>
      </c>
      <c r="L48" s="2" t="s">
        <v>468</v>
      </c>
    </row>
    <row r="49" spans="1:12" ht="42.6" thickBot="1">
      <c r="A49" s="4">
        <v>46176</v>
      </c>
      <c r="J49" s="2"/>
      <c r="K49" s="2" t="s">
        <v>469</v>
      </c>
      <c r="L49" s="2" t="s">
        <v>176</v>
      </c>
    </row>
    <row r="50" spans="1:12" ht="84.6" thickBot="1">
      <c r="A50" s="4">
        <v>46180</v>
      </c>
      <c r="J50" s="2"/>
      <c r="K50" s="2" t="s">
        <v>266</v>
      </c>
      <c r="L50" s="2" t="s">
        <v>470</v>
      </c>
    </row>
    <row r="51" spans="1:12" ht="105.6" thickBot="1">
      <c r="A51" s="4">
        <v>46186</v>
      </c>
      <c r="J51" s="2"/>
      <c r="K51" s="2" t="s">
        <v>294</v>
      </c>
      <c r="L51" s="2" t="s">
        <v>179</v>
      </c>
    </row>
    <row r="52" spans="1:12" ht="63.6" thickBot="1">
      <c r="A52" s="4">
        <v>46187</v>
      </c>
      <c r="J52" s="2"/>
      <c r="K52" s="2" t="s">
        <v>297</v>
      </c>
      <c r="L52" s="2" t="s">
        <v>133</v>
      </c>
    </row>
    <row r="53" spans="1:12" ht="105.6" thickBot="1">
      <c r="A53" s="4">
        <v>46194</v>
      </c>
      <c r="J53" s="2"/>
      <c r="K53" s="2" t="s">
        <v>471</v>
      </c>
      <c r="L53" s="2" t="s">
        <v>472</v>
      </c>
    </row>
    <row r="54" spans="1:12" ht="63.6" thickBot="1">
      <c r="A54" s="4">
        <v>46200</v>
      </c>
      <c r="J54" s="2"/>
      <c r="K54" s="2" t="s">
        <v>146</v>
      </c>
      <c r="L54" s="2" t="s">
        <v>473</v>
      </c>
    </row>
    <row r="55" spans="1:12" ht="63.6" thickBot="1">
      <c r="A55" s="4">
        <v>46201</v>
      </c>
      <c r="J55" s="2"/>
      <c r="K55" s="2" t="s">
        <v>474</v>
      </c>
      <c r="L55" s="2" t="s">
        <v>475</v>
      </c>
    </row>
    <row r="56" spans="1:12" ht="63.6" thickBot="1">
      <c r="A56" s="4">
        <v>46207</v>
      </c>
      <c r="J56" s="2"/>
      <c r="K56" s="2" t="s">
        <v>476</v>
      </c>
      <c r="L56" s="2" t="s">
        <v>477</v>
      </c>
    </row>
    <row r="57" spans="1:12" ht="105.6" thickBot="1">
      <c r="A57" s="4">
        <v>46208</v>
      </c>
      <c r="J57" s="2"/>
      <c r="K57" s="2" t="s">
        <v>217</v>
      </c>
      <c r="L57" s="2" t="s">
        <v>478</v>
      </c>
    </row>
    <row r="58" spans="1:12" ht="84.6" thickBot="1">
      <c r="A58" s="4">
        <v>46214</v>
      </c>
      <c r="J58" s="2"/>
      <c r="K58" s="2" t="s">
        <v>258</v>
      </c>
      <c r="L58" s="2" t="s">
        <v>479</v>
      </c>
    </row>
    <row r="59" spans="1:12" ht="63.6" thickBot="1">
      <c r="A59" s="4">
        <v>46215</v>
      </c>
      <c r="J59" s="2"/>
      <c r="K59" s="2" t="s">
        <v>106</v>
      </c>
      <c r="L59" s="2" t="s">
        <v>480</v>
      </c>
    </row>
    <row r="60" spans="1:12" ht="63.6" thickBot="1">
      <c r="A60" s="4">
        <v>46221</v>
      </c>
      <c r="J60" s="2"/>
      <c r="K60" s="2" t="s">
        <v>481</v>
      </c>
      <c r="L60" s="2" t="s">
        <v>482</v>
      </c>
    </row>
    <row r="61" spans="1:12" ht="84.6" thickBot="1">
      <c r="A61" s="4">
        <v>46222</v>
      </c>
      <c r="J61" s="2"/>
      <c r="K61" s="2" t="s">
        <v>193</v>
      </c>
      <c r="L61" s="2" t="s">
        <v>483</v>
      </c>
    </row>
    <row r="62" spans="1:12" ht="84.6" thickBot="1">
      <c r="A62" s="4">
        <v>46228</v>
      </c>
      <c r="J62" s="2"/>
      <c r="K62" s="2" t="s">
        <v>236</v>
      </c>
      <c r="L62" s="2" t="s">
        <v>484</v>
      </c>
    </row>
    <row r="63" spans="1:12" ht="63.6" thickBot="1">
      <c r="A63" s="4">
        <v>46229</v>
      </c>
      <c r="J63" s="2"/>
      <c r="K63" s="2" t="s">
        <v>485</v>
      </c>
      <c r="L63" s="2" t="s">
        <v>486</v>
      </c>
    </row>
    <row r="64" spans="1:12" ht="63.6" thickBot="1">
      <c r="A64" s="4">
        <v>46231</v>
      </c>
      <c r="J64" s="2"/>
      <c r="K64" s="2" t="s">
        <v>156</v>
      </c>
      <c r="L64" s="2" t="s">
        <v>487</v>
      </c>
    </row>
    <row r="65" spans="1:12" ht="42.6" thickBot="1">
      <c r="A65" s="4">
        <v>46232</v>
      </c>
      <c r="J65" s="2"/>
      <c r="K65" s="2" t="s">
        <v>488</v>
      </c>
      <c r="L65" s="2" t="s">
        <v>211</v>
      </c>
    </row>
    <row r="66" spans="1:12" ht="63.6" thickBot="1">
      <c r="A66" s="4">
        <v>46233</v>
      </c>
      <c r="J66" s="2"/>
      <c r="K66" s="2" t="s">
        <v>489</v>
      </c>
      <c r="L66" s="2" t="s">
        <v>490</v>
      </c>
    </row>
    <row r="67" spans="1:12" ht="63.6" thickBot="1">
      <c r="A67" s="4">
        <v>46235</v>
      </c>
      <c r="J67" s="2"/>
      <c r="K67" s="2" t="s">
        <v>491</v>
      </c>
      <c r="L67" s="2" t="s">
        <v>492</v>
      </c>
    </row>
    <row r="68" spans="1:12" ht="42.6" thickBot="1">
      <c r="A68" s="4">
        <v>46236</v>
      </c>
      <c r="J68" s="2"/>
      <c r="K68" s="2" t="s">
        <v>209</v>
      </c>
      <c r="L68" s="2" t="s">
        <v>493</v>
      </c>
    </row>
    <row r="69" spans="1:12" ht="42.6" thickBot="1">
      <c r="A69" s="4">
        <v>46242</v>
      </c>
      <c r="J69" s="2"/>
      <c r="K69" s="2" t="s">
        <v>494</v>
      </c>
      <c r="L69" s="2" t="s">
        <v>213</v>
      </c>
    </row>
    <row r="70" spans="1:12" ht="42.6" thickBot="1">
      <c r="A70" s="4">
        <v>46243</v>
      </c>
      <c r="J70" s="2"/>
      <c r="K70" s="2" t="s">
        <v>150</v>
      </c>
      <c r="L70" s="2" t="s">
        <v>50</v>
      </c>
    </row>
    <row r="71" spans="1:12" ht="84.6" thickBot="1">
      <c r="A71" s="4">
        <v>46246</v>
      </c>
      <c r="J71" s="2"/>
      <c r="K71" s="2" t="s">
        <v>276</v>
      </c>
      <c r="L71" s="2" t="s">
        <v>495</v>
      </c>
    </row>
    <row r="72" spans="1:12" ht="84.6" thickBot="1">
      <c r="A72" s="4">
        <v>46249</v>
      </c>
      <c r="J72" s="2"/>
      <c r="K72" s="2" t="s">
        <v>496</v>
      </c>
      <c r="L72" s="2" t="s">
        <v>497</v>
      </c>
    </row>
    <row r="73" spans="1:12" ht="63.6" thickBot="1">
      <c r="A73" s="4">
        <v>46250</v>
      </c>
      <c r="J73" s="2"/>
      <c r="K73" s="2" t="s">
        <v>498</v>
      </c>
      <c r="L73" s="2" t="s">
        <v>499</v>
      </c>
    </row>
    <row r="74" spans="1:12" ht="84.6" thickBot="1">
      <c r="A74" s="4">
        <v>46256</v>
      </c>
      <c r="J74" s="2"/>
      <c r="K74" s="2" t="s">
        <v>500</v>
      </c>
      <c r="L74" s="2" t="s">
        <v>501</v>
      </c>
    </row>
    <row r="75" spans="1:12" ht="84.6" thickBot="1">
      <c r="A75" s="4">
        <v>46257</v>
      </c>
      <c r="J75" s="2"/>
      <c r="K75" s="2" t="s">
        <v>287</v>
      </c>
      <c r="L75" s="2" t="s">
        <v>502</v>
      </c>
    </row>
    <row r="76" spans="1:12" ht="42.6" thickBot="1">
      <c r="A76" s="4">
        <v>46263</v>
      </c>
      <c r="J76" s="2"/>
      <c r="K76" s="2" t="s">
        <v>503</v>
      </c>
      <c r="L76" s="2" t="s">
        <v>504</v>
      </c>
    </row>
    <row r="77" spans="1:12" ht="42.6" thickBot="1">
      <c r="A77" s="4">
        <v>46264</v>
      </c>
      <c r="J77" s="2"/>
      <c r="K77" s="2" t="s">
        <v>244</v>
      </c>
      <c r="L77" s="2" t="s">
        <v>168</v>
      </c>
    </row>
    <row r="78" spans="1:12" ht="63.6" thickBot="1">
      <c r="A78" s="4">
        <v>46270</v>
      </c>
      <c r="J78" s="2"/>
      <c r="K78" s="2" t="s">
        <v>361</v>
      </c>
      <c r="L78" s="2" t="s">
        <v>282</v>
      </c>
    </row>
    <row r="79" spans="1:12" ht="105.6" thickBot="1">
      <c r="A79" s="4">
        <v>46271</v>
      </c>
      <c r="J79" s="2"/>
      <c r="K79" s="2" t="s">
        <v>188</v>
      </c>
      <c r="L79" s="2" t="s">
        <v>130</v>
      </c>
    </row>
    <row r="80" spans="1:12" ht="63.6" thickBot="1">
      <c r="A80" s="4">
        <v>46277</v>
      </c>
      <c r="J80" s="2"/>
      <c r="K80" s="2" t="s">
        <v>505</v>
      </c>
      <c r="L80" s="2" t="s">
        <v>506</v>
      </c>
    </row>
    <row r="81" spans="1:12" ht="63.6" thickBot="1">
      <c r="A81" s="4">
        <v>46278</v>
      </c>
      <c r="J81" s="2"/>
      <c r="K81" s="2" t="s">
        <v>202</v>
      </c>
      <c r="L81" s="2" t="s">
        <v>507</v>
      </c>
    </row>
    <row r="82" spans="1:12" ht="42.6" thickBot="1">
      <c r="A82" s="4">
        <v>46284</v>
      </c>
      <c r="J82" s="2"/>
      <c r="K82" s="2" t="s">
        <v>232</v>
      </c>
      <c r="L82" s="2" t="s">
        <v>508</v>
      </c>
    </row>
    <row r="83" spans="1:12" ht="63.6" thickBot="1">
      <c r="A83" s="4">
        <v>46285</v>
      </c>
      <c r="J83" s="2"/>
      <c r="K83" s="2" t="s">
        <v>209</v>
      </c>
      <c r="L83" s="2" t="s">
        <v>184</v>
      </c>
    </row>
    <row r="84" spans="1:12" ht="84.6" thickBot="1">
      <c r="A84" s="4">
        <v>46291</v>
      </c>
      <c r="J84" s="2"/>
      <c r="K84" s="2" t="s">
        <v>496</v>
      </c>
      <c r="L84" s="2" t="s">
        <v>509</v>
      </c>
    </row>
    <row r="85" spans="1:12" ht="63.6" thickBot="1">
      <c r="A85" s="4">
        <v>46292</v>
      </c>
      <c r="J85" s="2"/>
      <c r="K85" s="2" t="s">
        <v>510</v>
      </c>
      <c r="L85" s="2" t="s">
        <v>81</v>
      </c>
    </row>
    <row r="86" spans="1:12" ht="42.6" thickBot="1">
      <c r="A86" s="4">
        <v>46298</v>
      </c>
      <c r="J86" s="2"/>
      <c r="K86" s="2" t="s">
        <v>306</v>
      </c>
      <c r="L86" s="2" t="s">
        <v>63</v>
      </c>
    </row>
    <row r="87" spans="1:12" ht="63.6" thickBot="1">
      <c r="A87" s="4">
        <v>46299</v>
      </c>
      <c r="J87" s="2"/>
      <c r="K87" s="2" t="s">
        <v>361</v>
      </c>
      <c r="L87" s="2" t="s">
        <v>68</v>
      </c>
    </row>
    <row r="88" spans="1:12" ht="84.6" thickBot="1">
      <c r="A88" s="4">
        <v>46305</v>
      </c>
      <c r="J88" s="2"/>
      <c r="K88" s="2" t="s">
        <v>511</v>
      </c>
      <c r="L88" s="2" t="s">
        <v>58</v>
      </c>
    </row>
    <row r="89" spans="1:12" ht="84.6" thickBot="1">
      <c r="A89" s="4">
        <v>46306</v>
      </c>
      <c r="J89" s="2"/>
      <c r="K89" s="2" t="s">
        <v>276</v>
      </c>
      <c r="L89" s="2" t="s">
        <v>71</v>
      </c>
    </row>
    <row r="90" spans="1:12" ht="63.6" thickBot="1">
      <c r="A90" s="4">
        <v>46308</v>
      </c>
      <c r="J90" s="2"/>
      <c r="K90" s="2" t="s">
        <v>273</v>
      </c>
      <c r="L90" s="2" t="s">
        <v>74</v>
      </c>
    </row>
    <row r="91" spans="1:12" ht="63.6" thickBot="1">
      <c r="A91" s="4">
        <v>46312</v>
      </c>
      <c r="J91" s="2"/>
      <c r="K91" s="2" t="s">
        <v>297</v>
      </c>
      <c r="L91" s="2" t="s">
        <v>88</v>
      </c>
    </row>
    <row r="92" spans="1:12" ht="84.6" thickBot="1">
      <c r="A92" s="4">
        <v>46313</v>
      </c>
      <c r="J92" s="2"/>
      <c r="K92" s="2" t="s">
        <v>292</v>
      </c>
      <c r="L92" s="2" t="s">
        <v>95</v>
      </c>
    </row>
    <row r="93" spans="1:12" ht="105.6" thickBot="1">
      <c r="A93" s="4">
        <v>46318</v>
      </c>
      <c r="J93" s="2"/>
      <c r="K93" s="2" t="s">
        <v>294</v>
      </c>
      <c r="L93" s="2" t="s">
        <v>92</v>
      </c>
    </row>
    <row r="94" spans="1:12" ht="63.6" thickBot="1">
      <c r="A94" s="4">
        <v>46319</v>
      </c>
      <c r="J94" s="2"/>
      <c r="K94" s="2" t="s">
        <v>319</v>
      </c>
      <c r="L94" s="2" t="s">
        <v>98</v>
      </c>
    </row>
    <row r="95" spans="1:12" ht="63.6" thickBot="1">
      <c r="A95" s="4">
        <v>46320</v>
      </c>
      <c r="J95" s="2"/>
      <c r="K95" s="2" t="s">
        <v>261</v>
      </c>
      <c r="L95" s="2" t="s">
        <v>40</v>
      </c>
    </row>
    <row r="96" spans="1:12" ht="63.6" thickBot="1">
      <c r="A96" s="4">
        <v>46326</v>
      </c>
      <c r="J96" s="2"/>
      <c r="K96" s="2" t="s">
        <v>156</v>
      </c>
      <c r="L96" s="2" t="s">
        <v>191</v>
      </c>
    </row>
    <row r="97" spans="1:12" ht="84.6" thickBot="1">
      <c r="A97" s="4">
        <v>46327</v>
      </c>
      <c r="J97" s="2"/>
      <c r="K97" s="2" t="s">
        <v>104</v>
      </c>
      <c r="L97" s="2" t="s">
        <v>102</v>
      </c>
    </row>
    <row r="98" spans="1:12" ht="84.6" thickBot="1">
      <c r="A98" s="4">
        <v>46333</v>
      </c>
      <c r="J98" s="2"/>
      <c r="K98" s="2" t="s">
        <v>512</v>
      </c>
      <c r="L98" s="2" t="s">
        <v>113</v>
      </c>
    </row>
    <row r="99" spans="1:12" ht="42">
      <c r="A99" s="4">
        <v>46334</v>
      </c>
      <c r="J99" s="2"/>
      <c r="K99" s="2" t="s">
        <v>513</v>
      </c>
      <c r="L99" s="2" t="s">
        <v>147</v>
      </c>
    </row>
    <row r="100" spans="1:12" ht="105">
      <c r="A100" s="4">
        <v>46340</v>
      </c>
      <c r="J100" s="2"/>
      <c r="K100" s="2" t="s">
        <v>294</v>
      </c>
      <c r="L100" s="2" t="s">
        <v>514</v>
      </c>
    </row>
    <row r="101" spans="1:12" ht="63">
      <c r="A101" s="4">
        <v>46341</v>
      </c>
      <c r="J101" s="2"/>
      <c r="K101" s="2" t="s">
        <v>361</v>
      </c>
      <c r="L101" s="2" t="s">
        <v>69</v>
      </c>
    </row>
    <row r="102" spans="1:12" ht="84">
      <c r="A102" s="4">
        <v>46347</v>
      </c>
      <c r="J102" s="2"/>
      <c r="K102" s="94" t="s">
        <v>515</v>
      </c>
      <c r="L102" s="2" t="s">
        <v>138</v>
      </c>
    </row>
    <row r="103" spans="1:12" ht="63">
      <c r="A103" s="4">
        <v>46348</v>
      </c>
      <c r="J103" s="2"/>
      <c r="K103" s="2" t="s">
        <v>156</v>
      </c>
      <c r="L103" s="2" t="s">
        <v>157</v>
      </c>
    </row>
    <row r="104" spans="1:12" ht="42.6" thickBot="1">
      <c r="A104" s="4">
        <v>46354</v>
      </c>
      <c r="J104" s="2"/>
      <c r="K104" s="2"/>
      <c r="L104" s="2" t="s">
        <v>163</v>
      </c>
    </row>
    <row r="105" spans="1:12" ht="42.6" thickBot="1">
      <c r="A105" s="4">
        <v>46355</v>
      </c>
      <c r="J105" s="2"/>
      <c r="K105" s="2"/>
      <c r="L105" s="2" t="s">
        <v>516</v>
      </c>
    </row>
    <row r="106" spans="1:12" ht="63.6" thickBot="1">
      <c r="A106" s="4">
        <v>46361</v>
      </c>
      <c r="J106" s="2"/>
      <c r="K106" s="2"/>
      <c r="L106" s="2" t="s">
        <v>517</v>
      </c>
    </row>
    <row r="107" spans="1:12" ht="63.6" thickBot="1">
      <c r="A107" s="4">
        <v>46362</v>
      </c>
      <c r="J107" s="2"/>
      <c r="K107" s="2"/>
      <c r="L107" s="2" t="s">
        <v>159</v>
      </c>
    </row>
    <row r="108" spans="1:12" ht="21.6" thickBot="1">
      <c r="A108" s="4">
        <v>46363</v>
      </c>
      <c r="J108" s="2"/>
      <c r="K108" s="2"/>
      <c r="L108" s="2" t="s">
        <v>117</v>
      </c>
    </row>
    <row r="109" spans="1:12" ht="63.6" thickBot="1">
      <c r="A109" s="4">
        <v>46366</v>
      </c>
      <c r="J109" s="2"/>
      <c r="K109" s="2"/>
      <c r="L109" s="2" t="s">
        <v>107</v>
      </c>
    </row>
    <row r="110" spans="1:12" ht="63.6" thickBot="1">
      <c r="A110" s="4">
        <v>46368</v>
      </c>
      <c r="J110" s="2"/>
      <c r="K110" s="2"/>
      <c r="L110" s="2" t="s">
        <v>203</v>
      </c>
    </row>
    <row r="111" spans="1:12" ht="63.6" thickBot="1">
      <c r="A111" s="4">
        <v>46369</v>
      </c>
      <c r="J111" s="2"/>
      <c r="K111" s="2"/>
      <c r="L111" s="2" t="s">
        <v>197</v>
      </c>
    </row>
    <row r="112" spans="1:12" ht="63.6" thickBot="1">
      <c r="A112" s="4">
        <v>46375</v>
      </c>
      <c r="J112" s="2"/>
      <c r="K112" s="2"/>
      <c r="L112" s="2" t="s">
        <v>200</v>
      </c>
    </row>
    <row r="113" spans="1:12" ht="63.6" thickBot="1">
      <c r="A113" s="4">
        <v>46376</v>
      </c>
      <c r="J113" s="2"/>
      <c r="K113" s="2"/>
      <c r="L113" s="2" t="s">
        <v>194</v>
      </c>
    </row>
    <row r="114" spans="1:12" ht="63.6" thickBot="1">
      <c r="A114" s="4">
        <v>46382</v>
      </c>
      <c r="J114" s="2"/>
      <c r="K114" s="2"/>
      <c r="L114" s="2" t="s">
        <v>518</v>
      </c>
    </row>
    <row r="115" spans="1:12" ht="63.6" thickBot="1">
      <c r="A115" s="4">
        <v>46383</v>
      </c>
      <c r="J115" s="2"/>
      <c r="K115" s="2"/>
      <c r="L115" s="2" t="s">
        <v>189</v>
      </c>
    </row>
    <row r="116" spans="1:12" ht="42.6" thickBot="1">
      <c r="A116" s="4">
        <v>46387</v>
      </c>
      <c r="J116" s="2"/>
      <c r="K116" s="2"/>
      <c r="L116" s="2" t="s">
        <v>210</v>
      </c>
    </row>
    <row r="117" spans="1:12" ht="42.6" thickBot="1">
      <c r="J117" s="2"/>
      <c r="K117" s="2"/>
      <c r="L117" s="2" t="s">
        <v>519</v>
      </c>
    </row>
    <row r="118" spans="1:12" ht="63.6" thickBot="1">
      <c r="J118" s="2"/>
      <c r="K118" s="2"/>
      <c r="L118" s="2" t="s">
        <v>520</v>
      </c>
    </row>
    <row r="119" spans="1:12" ht="21.6" thickBot="1">
      <c r="J119" s="2"/>
      <c r="K119" s="2"/>
      <c r="L119" s="2" t="s">
        <v>206</v>
      </c>
    </row>
    <row r="120" spans="1:12" ht="42.6" thickBot="1">
      <c r="J120" s="2"/>
      <c r="K120" s="2"/>
      <c r="L120" s="2" t="s">
        <v>216</v>
      </c>
    </row>
    <row r="121" spans="1:12" ht="63.6" thickBot="1">
      <c r="J121" s="2"/>
      <c r="K121" s="2"/>
      <c r="L121" s="2" t="s">
        <v>521</v>
      </c>
    </row>
    <row r="122" spans="1:12" ht="42.6" thickBot="1">
      <c r="J122" s="2"/>
      <c r="K122" s="2"/>
      <c r="L122" s="2" t="s">
        <v>522</v>
      </c>
    </row>
    <row r="123" spans="1:12" ht="42.6" thickBot="1">
      <c r="J123" s="2"/>
      <c r="K123" s="2"/>
      <c r="L123" s="2" t="s">
        <v>523</v>
      </c>
    </row>
    <row r="124" spans="1:12" ht="21.6" thickBot="1">
      <c r="J124" s="2"/>
      <c r="K124" s="2"/>
      <c r="L124" s="2" t="s">
        <v>243</v>
      </c>
    </row>
    <row r="125" spans="1:12" ht="63.6" thickBot="1">
      <c r="J125" s="2"/>
      <c r="K125" s="2"/>
      <c r="L125" s="2" t="s">
        <v>220</v>
      </c>
    </row>
    <row r="126" spans="1:12" ht="63.6" thickBot="1">
      <c r="J126" s="2"/>
      <c r="K126" s="2"/>
      <c r="L126" s="2" t="s">
        <v>222</v>
      </c>
    </row>
    <row r="127" spans="1:12" ht="21.6" thickBot="1">
      <c r="J127" s="2"/>
      <c r="K127" s="2"/>
      <c r="L127" s="2" t="s">
        <v>140</v>
      </c>
    </row>
    <row r="128" spans="1:12" ht="42.6" thickBot="1">
      <c r="J128" s="2"/>
      <c r="K128" s="2"/>
      <c r="L128" s="2" t="s">
        <v>225</v>
      </c>
    </row>
    <row r="129" spans="10:12" ht="21.6" thickBot="1">
      <c r="J129" s="2"/>
      <c r="K129" s="2"/>
      <c r="L129" s="5" t="s">
        <v>233</v>
      </c>
    </row>
    <row r="130" spans="10:12" ht="42.6" thickBot="1">
      <c r="J130" s="2"/>
      <c r="K130" s="2"/>
      <c r="L130" s="2" t="s">
        <v>251</v>
      </c>
    </row>
    <row r="131" spans="10:12" ht="21.6" thickBot="1">
      <c r="J131" s="2"/>
      <c r="K131" s="2"/>
      <c r="L131" s="2" t="s">
        <v>254</v>
      </c>
    </row>
    <row r="132" spans="10:12" ht="63.6" thickBot="1">
      <c r="J132" s="2"/>
      <c r="K132" s="2"/>
      <c r="L132" s="2" t="s">
        <v>249</v>
      </c>
    </row>
    <row r="133" spans="10:12" ht="42.6" thickBot="1">
      <c r="J133" s="2"/>
      <c r="K133" s="2"/>
      <c r="L133" s="2" t="s">
        <v>246</v>
      </c>
    </row>
    <row r="134" spans="10:12" ht="21.6" thickBot="1">
      <c r="J134" s="2"/>
      <c r="K134" s="2"/>
      <c r="L134" s="2" t="s">
        <v>524</v>
      </c>
    </row>
    <row r="135" spans="10:12" ht="42.6" thickBot="1">
      <c r="J135" s="2"/>
      <c r="K135" s="2"/>
      <c r="L135" s="2" t="s">
        <v>525</v>
      </c>
    </row>
    <row r="136" spans="10:12" ht="63.6" thickBot="1">
      <c r="J136" s="2"/>
      <c r="K136" s="2"/>
      <c r="L136" s="2" t="s">
        <v>262</v>
      </c>
    </row>
    <row r="137" spans="10:12" ht="63.6" thickBot="1">
      <c r="J137" s="2"/>
      <c r="K137" s="2"/>
      <c r="L137" s="2" t="s">
        <v>277</v>
      </c>
    </row>
    <row r="138" spans="10:12" ht="42.6" thickBot="1">
      <c r="J138" s="2"/>
      <c r="K138" s="2"/>
      <c r="L138" s="2" t="s">
        <v>238</v>
      </c>
    </row>
    <row r="139" spans="10:12" ht="42.6" thickBot="1">
      <c r="J139" s="2"/>
      <c r="K139" s="2"/>
      <c r="L139" s="2" t="s">
        <v>267</v>
      </c>
    </row>
    <row r="140" spans="10:12" ht="42.6" thickBot="1">
      <c r="J140" s="2"/>
      <c r="K140" s="2"/>
      <c r="L140" s="2" t="s">
        <v>271</v>
      </c>
    </row>
    <row r="141" spans="10:12" ht="21.6" thickBot="1">
      <c r="J141" s="2"/>
      <c r="K141" s="2"/>
      <c r="L141" s="2" t="s">
        <v>526</v>
      </c>
    </row>
    <row r="142" spans="10:12" ht="21.6" thickBot="1">
      <c r="J142" s="2"/>
      <c r="K142" s="2"/>
      <c r="L142" s="2" t="s">
        <v>269</v>
      </c>
    </row>
    <row r="143" spans="10:12" ht="42.6" thickBot="1">
      <c r="J143" s="2"/>
      <c r="K143" s="2"/>
      <c r="L143" s="2" t="s">
        <v>279</v>
      </c>
    </row>
    <row r="144" spans="10:12" ht="21.6" thickBot="1">
      <c r="J144" s="2"/>
      <c r="K144" s="2"/>
      <c r="L144" s="2" t="s">
        <v>288</v>
      </c>
    </row>
    <row r="145" spans="10:12" ht="21.6" thickBot="1">
      <c r="J145" s="2"/>
      <c r="K145" s="2"/>
      <c r="L145" s="2" t="s">
        <v>298</v>
      </c>
    </row>
    <row r="146" spans="10:12" ht="63.6" thickBot="1">
      <c r="J146" s="2"/>
      <c r="K146" s="2"/>
      <c r="L146" s="2" t="s">
        <v>295</v>
      </c>
    </row>
    <row r="147" spans="10:12" ht="63.6" thickBot="1">
      <c r="J147" s="2"/>
      <c r="K147" s="2"/>
      <c r="L147" s="5" t="s">
        <v>196</v>
      </c>
    </row>
    <row r="148" spans="10:12" ht="42.6" thickBot="1">
      <c r="J148" s="2"/>
      <c r="K148" s="2"/>
      <c r="L148" s="2" t="s">
        <v>299</v>
      </c>
    </row>
    <row r="149" spans="10:12" ht="42.6" thickBot="1">
      <c r="J149" s="2"/>
      <c r="K149" s="2"/>
      <c r="L149" s="2" t="s">
        <v>325</v>
      </c>
    </row>
    <row r="150" spans="10:12" ht="63.6" thickBot="1">
      <c r="J150" s="2"/>
      <c r="K150" s="2"/>
      <c r="L150" s="2" t="s">
        <v>316</v>
      </c>
    </row>
    <row r="151" spans="10:12" ht="63.6" thickBot="1">
      <c r="J151" s="2"/>
      <c r="K151" s="2"/>
      <c r="L151" s="2" t="s">
        <v>340</v>
      </c>
    </row>
    <row r="152" spans="10:12" ht="42.6" thickBot="1">
      <c r="J152" s="2"/>
      <c r="K152" s="2"/>
      <c r="L152" s="2" t="s">
        <v>320</v>
      </c>
    </row>
    <row r="153" spans="10:12" ht="42.6" thickBot="1">
      <c r="J153" s="2"/>
      <c r="K153" s="2"/>
      <c r="L153" s="2" t="s">
        <v>311</v>
      </c>
    </row>
    <row r="154" spans="10:12" ht="21.6" thickBot="1">
      <c r="J154" s="2"/>
      <c r="K154" s="2"/>
      <c r="L154" s="2" t="s">
        <v>218</v>
      </c>
    </row>
    <row r="155" spans="10:12" ht="42.6" thickBot="1">
      <c r="J155" s="2"/>
      <c r="K155" s="2"/>
      <c r="L155" s="2" t="s">
        <v>527</v>
      </c>
    </row>
    <row r="156" spans="10:12" ht="63.6" thickBot="1">
      <c r="J156" s="2"/>
      <c r="K156" s="2"/>
      <c r="L156" s="2" t="s">
        <v>528</v>
      </c>
    </row>
    <row r="157" spans="10:12" ht="63.6" thickBot="1">
      <c r="J157" s="2"/>
      <c r="K157" s="2"/>
      <c r="L157" s="2" t="s">
        <v>528</v>
      </c>
    </row>
    <row r="158" spans="10:12" ht="63.6" thickBot="1">
      <c r="J158" s="2"/>
      <c r="K158" s="2"/>
      <c r="L158" s="2" t="s">
        <v>344</v>
      </c>
    </row>
    <row r="159" spans="10:12" ht="63.6" thickBot="1">
      <c r="J159" s="2"/>
      <c r="K159" s="2"/>
      <c r="L159" s="2" t="s">
        <v>336</v>
      </c>
    </row>
    <row r="160" spans="10:12" ht="42">
      <c r="J160" s="2"/>
      <c r="K160" s="2"/>
      <c r="L160" s="2" t="s">
        <v>377</v>
      </c>
    </row>
    <row r="161" spans="10:12" ht="42">
      <c r="J161" s="2"/>
      <c r="K161" s="2"/>
      <c r="L161" s="2" t="s">
        <v>371</v>
      </c>
    </row>
    <row r="162" spans="10:12" ht="42">
      <c r="J162" s="2"/>
      <c r="K162" s="2"/>
      <c r="L162" s="2" t="s">
        <v>362</v>
      </c>
    </row>
    <row r="163" spans="10:12" ht="63">
      <c r="J163" s="2"/>
      <c r="K163" s="2"/>
      <c r="L163" s="2" t="s">
        <v>387</v>
      </c>
    </row>
    <row r="164" spans="10:12" ht="21.6" thickBot="1">
      <c r="J164" s="2"/>
      <c r="K164" s="2"/>
      <c r="L164" s="2"/>
    </row>
    <row r="165" spans="10:12" ht="21.6" thickBot="1">
      <c r="J165" s="2"/>
      <c r="K165" s="2"/>
      <c r="L165" s="2"/>
    </row>
    <row r="166" spans="10:12" ht="21.6" thickBot="1">
      <c r="J166" s="2"/>
      <c r="K166" s="2"/>
      <c r="L166" s="2"/>
    </row>
    <row r="167" spans="10:12" ht="21.6" thickBot="1">
      <c r="J167" s="2"/>
      <c r="K167" s="2"/>
      <c r="L167" s="2"/>
    </row>
    <row r="168" spans="10:12" ht="21.6" thickBot="1">
      <c r="J168" s="2"/>
      <c r="K168" s="2"/>
      <c r="L168" s="2"/>
    </row>
    <row r="169" spans="10:12" ht="21.6" thickBot="1">
      <c r="J169" s="2"/>
      <c r="K169" s="2"/>
      <c r="L169" s="2"/>
    </row>
    <row r="170" spans="10:12" ht="21.6" thickBot="1">
      <c r="J170" s="2"/>
      <c r="K170" s="2"/>
      <c r="L170" s="2"/>
    </row>
    <row r="171" spans="10:12" ht="21.6" thickBot="1">
      <c r="J171" s="2"/>
      <c r="K171" s="2"/>
      <c r="L171" s="2"/>
    </row>
    <row r="172" spans="10:12" ht="21.6" thickBot="1">
      <c r="J172" s="2"/>
      <c r="K172" s="2"/>
      <c r="L172" s="2"/>
    </row>
    <row r="173" spans="10:12" ht="21.6" thickBot="1">
      <c r="J173" s="2"/>
      <c r="K173" s="2"/>
      <c r="L173" s="2"/>
    </row>
    <row r="174" spans="10:12" ht="21.6" thickBot="1">
      <c r="J174" s="2"/>
      <c r="K174" s="2"/>
      <c r="L174" s="2"/>
    </row>
    <row r="175" spans="10:12" ht="21.6" thickBot="1">
      <c r="J175" s="2"/>
      <c r="K175" s="2"/>
      <c r="L175" s="2"/>
    </row>
    <row r="176" spans="10:12" ht="21.6" thickBot="1">
      <c r="J176" s="2"/>
      <c r="K176" s="2"/>
      <c r="L176" s="2"/>
    </row>
    <row r="177" spans="10:12" ht="21.6" thickBot="1">
      <c r="J177" s="2"/>
      <c r="K177" s="2"/>
      <c r="L177" s="2"/>
    </row>
    <row r="178" spans="10:12" ht="21.6" thickBot="1">
      <c r="J178" s="2"/>
      <c r="K178" s="2"/>
      <c r="L178" s="2"/>
    </row>
    <row r="179" spans="10:12" ht="21.6" thickBot="1">
      <c r="J179" s="2"/>
      <c r="K179" s="2"/>
      <c r="L179" s="2"/>
    </row>
    <row r="180" spans="10:12" ht="21.6" thickBot="1">
      <c r="J180" s="2"/>
      <c r="K180" s="2"/>
      <c r="L180" s="2"/>
    </row>
    <row r="181" spans="10:12" ht="21.6" thickBot="1">
      <c r="J181" s="2"/>
      <c r="K181" s="2"/>
      <c r="L181" s="2"/>
    </row>
    <row r="182" spans="10:12" ht="21.6" thickBot="1">
      <c r="J182" s="2"/>
      <c r="K182" s="2"/>
      <c r="L182" s="2"/>
    </row>
    <row r="183" spans="10:12" ht="21.6" thickBot="1">
      <c r="J183" s="2"/>
      <c r="K183" s="2"/>
      <c r="L183" s="2"/>
    </row>
    <row r="184" spans="10:12" ht="21.6" thickBot="1">
      <c r="J184" s="2"/>
      <c r="K184" s="2"/>
      <c r="L184" s="2"/>
    </row>
    <row r="185" spans="10:12" ht="21.6" thickBot="1">
      <c r="J185" s="2"/>
      <c r="K185" s="2"/>
      <c r="L185" s="2"/>
    </row>
    <row r="186" spans="10:12" ht="21.6" thickBot="1">
      <c r="J186" s="2"/>
      <c r="K186" s="2"/>
      <c r="L186" s="2"/>
    </row>
    <row r="187" spans="10:12" ht="21.6" thickBot="1">
      <c r="J187" s="2"/>
      <c r="K187" s="2"/>
      <c r="L187" s="2"/>
    </row>
    <row r="188" spans="10:12" ht="21.6" thickBot="1">
      <c r="J188" s="2"/>
      <c r="K188" s="2"/>
      <c r="L188" s="2"/>
    </row>
    <row r="189" spans="10:12" ht="21.6" thickBot="1">
      <c r="J189" s="2"/>
      <c r="K189" s="2"/>
      <c r="L189" s="2"/>
    </row>
    <row r="190" spans="10:12" ht="21.6" thickBot="1">
      <c r="J190" s="2"/>
      <c r="K190" s="2"/>
      <c r="L190" s="2"/>
    </row>
    <row r="191" spans="10:12" ht="21.6" thickBot="1">
      <c r="J191" s="2"/>
      <c r="K191" s="2"/>
      <c r="L191" s="2"/>
    </row>
    <row r="192" spans="10:12" ht="21.6" thickBot="1">
      <c r="J192" s="2"/>
      <c r="K192" s="2"/>
      <c r="L192" s="2"/>
    </row>
    <row r="193" spans="10:12" ht="21.6" thickBot="1">
      <c r="J193" s="2"/>
      <c r="K193" s="2"/>
      <c r="L193" s="2"/>
    </row>
    <row r="194" spans="10:12" ht="21.6" thickBot="1">
      <c r="J194" s="2"/>
      <c r="K194" s="2"/>
      <c r="L194" s="2"/>
    </row>
    <row r="195" spans="10:12" ht="21.6" thickBot="1">
      <c r="J195" s="2"/>
      <c r="K195" s="2"/>
      <c r="L195" s="2"/>
    </row>
    <row r="196" spans="10:12" ht="21.6" thickBot="1">
      <c r="J196" s="2"/>
      <c r="K196" s="2"/>
      <c r="L196" s="2"/>
    </row>
    <row r="197" spans="10:12" ht="21.6" thickBot="1">
      <c r="J197" s="2"/>
      <c r="K197" s="2"/>
      <c r="L197" s="2"/>
    </row>
    <row r="198" spans="10:12" ht="21.6" thickBot="1">
      <c r="J198" s="2"/>
      <c r="K198" s="2"/>
      <c r="L198" s="2"/>
    </row>
    <row r="199" spans="10:12" ht="21.6" thickBot="1">
      <c r="J199" s="2"/>
      <c r="K199" s="2"/>
      <c r="L199" s="2"/>
    </row>
    <row r="200" spans="10:12" ht="21.6" thickBot="1">
      <c r="J200" s="2"/>
      <c r="K200" s="2"/>
      <c r="L200" s="2"/>
    </row>
    <row r="201" spans="10:12" ht="21.6" thickBot="1">
      <c r="J201" s="2"/>
      <c r="K201" s="2"/>
      <c r="L201" s="2"/>
    </row>
    <row r="202" spans="10:12" ht="21.6" thickBot="1">
      <c r="J202" s="2"/>
      <c r="K202" s="2"/>
      <c r="L202" s="2"/>
    </row>
    <row r="203" spans="10:12" ht="21.6" thickBot="1">
      <c r="J203" s="2"/>
      <c r="K203" s="2"/>
      <c r="L203" s="2"/>
    </row>
    <row r="204" spans="10:12" ht="21.6" thickBot="1">
      <c r="J204" s="2"/>
      <c r="K204" s="2"/>
      <c r="L204" s="2"/>
    </row>
    <row r="205" spans="10:12" ht="21.6" thickBot="1">
      <c r="J205" s="2"/>
      <c r="K205" s="2"/>
      <c r="L205" s="2"/>
    </row>
    <row r="206" spans="10:12" ht="21.6" thickBot="1">
      <c r="J206" s="2"/>
      <c r="K206" s="2"/>
      <c r="L206" s="2"/>
    </row>
    <row r="207" spans="10:12" ht="21.6" thickBot="1">
      <c r="J207" s="2"/>
      <c r="K207" s="2"/>
      <c r="L207" s="2"/>
    </row>
    <row r="208" spans="10:12" ht="21.6" thickBot="1">
      <c r="J208" s="2"/>
      <c r="K208" s="2"/>
      <c r="L208" s="2"/>
    </row>
    <row r="209" spans="10:12" ht="21.6" thickBot="1">
      <c r="J209" s="2"/>
      <c r="K209" s="2"/>
      <c r="L209" s="2"/>
    </row>
    <row r="210" spans="10:12" ht="21.6" thickBot="1">
      <c r="J210" s="2"/>
      <c r="K210" s="2"/>
      <c r="L210" s="2"/>
    </row>
    <row r="211" spans="10:12" ht="21.6" thickBot="1">
      <c r="J211" s="2"/>
      <c r="K211" s="2"/>
      <c r="L211" s="2"/>
    </row>
    <row r="212" spans="10:12" ht="21.6" thickBot="1">
      <c r="J212" s="2"/>
      <c r="K212" s="2"/>
      <c r="L212" s="2"/>
    </row>
    <row r="213" spans="10:12" ht="21.6" thickBot="1">
      <c r="J213" s="2"/>
      <c r="K213" s="2"/>
      <c r="L213" s="2"/>
    </row>
    <row r="214" spans="10:12" ht="21.6" thickBot="1">
      <c r="J214" s="2"/>
      <c r="K214" s="2"/>
      <c r="L214" s="2"/>
    </row>
    <row r="215" spans="10:12" ht="21.6" thickBot="1">
      <c r="J215" s="2"/>
      <c r="K215" s="2"/>
      <c r="L215" s="2"/>
    </row>
    <row r="216" spans="10:12" ht="21.6" thickBot="1">
      <c r="J216" s="2"/>
      <c r="K216" s="2"/>
      <c r="L216" s="2"/>
    </row>
    <row r="217" spans="10:12" ht="21.6" thickBot="1">
      <c r="J217" s="2"/>
      <c r="K217" s="2"/>
      <c r="L217" s="2"/>
    </row>
    <row r="218" spans="10:12" ht="21.6" thickBot="1">
      <c r="J218" s="2"/>
      <c r="K218" s="2"/>
      <c r="L218" s="2"/>
    </row>
    <row r="219" spans="10:12" ht="21.6" thickBot="1">
      <c r="J219" s="2"/>
      <c r="K219" s="2"/>
      <c r="L219" s="2"/>
    </row>
    <row r="220" spans="10:12" ht="21.6" thickBot="1">
      <c r="J220" s="2"/>
      <c r="K220" s="2"/>
      <c r="L220" s="2"/>
    </row>
    <row r="221" spans="10:12" ht="21.6" thickBot="1">
      <c r="J221" s="2"/>
      <c r="K221" s="2"/>
      <c r="L221" s="2"/>
    </row>
    <row r="222" spans="10:12" ht="21.6" thickBot="1">
      <c r="J222" s="2"/>
      <c r="K222" s="2"/>
      <c r="L222" s="2"/>
    </row>
    <row r="223" spans="10:12" ht="21.6" thickBot="1">
      <c r="J223" s="2"/>
      <c r="K223" s="2"/>
      <c r="L223" s="2"/>
    </row>
    <row r="224" spans="10:12" ht="21.6" thickBot="1">
      <c r="J224" s="2"/>
      <c r="K224" s="2"/>
      <c r="L224" s="2"/>
    </row>
    <row r="225" spans="10:12" ht="21.6" thickBot="1">
      <c r="J225" s="2"/>
      <c r="K225" s="2"/>
      <c r="L225" s="2"/>
    </row>
    <row r="226" spans="10:12" ht="21.6" thickBot="1">
      <c r="J226" s="2"/>
      <c r="K226" s="2"/>
      <c r="L226" s="2"/>
    </row>
    <row r="227" spans="10:12" ht="21.6" thickBot="1">
      <c r="J227" s="2"/>
      <c r="K227" s="2"/>
      <c r="L227" s="2"/>
    </row>
    <row r="228" spans="10:12" ht="21.6" thickBot="1">
      <c r="J228" s="2"/>
      <c r="K228" s="2"/>
      <c r="L228" s="2"/>
    </row>
    <row r="229" spans="10:12" ht="21.6" thickBot="1">
      <c r="J229" s="2"/>
      <c r="K229" s="2"/>
      <c r="L229" s="2"/>
    </row>
    <row r="230" spans="10:12" ht="21.6" thickBot="1">
      <c r="J230" s="2"/>
      <c r="K230" s="2"/>
      <c r="L230" s="2"/>
    </row>
    <row r="231" spans="10:12" ht="21.6" thickBot="1">
      <c r="J231" s="2"/>
      <c r="K231" s="2"/>
      <c r="L231" s="2"/>
    </row>
    <row r="232" spans="10:12" ht="21.6" thickBot="1">
      <c r="J232" s="2"/>
      <c r="K232" s="2"/>
      <c r="L232" s="2"/>
    </row>
    <row r="233" spans="10:12" ht="21.6" thickBot="1">
      <c r="J233" s="2"/>
      <c r="K233" s="2"/>
      <c r="L233" s="2"/>
    </row>
    <row r="234" spans="10:12" ht="21.6" thickBot="1">
      <c r="J234" s="2"/>
      <c r="K234" s="2"/>
      <c r="L234" s="2"/>
    </row>
    <row r="235" spans="10:12" ht="21.6" thickBot="1">
      <c r="J235" s="2"/>
      <c r="K235" s="2"/>
      <c r="L235" s="2"/>
    </row>
    <row r="236" spans="10:12" ht="21.6" thickBot="1">
      <c r="J236" s="2"/>
      <c r="K236" s="2"/>
      <c r="L236" s="2"/>
    </row>
    <row r="237" spans="10:12" ht="21.6" thickBot="1">
      <c r="J237" s="2"/>
      <c r="K237" s="2"/>
      <c r="L237" s="2"/>
    </row>
    <row r="238" spans="10:12" ht="21.6" thickBot="1">
      <c r="J238" s="2"/>
      <c r="K238" s="2"/>
      <c r="L238" s="2"/>
    </row>
    <row r="239" spans="10:12" ht="21.6" thickBot="1">
      <c r="J239" s="2"/>
      <c r="K239" s="2"/>
      <c r="L239" s="2"/>
    </row>
    <row r="240" spans="10:12" ht="21.6" thickBot="1">
      <c r="J240" s="2"/>
      <c r="K240" s="2"/>
      <c r="L240" s="2"/>
    </row>
    <row r="241" spans="10:12" ht="21.6" thickBot="1">
      <c r="J241" s="2"/>
      <c r="K241" s="2"/>
      <c r="L241" s="2"/>
    </row>
    <row r="242" spans="10:12" ht="21.6" thickBot="1">
      <c r="J242" s="2"/>
      <c r="K242" s="2"/>
      <c r="L242" s="2"/>
    </row>
    <row r="243" spans="10:12" ht="21.6" thickBot="1">
      <c r="J243" s="2"/>
      <c r="K243" s="2"/>
      <c r="L243" s="2"/>
    </row>
    <row r="244" spans="10:12" ht="21.6" thickBot="1">
      <c r="J244" s="2"/>
      <c r="K244" s="2"/>
      <c r="L244" s="2"/>
    </row>
    <row r="245" spans="10:12" ht="21.6" thickBot="1">
      <c r="J245" s="2"/>
      <c r="K245" s="2"/>
      <c r="L245" s="2"/>
    </row>
    <row r="246" spans="10:12" ht="21.6" thickBot="1">
      <c r="J246" s="2"/>
      <c r="K246" s="2"/>
      <c r="L246" s="2"/>
    </row>
    <row r="247" spans="10:12" ht="21.6" thickBot="1">
      <c r="J247" s="2"/>
      <c r="K247" s="2"/>
      <c r="L247" s="2"/>
    </row>
    <row r="248" spans="10:12" ht="21.6" thickBot="1">
      <c r="J248" s="2"/>
      <c r="K248" s="2"/>
      <c r="L248" s="2"/>
    </row>
    <row r="249" spans="10:12" ht="21.6" thickBot="1">
      <c r="J249" s="2"/>
      <c r="K249" s="2"/>
      <c r="L249" s="2"/>
    </row>
    <row r="250" spans="10:12" ht="21.6" thickBot="1">
      <c r="J250" s="2"/>
      <c r="K250" s="2"/>
      <c r="L250" s="2"/>
    </row>
    <row r="251" spans="10:12" ht="21.6" thickBot="1">
      <c r="J251" s="2"/>
      <c r="K251" s="2"/>
      <c r="L251" s="2"/>
    </row>
    <row r="252" spans="10:12" ht="21.6" thickBot="1">
      <c r="J252" s="2"/>
      <c r="K252" s="2"/>
      <c r="L252" s="2"/>
    </row>
    <row r="253" spans="10:12" ht="21.6" thickBot="1">
      <c r="J253" s="2"/>
      <c r="K253" s="2"/>
      <c r="L253" s="2"/>
    </row>
    <row r="254" spans="10:12" ht="21.6" thickBot="1">
      <c r="J254" s="2"/>
      <c r="K254" s="2"/>
      <c r="L254" s="2"/>
    </row>
    <row r="255" spans="10:12" ht="21.6" thickBot="1">
      <c r="J255" s="2"/>
      <c r="K255" s="2"/>
      <c r="L255" s="2"/>
    </row>
    <row r="256" spans="10:12" ht="21.6" thickBot="1">
      <c r="J256" s="2"/>
      <c r="K256" s="2"/>
      <c r="L256" s="2"/>
    </row>
    <row r="257" spans="10:12" ht="21.6" thickBot="1">
      <c r="J257" s="2"/>
      <c r="K257" s="2"/>
      <c r="L257" s="2"/>
    </row>
    <row r="258" spans="10:12" ht="21.6" thickBot="1">
      <c r="J258" s="2"/>
      <c r="K258" s="2"/>
      <c r="L258" s="2"/>
    </row>
    <row r="259" spans="10:12" ht="21.6" thickBot="1">
      <c r="J259" s="2"/>
      <c r="K259" s="2"/>
      <c r="L259" s="2"/>
    </row>
    <row r="260" spans="10:12" ht="21.6" thickBot="1">
      <c r="J260" s="2"/>
      <c r="K260" s="2"/>
      <c r="L260" s="2"/>
    </row>
    <row r="261" spans="10:12" ht="21.6" thickBot="1">
      <c r="J261" s="2"/>
      <c r="K261" s="2"/>
      <c r="L261" s="2"/>
    </row>
    <row r="262" spans="10:12" ht="21.6" thickBot="1">
      <c r="J262" s="2"/>
      <c r="K262" s="2"/>
      <c r="L262" s="2"/>
    </row>
    <row r="263" spans="10:12" ht="21.6" thickBot="1">
      <c r="J263" s="2"/>
      <c r="K263" s="2"/>
      <c r="L263" s="2"/>
    </row>
    <row r="264" spans="10:12" ht="21.6" thickBot="1">
      <c r="J264" s="2"/>
      <c r="K264" s="2"/>
      <c r="L264" s="2"/>
    </row>
    <row r="265" spans="10:12" ht="21.6" thickBot="1">
      <c r="J265" s="2"/>
      <c r="K265" s="2"/>
      <c r="L265" s="2"/>
    </row>
    <row r="266" spans="10:12" ht="21.6" thickBot="1">
      <c r="J266" s="2"/>
      <c r="K266" s="2"/>
      <c r="L266" s="2"/>
    </row>
    <row r="267" spans="10:12" ht="21.6" thickBot="1">
      <c r="J267" s="2"/>
      <c r="K267" s="2"/>
      <c r="L267" s="2"/>
    </row>
    <row r="268" spans="10:12" ht="21.6" thickBot="1">
      <c r="J268" s="2"/>
      <c r="K268" s="2"/>
      <c r="L268" s="2"/>
    </row>
    <row r="269" spans="10:12" ht="21.6" thickBot="1">
      <c r="J269" s="2"/>
      <c r="K269" s="2"/>
      <c r="L269" s="2"/>
    </row>
    <row r="270" spans="10:12" ht="21.6" thickBot="1">
      <c r="J270" s="2"/>
      <c r="K270" s="2"/>
      <c r="L270" s="2"/>
    </row>
    <row r="271" spans="10:12" ht="21.6" thickBot="1">
      <c r="J271" s="2"/>
      <c r="K271" s="2"/>
      <c r="L271" s="2"/>
    </row>
    <row r="272" spans="10:12" ht="21.6" thickBot="1">
      <c r="J272" s="2"/>
      <c r="K272" s="2"/>
      <c r="L272" s="2"/>
    </row>
    <row r="273" spans="10:12" ht="21.6" thickBot="1">
      <c r="J273" s="2"/>
      <c r="K273" s="2"/>
      <c r="L273" s="2"/>
    </row>
    <row r="274" spans="10:12" ht="21.6" thickBot="1">
      <c r="J274" s="2"/>
      <c r="K274" s="2"/>
      <c r="L274" s="2"/>
    </row>
    <row r="275" spans="10:12" ht="21.6" thickBot="1">
      <c r="J275" s="2"/>
      <c r="K275" s="2"/>
      <c r="L275" s="2"/>
    </row>
    <row r="276" spans="10:12" ht="21.6" thickBot="1">
      <c r="J276" s="2"/>
      <c r="K276" s="2"/>
      <c r="L276" s="2"/>
    </row>
    <row r="277" spans="10:12" ht="21.6" thickBot="1">
      <c r="J277" s="2"/>
      <c r="K277" s="2"/>
      <c r="L277" s="2"/>
    </row>
    <row r="278" spans="10:12" ht="21.6" thickBot="1">
      <c r="J278" s="2"/>
      <c r="K278" s="2"/>
      <c r="L278" s="2"/>
    </row>
    <row r="279" spans="10:12" ht="21.6" thickBot="1">
      <c r="J279" s="2"/>
      <c r="K279" s="2"/>
      <c r="L279" s="2"/>
    </row>
    <row r="280" spans="10:12" ht="21.6" thickBot="1">
      <c r="J280" s="2"/>
      <c r="K280" s="2"/>
      <c r="L280" s="2"/>
    </row>
    <row r="281" spans="10:12" ht="21.6" thickBot="1">
      <c r="J281" s="2"/>
      <c r="K281" s="2"/>
      <c r="L281" s="2"/>
    </row>
    <row r="282" spans="10:12" ht="21.6" thickBot="1">
      <c r="J282" s="2"/>
      <c r="K282" s="2"/>
      <c r="L282" s="2"/>
    </row>
    <row r="283" spans="10:12" ht="21.6" thickBot="1">
      <c r="J283" s="2"/>
      <c r="K283" s="2"/>
      <c r="L283" s="2"/>
    </row>
    <row r="284" spans="10:12" ht="21.6" thickBot="1">
      <c r="J284" s="2"/>
      <c r="K284" s="2"/>
      <c r="L284" s="2"/>
    </row>
    <row r="285" spans="10:12" ht="21.6" thickBot="1">
      <c r="J285" s="2"/>
      <c r="K285" s="2"/>
      <c r="L285" s="2"/>
    </row>
    <row r="286" spans="10:12" ht="21.6" thickBot="1">
      <c r="J286" s="2"/>
      <c r="K286" s="2"/>
      <c r="L286" s="2"/>
    </row>
    <row r="287" spans="10:12" ht="21.6" thickBot="1">
      <c r="J287" s="2"/>
      <c r="K287" s="2"/>
      <c r="L287" s="2"/>
    </row>
    <row r="288" spans="10:12" ht="21.6" thickBot="1">
      <c r="J288" s="2"/>
      <c r="K288" s="2"/>
      <c r="L288" s="2"/>
    </row>
    <row r="289" spans="10:12" ht="21.6" thickBot="1">
      <c r="J289" s="2"/>
      <c r="K289" s="2"/>
      <c r="L289" s="2"/>
    </row>
    <row r="290" spans="10:12" ht="21.6" thickBot="1">
      <c r="J290" s="2"/>
      <c r="K290" s="2"/>
      <c r="L290" s="2"/>
    </row>
    <row r="291" spans="10:12" ht="21.6" thickBot="1">
      <c r="J291" s="2"/>
      <c r="K291" s="2"/>
      <c r="L291" s="2"/>
    </row>
    <row r="292" spans="10:12" ht="21.6" thickBot="1">
      <c r="J292" s="2"/>
      <c r="K292" s="2"/>
      <c r="L292" s="2"/>
    </row>
    <row r="293" spans="10:12" ht="21.6" thickBot="1">
      <c r="J293" s="2"/>
      <c r="K293" s="2"/>
      <c r="L293" s="2"/>
    </row>
    <row r="294" spans="10:12" ht="21.6" thickBot="1">
      <c r="J294" s="2"/>
      <c r="K294" s="2"/>
      <c r="L294" s="2"/>
    </row>
    <row r="295" spans="10:12" ht="21.6" thickBot="1">
      <c r="J295" s="2"/>
      <c r="K295" s="2"/>
      <c r="L295" s="2"/>
    </row>
    <row r="296" spans="10:12" ht="21.6" thickBot="1">
      <c r="J296" s="2"/>
      <c r="K296" s="2"/>
      <c r="L296" s="2"/>
    </row>
    <row r="297" spans="10:12" ht="21.6" thickBot="1">
      <c r="J297" s="2"/>
      <c r="K297" s="2"/>
      <c r="L297" s="2"/>
    </row>
    <row r="298" spans="10:12" ht="21.6" thickBot="1">
      <c r="J298" s="2"/>
      <c r="K298" s="2"/>
      <c r="L298" s="2"/>
    </row>
    <row r="299" spans="10:12" ht="21.6" thickBot="1">
      <c r="J299" s="2"/>
      <c r="K299" s="2"/>
      <c r="L299" s="2"/>
    </row>
    <row r="300" spans="10:12" ht="21.6" thickBot="1">
      <c r="J300" s="2"/>
      <c r="K300" s="2"/>
      <c r="L300" s="2"/>
    </row>
    <row r="301" spans="10:12" ht="21.6" thickBot="1">
      <c r="J301" s="2"/>
      <c r="K301" s="2"/>
      <c r="L301" s="2"/>
    </row>
    <row r="302" spans="10:12" ht="21.6" thickBot="1">
      <c r="J302" s="2"/>
      <c r="K302" s="2"/>
      <c r="L302" s="2"/>
    </row>
    <row r="303" spans="10:12" ht="21.6" thickBot="1">
      <c r="J303" s="2"/>
      <c r="K303" s="2"/>
      <c r="L303" s="2"/>
    </row>
    <row r="304" spans="10:12" ht="21.6" thickBot="1">
      <c r="J304" s="2"/>
      <c r="K304" s="2"/>
      <c r="L304" s="2"/>
    </row>
    <row r="305" spans="10:12" ht="21.6" thickBot="1">
      <c r="J305" s="2"/>
      <c r="K305" s="2"/>
      <c r="L305" s="2"/>
    </row>
    <row r="306" spans="10:12" ht="21.6" thickBot="1">
      <c r="J306" s="2"/>
      <c r="K306" s="2"/>
      <c r="L306" s="2"/>
    </row>
    <row r="307" spans="10:12" ht="21.6" thickBot="1">
      <c r="J307" s="2"/>
      <c r="K307" s="2"/>
      <c r="L307" s="2"/>
    </row>
    <row r="308" spans="10:12" ht="21.6" thickBot="1">
      <c r="J308" s="2"/>
      <c r="K308" s="2"/>
      <c r="L308" s="2"/>
    </row>
    <row r="309" spans="10:12" ht="21.6" thickBot="1">
      <c r="J309" s="2"/>
      <c r="K309" s="2"/>
      <c r="L309" s="2"/>
    </row>
    <row r="310" spans="10:12" ht="21.6" thickBot="1">
      <c r="J310" s="2"/>
      <c r="K310" s="2"/>
      <c r="L310" s="2"/>
    </row>
    <row r="311" spans="10:12" ht="21.6" thickBot="1">
      <c r="J311" s="2"/>
      <c r="K311" s="2"/>
      <c r="L311" s="2"/>
    </row>
    <row r="312" spans="10:12" ht="21.6" thickBot="1">
      <c r="J312" s="2"/>
      <c r="K312" s="2"/>
      <c r="L312" s="2"/>
    </row>
    <row r="313" spans="10:12" ht="21.6" thickBot="1">
      <c r="J313" s="2"/>
      <c r="K313" s="2"/>
      <c r="L313" s="2"/>
    </row>
    <row r="314" spans="10:12" ht="21.6" thickBot="1">
      <c r="J314" s="2"/>
      <c r="K314" s="2"/>
      <c r="L314" s="2"/>
    </row>
    <row r="315" spans="10:12" ht="21.6" thickBot="1">
      <c r="J315" s="2"/>
      <c r="K315" s="2"/>
      <c r="L315" s="2"/>
    </row>
    <row r="316" spans="10:12" ht="21.6" thickBot="1">
      <c r="J316" s="2"/>
      <c r="K316" s="2"/>
      <c r="L316" s="2"/>
    </row>
    <row r="317" spans="10:12" ht="21.6" thickBot="1">
      <c r="J317" s="2"/>
      <c r="K317" s="2"/>
      <c r="L317" s="2"/>
    </row>
    <row r="318" spans="10:12" ht="21.6" thickBot="1">
      <c r="J318" s="2"/>
      <c r="K318" s="2"/>
      <c r="L318" s="2"/>
    </row>
    <row r="319" spans="10:12" ht="21.6" thickBot="1">
      <c r="J319" s="2"/>
      <c r="K319" s="2"/>
      <c r="L319" s="2"/>
    </row>
    <row r="320" spans="10:12" ht="21.6" thickBot="1">
      <c r="J320" s="2"/>
      <c r="K320" s="2"/>
      <c r="L320" s="2"/>
    </row>
    <row r="321" spans="10:12" ht="21.6" thickBot="1">
      <c r="J321" s="2"/>
      <c r="K321" s="2"/>
      <c r="L321" s="2"/>
    </row>
    <row r="322" spans="10:12" ht="21.6" thickBot="1">
      <c r="J322" s="2"/>
      <c r="K322" s="2"/>
      <c r="L322" s="2"/>
    </row>
    <row r="323" spans="10:12" ht="21.6" thickBot="1">
      <c r="J323" s="2"/>
      <c r="K323" s="2"/>
      <c r="L323" s="2"/>
    </row>
    <row r="324" spans="10:12" ht="21.6" thickBot="1">
      <c r="J324" s="2"/>
      <c r="K324" s="2"/>
      <c r="L324" s="2"/>
    </row>
    <row r="325" spans="10:12" ht="21.6" thickBot="1">
      <c r="J325" s="2"/>
      <c r="K325" s="2"/>
      <c r="L325" s="2"/>
    </row>
    <row r="326" spans="10:12" ht="21.6" thickBot="1">
      <c r="J326" s="2"/>
      <c r="K326" s="2"/>
      <c r="L326" s="2"/>
    </row>
    <row r="327" spans="10:12" ht="21.6" thickBot="1">
      <c r="J327" s="2"/>
      <c r="K327" s="2"/>
      <c r="L327" s="2"/>
    </row>
    <row r="328" spans="10:12" ht="21.6" thickBot="1">
      <c r="J328" s="2"/>
      <c r="K328" s="2"/>
      <c r="L328" s="2"/>
    </row>
    <row r="329" spans="10:12" ht="21.6" thickBot="1">
      <c r="J329" s="2"/>
      <c r="K329" s="2"/>
      <c r="L329" s="2"/>
    </row>
    <row r="330" spans="10:12" ht="21.6" thickBot="1">
      <c r="J330" s="2"/>
      <c r="K330" s="2"/>
      <c r="L330" s="2"/>
    </row>
    <row r="331" spans="10:12" ht="21.6" thickBot="1">
      <c r="J331" s="2"/>
      <c r="K331" s="2"/>
      <c r="L331" s="2"/>
    </row>
    <row r="332" spans="10:12" ht="21.6" thickBot="1">
      <c r="J332" s="2"/>
      <c r="K332" s="2"/>
      <c r="L332" s="2"/>
    </row>
    <row r="333" spans="10:12" ht="21.6" thickBot="1">
      <c r="J333" s="2"/>
      <c r="K333" s="2"/>
      <c r="L333" s="2"/>
    </row>
    <row r="334" spans="10:12" ht="21.6" thickBot="1">
      <c r="J334" s="2"/>
      <c r="K334" s="2"/>
      <c r="L334" s="2"/>
    </row>
    <row r="335" spans="10:12" ht="21.6" thickBot="1">
      <c r="J335" s="2"/>
      <c r="K335" s="2"/>
      <c r="L335" s="2"/>
    </row>
    <row r="336" spans="10:12" ht="21.6" thickBot="1">
      <c r="J336" s="2"/>
      <c r="K336" s="2"/>
      <c r="L336" s="2"/>
    </row>
    <row r="337" spans="10:12" ht="21.6" thickBot="1">
      <c r="J337" s="2"/>
      <c r="K337" s="2"/>
      <c r="L337" s="2"/>
    </row>
    <row r="338" spans="10:12" ht="21.6" thickBot="1">
      <c r="J338" s="2"/>
      <c r="K338" s="2"/>
      <c r="L338" s="2"/>
    </row>
    <row r="339" spans="10:12" ht="21.6" thickBot="1">
      <c r="J339" s="2"/>
      <c r="K339" s="2"/>
      <c r="L339" s="2"/>
    </row>
    <row r="340" spans="10:12" ht="21.6" thickBot="1">
      <c r="J340" s="2"/>
      <c r="K340" s="2"/>
      <c r="L340" s="2"/>
    </row>
    <row r="341" spans="10:12" ht="21.6" thickBot="1">
      <c r="J341" s="2"/>
      <c r="K341" s="2"/>
      <c r="L341" s="2"/>
    </row>
    <row r="342" spans="10:12" ht="21.6" thickBot="1">
      <c r="J342" s="2"/>
      <c r="K342" s="2"/>
      <c r="L342" s="2"/>
    </row>
    <row r="343" spans="10:12" ht="21.6" thickBot="1">
      <c r="J343" s="2"/>
      <c r="K343" s="2"/>
      <c r="L343" s="2"/>
    </row>
    <row r="344" spans="10:12" ht="21.6" thickBot="1">
      <c r="J344" s="2"/>
      <c r="K344" s="2"/>
      <c r="L344" s="2"/>
    </row>
    <row r="345" spans="10:12" ht="21.6" thickBot="1">
      <c r="J345" s="2"/>
      <c r="K345" s="2"/>
      <c r="L345" s="2"/>
    </row>
    <row r="346" spans="10:12" ht="21.6" thickBot="1">
      <c r="J346" s="2"/>
      <c r="K346" s="2"/>
      <c r="L346" s="2"/>
    </row>
    <row r="347" spans="10:12" ht="21.6" thickBot="1">
      <c r="J347" s="2"/>
      <c r="K347" s="2"/>
      <c r="L347" s="2"/>
    </row>
    <row r="348" spans="10:12" ht="21.6" thickBot="1">
      <c r="J348" s="2"/>
      <c r="K348" s="2"/>
      <c r="L348" s="2"/>
    </row>
    <row r="349" spans="10:12" ht="21.6" thickBot="1">
      <c r="J349" s="2"/>
      <c r="K349" s="2"/>
      <c r="L349" s="2"/>
    </row>
    <row r="350" spans="10:12" ht="21.6" thickBot="1">
      <c r="J350" s="2"/>
      <c r="K350" s="2"/>
      <c r="L350" s="2"/>
    </row>
    <row r="351" spans="10:12" ht="21.6" thickBot="1">
      <c r="J351" s="2"/>
      <c r="K351" s="2"/>
      <c r="L351" s="2"/>
    </row>
    <row r="352" spans="10:12" ht="21.6" thickBot="1">
      <c r="J352" s="2"/>
      <c r="K352" s="2"/>
      <c r="L352" s="2"/>
    </row>
    <row r="353" spans="10:12" ht="21.6" thickBot="1">
      <c r="J353" s="2"/>
      <c r="K353" s="2"/>
      <c r="L353" s="2"/>
    </row>
    <row r="354" spans="10:12" ht="21.6" thickBot="1">
      <c r="J354" s="2"/>
      <c r="K354" s="2"/>
      <c r="L354" s="2"/>
    </row>
    <row r="355" spans="10:12" ht="21.6" thickBot="1">
      <c r="J355" s="2"/>
      <c r="K355" s="2"/>
      <c r="L355" s="2"/>
    </row>
    <row r="356" spans="10:12" ht="21.6" thickBot="1">
      <c r="J356" s="2"/>
      <c r="K356" s="2"/>
      <c r="L356" s="2"/>
    </row>
    <row r="357" spans="10:12" ht="21.6" thickBot="1">
      <c r="J357" s="2"/>
      <c r="K357" s="2"/>
      <c r="L357" s="2"/>
    </row>
    <row r="358" spans="10:12" ht="21.6" thickBot="1">
      <c r="J358" s="2"/>
      <c r="K358" s="2"/>
      <c r="L358" s="2"/>
    </row>
    <row r="359" spans="10:12" ht="21.6" thickBot="1">
      <c r="J359" s="2"/>
      <c r="K359" s="2"/>
      <c r="L359" s="2"/>
    </row>
    <row r="360" spans="10:12" ht="21.6" thickBot="1">
      <c r="J360" s="2"/>
      <c r="K360" s="2"/>
      <c r="L360" s="2"/>
    </row>
    <row r="361" spans="10:12" ht="21.6" thickBot="1">
      <c r="J361" s="2"/>
      <c r="K361" s="2"/>
      <c r="L361" s="2"/>
    </row>
    <row r="362" spans="10:12" ht="21.6" thickBot="1">
      <c r="J362" s="2"/>
      <c r="K362" s="2"/>
      <c r="L362" s="2"/>
    </row>
    <row r="363" spans="10:12" ht="21.6" thickBot="1">
      <c r="J363" s="2"/>
      <c r="K363" s="2"/>
      <c r="L363" s="2"/>
    </row>
    <row r="364" spans="10:12" ht="21.6" thickBot="1">
      <c r="J364" s="2"/>
      <c r="K364" s="2"/>
      <c r="L364" s="2"/>
    </row>
    <row r="365" spans="10:12" ht="21.6" thickBot="1">
      <c r="J365" s="2"/>
      <c r="K365" s="2"/>
      <c r="L365" s="2"/>
    </row>
    <row r="366" spans="10:12" ht="21.6" thickBot="1">
      <c r="J366" s="2"/>
      <c r="K366" s="2"/>
      <c r="L366" s="2"/>
    </row>
    <row r="367" spans="10:12" ht="21.6" thickBot="1">
      <c r="J367" s="2"/>
      <c r="K367" s="2"/>
      <c r="L367" s="2"/>
    </row>
    <row r="368" spans="10:12" ht="21.6" thickBot="1">
      <c r="J368" s="2"/>
      <c r="K368" s="2"/>
      <c r="L368" s="2"/>
    </row>
    <row r="369" spans="10:12" ht="21.6" thickBot="1">
      <c r="J369" s="2"/>
      <c r="K369" s="2"/>
      <c r="L369" s="2"/>
    </row>
    <row r="370" spans="10:12" ht="21.6" thickBot="1">
      <c r="J370" s="2"/>
      <c r="K370" s="2"/>
      <c r="L370" s="2"/>
    </row>
    <row r="371" spans="10:12" ht="21.6" thickBot="1">
      <c r="J371" s="2"/>
      <c r="K371" s="2"/>
      <c r="L371" s="2"/>
    </row>
    <row r="372" spans="10:12" ht="21.6" thickBot="1">
      <c r="J372" s="2"/>
      <c r="K372" s="2"/>
      <c r="L372" s="2"/>
    </row>
    <row r="373" spans="10:12" ht="21.6" thickBot="1">
      <c r="J373" s="2"/>
      <c r="K373" s="2"/>
      <c r="L373" s="2"/>
    </row>
    <row r="374" spans="10:12" ht="21.6" thickBot="1">
      <c r="J374" s="2"/>
      <c r="K374" s="2"/>
      <c r="L374" s="2"/>
    </row>
    <row r="375" spans="10:12" ht="21.6" thickBot="1">
      <c r="J375" s="2"/>
      <c r="K375" s="2"/>
      <c r="L375" s="2"/>
    </row>
    <row r="376" spans="10:12" ht="21.6" thickBot="1">
      <c r="J376" s="2"/>
      <c r="K376" s="2"/>
      <c r="L376" s="2"/>
    </row>
    <row r="377" spans="10:12" ht="21.6" thickBot="1">
      <c r="J377" s="2"/>
      <c r="K377" s="2"/>
      <c r="L377" s="2"/>
    </row>
    <row r="378" spans="10:12" ht="21.6" thickBot="1">
      <c r="J378" s="2"/>
      <c r="K378" s="2"/>
      <c r="L378" s="2"/>
    </row>
    <row r="379" spans="10:12" ht="21.6" thickBot="1">
      <c r="J379" s="2"/>
      <c r="K379" s="2"/>
      <c r="L379" s="2"/>
    </row>
    <row r="380" spans="10:12" ht="21.6" thickBot="1">
      <c r="J380" s="2"/>
      <c r="K380" s="2"/>
      <c r="L380" s="2"/>
    </row>
    <row r="381" spans="10:12" ht="21.6" thickBot="1">
      <c r="J381" s="2"/>
      <c r="K381" s="2"/>
      <c r="L381" s="2"/>
    </row>
    <row r="382" spans="10:12" ht="21.6" thickBot="1">
      <c r="J382" s="2"/>
      <c r="K382" s="2"/>
      <c r="L382" s="2"/>
    </row>
    <row r="383" spans="10:12" ht="21.6" thickBot="1">
      <c r="J383" s="2"/>
      <c r="K383" s="2"/>
      <c r="L383" s="2"/>
    </row>
    <row r="384" spans="10:12" ht="21.6" thickBot="1">
      <c r="J384" s="2"/>
      <c r="K384" s="2"/>
      <c r="L384" s="2"/>
    </row>
    <row r="385" spans="10:12" ht="21.6" thickBot="1">
      <c r="J385" s="2"/>
      <c r="K385" s="2"/>
      <c r="L385" s="2"/>
    </row>
    <row r="386" spans="10:12" ht="21.6" thickBot="1">
      <c r="J386" s="2"/>
      <c r="K386" s="2"/>
      <c r="L386" s="2"/>
    </row>
    <row r="387" spans="10:12" ht="21.6" thickBot="1">
      <c r="J387" s="2"/>
      <c r="K387" s="2"/>
      <c r="L387" s="2"/>
    </row>
    <row r="388" spans="10:12" ht="21.6" thickBot="1">
      <c r="J388" s="2"/>
      <c r="K388" s="2"/>
      <c r="L388" s="2"/>
    </row>
    <row r="389" spans="10:12" ht="21.6" thickBot="1">
      <c r="J389" s="2"/>
      <c r="K389" s="2"/>
      <c r="L389" s="2"/>
    </row>
    <row r="390" spans="10:12" ht="21.6" thickBot="1">
      <c r="J390" s="2"/>
      <c r="K390" s="2"/>
      <c r="L390" s="2"/>
    </row>
    <row r="391" spans="10:12" ht="21.6" thickBot="1">
      <c r="J391" s="2"/>
      <c r="K391" s="2"/>
      <c r="L391" s="2"/>
    </row>
    <row r="392" spans="10:12" ht="21.6" thickBot="1">
      <c r="J392" s="2"/>
      <c r="K392" s="2"/>
      <c r="L392" s="2"/>
    </row>
    <row r="393" spans="10:12" ht="21.6" thickBot="1">
      <c r="J393" s="2"/>
      <c r="K393" s="2"/>
      <c r="L393" s="2"/>
    </row>
    <row r="394" spans="10:12" ht="21.6" thickBot="1">
      <c r="J394" s="2"/>
      <c r="K394" s="2"/>
      <c r="L394" s="2"/>
    </row>
    <row r="395" spans="10:12" ht="21.6" thickBot="1">
      <c r="J395" s="2"/>
      <c r="K395" s="2"/>
      <c r="L395" s="2"/>
    </row>
    <row r="396" spans="10:12" ht="21.6" thickBot="1">
      <c r="J396" s="2"/>
      <c r="K396" s="2"/>
      <c r="L396" s="2"/>
    </row>
    <row r="397" spans="10:12" ht="21.6" thickBot="1">
      <c r="J397" s="2"/>
      <c r="K397" s="2"/>
      <c r="L397" s="2"/>
    </row>
    <row r="398" spans="10:12" ht="21.6" thickBot="1">
      <c r="J398" s="2"/>
      <c r="K398" s="2"/>
      <c r="L398" s="2"/>
    </row>
    <row r="399" spans="10:12" ht="21.6" thickBot="1">
      <c r="J399" s="2"/>
      <c r="K399" s="2"/>
      <c r="L399" s="2"/>
    </row>
    <row r="400" spans="10:12" ht="21.6" thickBot="1">
      <c r="J400" s="2"/>
      <c r="K400" s="2"/>
      <c r="L400" s="2"/>
    </row>
    <row r="401" spans="10:12" ht="21.6" thickBot="1">
      <c r="J401" s="2"/>
      <c r="K401" s="2"/>
      <c r="L401" s="2"/>
    </row>
    <row r="402" spans="10:12" ht="21.6" thickBot="1">
      <c r="J402" s="2"/>
      <c r="K402" s="2"/>
      <c r="L402" s="2"/>
    </row>
    <row r="403" spans="10:12" ht="21.6" thickBot="1">
      <c r="J403" s="2"/>
      <c r="K403" s="2"/>
      <c r="L403" s="2"/>
    </row>
    <row r="404" spans="10:12" ht="21.6" thickBot="1">
      <c r="J404" s="2"/>
      <c r="K404" s="2"/>
      <c r="L404" s="2"/>
    </row>
    <row r="405" spans="10:12" ht="21.6" thickBot="1">
      <c r="J405" s="2"/>
      <c r="K405" s="2"/>
      <c r="L405" s="2"/>
    </row>
    <row r="406" spans="10:12" ht="21.6" thickBot="1">
      <c r="J406" s="2"/>
      <c r="K406" s="2"/>
      <c r="L406" s="2"/>
    </row>
    <row r="407" spans="10:12" ht="21.6" thickBot="1">
      <c r="J407" s="2"/>
      <c r="K407" s="2"/>
      <c r="L407" s="2"/>
    </row>
    <row r="408" spans="10:12" ht="21.6" thickBot="1">
      <c r="J408" s="2"/>
      <c r="K408" s="2"/>
      <c r="L408" s="2"/>
    </row>
    <row r="409" spans="10:12" ht="21.6" thickBot="1">
      <c r="J409" s="2"/>
      <c r="K409" s="2"/>
      <c r="L409" s="2"/>
    </row>
    <row r="410" spans="10:12" ht="21.6" thickBot="1">
      <c r="J410" s="2"/>
      <c r="K410" s="2"/>
      <c r="L410" s="2"/>
    </row>
    <row r="411" spans="10:12" ht="21.6" thickBot="1">
      <c r="J411" s="2"/>
      <c r="K411" s="2"/>
      <c r="L411" s="2"/>
    </row>
    <row r="412" spans="10:12" ht="21.6" thickBot="1">
      <c r="J412" s="2"/>
      <c r="K412" s="2"/>
      <c r="L412" s="2"/>
    </row>
    <row r="413" spans="10:12" ht="21.6" thickBot="1">
      <c r="J413" s="2"/>
      <c r="K413" s="2"/>
      <c r="L413" s="2"/>
    </row>
    <row r="414" spans="10:12" ht="21.6" thickBot="1">
      <c r="J414" s="2"/>
      <c r="K414" s="2"/>
      <c r="L414" s="2"/>
    </row>
    <row r="415" spans="10:12" ht="21.6" thickBot="1">
      <c r="J415" s="2"/>
      <c r="K415" s="2"/>
      <c r="L415" s="2"/>
    </row>
    <row r="416" spans="10:12" ht="21.6" thickBot="1">
      <c r="J416" s="2"/>
      <c r="K416" s="2"/>
      <c r="L416" s="2"/>
    </row>
    <row r="417" spans="10:12" ht="21.6" thickBot="1">
      <c r="J417" s="2"/>
      <c r="K417" s="2"/>
      <c r="L417" s="2"/>
    </row>
    <row r="418" spans="10:12" ht="21.6" thickBot="1">
      <c r="J418" s="2"/>
      <c r="K418" s="2"/>
      <c r="L418" s="2"/>
    </row>
    <row r="419" spans="10:12" ht="21.6" thickBot="1">
      <c r="J419" s="2"/>
      <c r="K419" s="2"/>
      <c r="L419" s="2"/>
    </row>
    <row r="420" spans="10:12" ht="21.6" thickBot="1">
      <c r="J420" s="2"/>
      <c r="K420" s="2"/>
      <c r="L420" s="2"/>
    </row>
    <row r="421" spans="10:12" ht="21.6" thickBot="1">
      <c r="J421" s="2"/>
      <c r="K421" s="2"/>
      <c r="L421" s="2"/>
    </row>
    <row r="422" spans="10:12" ht="21.6" thickBot="1">
      <c r="J422" s="2"/>
      <c r="K422" s="2"/>
      <c r="L422" s="2"/>
    </row>
    <row r="423" spans="10:12" ht="21.6" thickBot="1">
      <c r="J423" s="2"/>
      <c r="K423" s="2"/>
      <c r="L423" s="2"/>
    </row>
    <row r="424" spans="10:12" ht="21.6" thickBot="1">
      <c r="J424" s="2"/>
      <c r="K424" s="2"/>
      <c r="L424" s="2"/>
    </row>
    <row r="425" spans="10:12" ht="21.6" thickBot="1">
      <c r="J425" s="2"/>
      <c r="K425" s="2"/>
      <c r="L425" s="2"/>
    </row>
    <row r="426" spans="10:12" ht="21.6" thickBot="1">
      <c r="J426" s="2"/>
      <c r="K426" s="2"/>
      <c r="L426" s="2"/>
    </row>
    <row r="427" spans="10:12" ht="21.6" thickBot="1">
      <c r="J427" s="2"/>
      <c r="K427" s="2"/>
      <c r="L427" s="2"/>
    </row>
    <row r="428" spans="10:12" ht="21.6" thickBot="1">
      <c r="J428" s="2"/>
      <c r="K428" s="2"/>
      <c r="L428" s="2"/>
    </row>
    <row r="429" spans="10:12" ht="21.6" thickBot="1">
      <c r="J429" s="2"/>
      <c r="K429" s="2"/>
      <c r="L429" s="2"/>
    </row>
    <row r="430" spans="10:12" ht="21.6" thickBot="1">
      <c r="J430" s="2"/>
      <c r="K430" s="2"/>
      <c r="L430" s="2"/>
    </row>
    <row r="431" spans="10:12" ht="21.6" thickBot="1">
      <c r="J431" s="2"/>
      <c r="K431" s="2"/>
      <c r="L431" s="2"/>
    </row>
    <row r="432" spans="10:12" ht="21.6" thickBot="1">
      <c r="J432" s="2"/>
      <c r="K432" s="2"/>
      <c r="L432" s="2"/>
    </row>
    <row r="433" spans="10:12" ht="21.6" thickBot="1">
      <c r="J433" s="2"/>
      <c r="K433" s="2"/>
      <c r="L433" s="2"/>
    </row>
    <row r="434" spans="10:12" ht="21.6" thickBot="1">
      <c r="J434" s="2"/>
      <c r="K434" s="2"/>
      <c r="L434" s="2"/>
    </row>
    <row r="435" spans="10:12" ht="21.6" thickBot="1">
      <c r="J435" s="2"/>
      <c r="K435" s="2"/>
      <c r="L435" s="2"/>
    </row>
    <row r="436" spans="10:12" ht="21.6" thickBot="1">
      <c r="J436" s="2"/>
      <c r="K436" s="2"/>
      <c r="L436" s="2"/>
    </row>
    <row r="437" spans="10:12" ht="21.6" thickBot="1">
      <c r="J437" s="2"/>
      <c r="K437" s="2"/>
      <c r="L437" s="2"/>
    </row>
    <row r="438" spans="10:12" ht="21.6" thickBot="1">
      <c r="J438" s="2"/>
      <c r="K438" s="2"/>
      <c r="L438" s="2"/>
    </row>
    <row r="439" spans="10:12" ht="21.6" thickBot="1">
      <c r="J439" s="2"/>
      <c r="K439" s="2"/>
      <c r="L439" s="2"/>
    </row>
    <row r="440" spans="10:12" ht="21.6" thickBot="1">
      <c r="J440" s="2"/>
      <c r="K440" s="2"/>
      <c r="L440" s="2"/>
    </row>
    <row r="441" spans="10:12" ht="21.6" thickBot="1">
      <c r="J441" s="2"/>
      <c r="K441" s="2"/>
      <c r="L441" s="2"/>
    </row>
    <row r="442" spans="10:12" ht="21.6" thickBot="1">
      <c r="J442" s="2"/>
      <c r="K442" s="2"/>
      <c r="L442" s="2"/>
    </row>
    <row r="443" spans="10:12" ht="21.6" thickBot="1">
      <c r="J443" s="2"/>
      <c r="K443" s="2"/>
      <c r="L443" s="2"/>
    </row>
    <row r="444" spans="10:12" ht="21.6" thickBot="1">
      <c r="J444" s="2"/>
      <c r="K444" s="2"/>
      <c r="L444" s="2"/>
    </row>
    <row r="445" spans="10:12" ht="21.6" thickBot="1">
      <c r="J445" s="2"/>
      <c r="K445" s="2"/>
      <c r="L445" s="2"/>
    </row>
    <row r="446" spans="10:12" ht="21.6" thickBot="1">
      <c r="J446" s="2"/>
      <c r="K446" s="2"/>
      <c r="L446" s="2"/>
    </row>
    <row r="447" spans="10:12" ht="21.6" thickBot="1">
      <c r="J447" s="2"/>
      <c r="K447" s="2"/>
      <c r="L447" s="2"/>
    </row>
    <row r="448" spans="10:12" ht="21.6" thickBot="1">
      <c r="J448" s="2"/>
      <c r="K448" s="2"/>
      <c r="L448" s="2"/>
    </row>
    <row r="449" spans="10:12" ht="21.6" thickBot="1">
      <c r="J449" s="2"/>
      <c r="K449" s="2"/>
      <c r="L449" s="2"/>
    </row>
    <row r="450" spans="10:12" ht="21.6" thickBot="1">
      <c r="J450" s="2"/>
      <c r="K450" s="2"/>
      <c r="L450" s="2"/>
    </row>
    <row r="451" spans="10:12" ht="21.6" thickBot="1">
      <c r="J451" s="2"/>
      <c r="K451" s="2"/>
      <c r="L451" s="2"/>
    </row>
    <row r="452" spans="10:12" ht="21.6" thickBot="1">
      <c r="J452" s="2"/>
      <c r="K452" s="2"/>
      <c r="L452" s="2"/>
    </row>
    <row r="453" spans="10:12" ht="21.6" thickBot="1">
      <c r="J453" s="2"/>
      <c r="K453" s="2"/>
      <c r="L453" s="2"/>
    </row>
    <row r="454" spans="10:12" ht="21.6" thickBot="1">
      <c r="J454" s="2"/>
      <c r="K454" s="2"/>
      <c r="L454" s="2"/>
    </row>
    <row r="455" spans="10:12" ht="21.6" thickBot="1">
      <c r="J455" s="2"/>
      <c r="K455" s="2"/>
      <c r="L455" s="2"/>
    </row>
    <row r="456" spans="10:12" ht="21.6" thickBot="1">
      <c r="J456" s="2"/>
      <c r="K456" s="2"/>
      <c r="L456" s="2"/>
    </row>
    <row r="457" spans="10:12" ht="21.6" thickBot="1">
      <c r="J457" s="2"/>
      <c r="K457" s="2"/>
      <c r="L457" s="2"/>
    </row>
    <row r="458" spans="10:12" ht="21.6" thickBot="1">
      <c r="J458" s="2"/>
      <c r="K458" s="2"/>
      <c r="L458" s="2"/>
    </row>
    <row r="459" spans="10:12" ht="21.6" thickBot="1">
      <c r="J459" s="2"/>
      <c r="K459" s="2"/>
      <c r="L459" s="2"/>
    </row>
    <row r="460" spans="10:12" ht="21.6" thickBot="1">
      <c r="J460" s="2"/>
      <c r="K460" s="2"/>
      <c r="L460" s="2"/>
    </row>
    <row r="461" spans="10:12" ht="21.6" thickBot="1">
      <c r="J461" s="2"/>
      <c r="K461" s="2"/>
      <c r="L461" s="2"/>
    </row>
    <row r="462" spans="10:12" ht="21.6" thickBot="1">
      <c r="J462" s="2"/>
      <c r="K462" s="2"/>
      <c r="L462" s="2"/>
    </row>
    <row r="463" spans="10:12" ht="21.6" thickBot="1">
      <c r="J463" s="2"/>
      <c r="K463" s="2"/>
      <c r="L463" s="2"/>
    </row>
    <row r="464" spans="10:12" ht="21.6" thickBot="1">
      <c r="J464" s="2"/>
      <c r="K464" s="2"/>
      <c r="L464" s="2"/>
    </row>
    <row r="465" spans="10:12" ht="21.6" thickBot="1">
      <c r="J465" s="2"/>
      <c r="K465" s="2"/>
      <c r="L465" s="2"/>
    </row>
    <row r="466" spans="10:12" ht="21.6" thickBot="1">
      <c r="J466" s="2"/>
      <c r="K466" s="2"/>
      <c r="L466" s="2"/>
    </row>
    <row r="467" spans="10:12" ht="21.6" thickBot="1">
      <c r="J467" s="2"/>
      <c r="K467" s="2"/>
      <c r="L467" s="2"/>
    </row>
    <row r="468" spans="10:12" ht="21.6" thickBot="1">
      <c r="J468" s="2"/>
      <c r="K468" s="2"/>
      <c r="L468" s="2"/>
    </row>
    <row r="469" spans="10:12" ht="21.6" thickBot="1">
      <c r="J469" s="2"/>
      <c r="K469" s="2"/>
      <c r="L469" s="2"/>
    </row>
    <row r="470" spans="10:12" ht="21.6" thickBot="1">
      <c r="J470" s="2"/>
      <c r="K470" s="2"/>
      <c r="L470" s="2"/>
    </row>
    <row r="471" spans="10:12" ht="21.6" thickBot="1">
      <c r="J471" s="2"/>
      <c r="K471" s="2"/>
      <c r="L471" s="2"/>
    </row>
    <row r="472" spans="10:12" ht="21.6" thickBot="1">
      <c r="J472" s="2"/>
      <c r="K472" s="2"/>
      <c r="L472" s="2"/>
    </row>
    <row r="473" spans="10:12" ht="21.6" thickBot="1">
      <c r="J473" s="2"/>
      <c r="K473" s="2"/>
      <c r="L473" s="2"/>
    </row>
    <row r="474" spans="10:12" ht="21.6" thickBot="1">
      <c r="J474" s="2"/>
      <c r="K474" s="2"/>
      <c r="L474" s="2"/>
    </row>
    <row r="475" spans="10:12" ht="21.6" thickBot="1">
      <c r="J475" s="2"/>
      <c r="K475" s="2"/>
      <c r="L475" s="2"/>
    </row>
    <row r="476" spans="10:12" ht="21.6" thickBot="1">
      <c r="J476" s="2"/>
      <c r="K476" s="2"/>
      <c r="L476" s="2"/>
    </row>
    <row r="477" spans="10:12" ht="21.6" thickBot="1">
      <c r="J477" s="2"/>
      <c r="K477" s="2"/>
      <c r="L477" s="2"/>
    </row>
    <row r="478" spans="10:12" ht="21.6" thickBot="1">
      <c r="J478" s="2"/>
      <c r="K478" s="2"/>
      <c r="L478" s="2"/>
    </row>
    <row r="479" spans="10:12" ht="21.6" thickBot="1">
      <c r="J479" s="2"/>
      <c r="K479" s="2"/>
      <c r="L479" s="2"/>
    </row>
    <row r="480" spans="10:12" ht="21.6" thickBot="1">
      <c r="J480" s="2"/>
      <c r="K480" s="2"/>
      <c r="L480" s="2"/>
    </row>
    <row r="481" spans="10:12" ht="21.6" thickBot="1">
      <c r="J481" s="2"/>
      <c r="K481" s="2"/>
      <c r="L481" s="2"/>
    </row>
    <row r="482" spans="10:12" ht="21.6" thickBot="1">
      <c r="J482" s="2"/>
      <c r="K482" s="2"/>
      <c r="L482" s="2"/>
    </row>
    <row r="483" spans="10:12" ht="21.6" thickBot="1">
      <c r="J483" s="2"/>
      <c r="K483" s="2"/>
      <c r="L483" s="2"/>
    </row>
    <row r="484" spans="10:12" ht="21.6" thickBot="1">
      <c r="J484" s="2"/>
      <c r="K484" s="2"/>
      <c r="L484" s="2"/>
    </row>
    <row r="485" spans="10:12" ht="21.6" thickBot="1">
      <c r="J485" s="2"/>
      <c r="K485" s="2"/>
      <c r="L485" s="2"/>
    </row>
    <row r="486" spans="10:12" ht="21.6" thickBot="1">
      <c r="J486" s="2"/>
      <c r="K486" s="2"/>
      <c r="L486" s="2"/>
    </row>
    <row r="487" spans="10:12" ht="21.6" thickBot="1">
      <c r="J487" s="2"/>
      <c r="K487" s="2"/>
      <c r="L487" s="2"/>
    </row>
    <row r="488" spans="10:12" ht="21.6" thickBot="1">
      <c r="J488" s="2"/>
      <c r="K488" s="2"/>
      <c r="L488" s="2"/>
    </row>
    <row r="489" spans="10:12" ht="21.6" thickBot="1">
      <c r="J489" s="2"/>
      <c r="K489" s="2"/>
      <c r="L489" s="2"/>
    </row>
    <row r="490" spans="10:12" ht="21.6" thickBot="1">
      <c r="J490" s="2"/>
      <c r="K490" s="2"/>
      <c r="L490" s="2"/>
    </row>
    <row r="491" spans="10:12" ht="21.6" thickBot="1">
      <c r="J491" s="2"/>
      <c r="K491" s="2"/>
      <c r="L491" s="2"/>
    </row>
    <row r="492" spans="10:12" ht="21.6" thickBot="1">
      <c r="J492" s="2"/>
      <c r="K492" s="2"/>
      <c r="L492" s="2"/>
    </row>
    <row r="493" spans="10:12" ht="21.6" thickBot="1">
      <c r="J493" s="2"/>
      <c r="K493" s="2"/>
      <c r="L493" s="2"/>
    </row>
    <row r="494" spans="10:12" ht="21.6" thickBot="1">
      <c r="J494" s="2"/>
      <c r="K494" s="2"/>
      <c r="L494" s="2"/>
    </row>
    <row r="495" spans="10:12" ht="21.6" thickBot="1">
      <c r="J495" s="2"/>
      <c r="K495" s="2"/>
      <c r="L495" s="2"/>
    </row>
    <row r="496" spans="10:12" ht="21.6" thickBot="1">
      <c r="J496" s="2"/>
      <c r="K496" s="2"/>
      <c r="L496" s="2"/>
    </row>
    <row r="497" spans="10:12" ht="21.6" thickBot="1">
      <c r="J497" s="2"/>
      <c r="K497" s="2"/>
      <c r="L497" s="2"/>
    </row>
    <row r="498" spans="10:12" ht="21.6" thickBot="1">
      <c r="J498" s="2"/>
      <c r="K498" s="2"/>
      <c r="L498" s="2"/>
    </row>
    <row r="499" spans="10:12" ht="21.6" thickBot="1">
      <c r="J499" s="2"/>
      <c r="K499" s="2"/>
      <c r="L499" s="2"/>
    </row>
    <row r="500" spans="10:12" ht="21.6" thickBot="1">
      <c r="J500" s="2"/>
      <c r="K500" s="2"/>
      <c r="L500" s="2"/>
    </row>
    <row r="501" spans="10:12" ht="21.6" thickBot="1">
      <c r="J501" s="2"/>
      <c r="K501" s="2"/>
      <c r="L501" s="2"/>
    </row>
    <row r="502" spans="10:12" ht="21.6" thickBot="1">
      <c r="J502" s="2"/>
      <c r="K502" s="2"/>
      <c r="L502" s="2"/>
    </row>
    <row r="503" spans="10:12" ht="21.6" thickBot="1">
      <c r="J503" s="2"/>
      <c r="K503" s="2"/>
      <c r="L503" s="2"/>
    </row>
    <row r="504" spans="10:12" ht="21.6" thickBot="1">
      <c r="J504" s="2"/>
      <c r="K504" s="2"/>
      <c r="L504" s="2"/>
    </row>
    <row r="505" spans="10:12" ht="21.6" thickBot="1">
      <c r="J505" s="2"/>
      <c r="K505" s="2"/>
      <c r="L505" s="2"/>
    </row>
    <row r="506" spans="10:12" ht="21.6" thickBot="1">
      <c r="J506" s="2"/>
      <c r="K506" s="2"/>
      <c r="L506" s="2"/>
    </row>
    <row r="507" spans="10:12" ht="21.6" thickBot="1">
      <c r="J507" s="2"/>
      <c r="K507" s="2"/>
      <c r="L507" s="2"/>
    </row>
    <row r="508" spans="10:12" ht="21.6" thickBot="1">
      <c r="J508" s="2"/>
      <c r="K508" s="2"/>
      <c r="L508" s="2"/>
    </row>
    <row r="509" spans="10:12" ht="21.6" thickBot="1">
      <c r="J509" s="2"/>
      <c r="K509" s="2"/>
      <c r="L509" s="2"/>
    </row>
    <row r="510" spans="10:12" ht="21.6" thickBot="1">
      <c r="J510" s="2"/>
      <c r="K510" s="2"/>
      <c r="L510" s="2"/>
    </row>
    <row r="511" spans="10:12" ht="21.6" thickBot="1">
      <c r="J511" s="2"/>
      <c r="K511" s="2"/>
      <c r="L511" s="2"/>
    </row>
    <row r="512" spans="10:12" ht="21.6" thickBot="1">
      <c r="J512" s="2"/>
      <c r="K512" s="2"/>
      <c r="L512" s="2"/>
    </row>
    <row r="513" spans="10:12" ht="21.6" thickBot="1">
      <c r="J513" s="2"/>
      <c r="K513" s="2"/>
      <c r="L513" s="2"/>
    </row>
    <row r="514" spans="10:12" ht="21.6" thickBot="1">
      <c r="J514" s="2"/>
      <c r="K514" s="2"/>
      <c r="L514" s="2"/>
    </row>
    <row r="515" spans="10:12" ht="21.6" thickBot="1">
      <c r="J515" s="2"/>
      <c r="K515" s="2"/>
      <c r="L515" s="2"/>
    </row>
    <row r="516" spans="10:12" ht="21.6" thickBot="1">
      <c r="J516" s="2"/>
      <c r="K516" s="2"/>
      <c r="L516" s="2"/>
    </row>
    <row r="517" spans="10:12" ht="21.6" thickBot="1">
      <c r="J517" s="2"/>
      <c r="K517" s="2"/>
      <c r="L517" s="2"/>
    </row>
    <row r="518" spans="10:12" ht="21.6" thickBot="1">
      <c r="J518" s="2"/>
      <c r="K518" s="2"/>
      <c r="L518" s="2"/>
    </row>
    <row r="519" spans="10:12" ht="21.6" thickBot="1">
      <c r="J519" s="2"/>
      <c r="K519" s="2"/>
      <c r="L519" s="2"/>
    </row>
    <row r="520" spans="10:12" ht="21.6" thickBot="1">
      <c r="J520" s="2"/>
      <c r="K520" s="2"/>
      <c r="L520" s="2"/>
    </row>
    <row r="521" spans="10:12" ht="21.6" thickBot="1">
      <c r="J521" s="2"/>
      <c r="K521" s="2"/>
      <c r="L521" s="2"/>
    </row>
    <row r="522" spans="10:12" ht="21.6" thickBot="1">
      <c r="J522" s="2"/>
      <c r="K522" s="2"/>
      <c r="L522" s="2"/>
    </row>
    <row r="523" spans="10:12" ht="21.6" thickBot="1">
      <c r="J523" s="2"/>
      <c r="K523" s="2"/>
      <c r="L523" s="2"/>
    </row>
    <row r="524" spans="10:12" ht="21.6" thickBot="1">
      <c r="J524" s="2"/>
      <c r="K524" s="2"/>
      <c r="L524" s="2"/>
    </row>
    <row r="525" spans="10:12" ht="21.6" thickBot="1">
      <c r="J525" s="2"/>
      <c r="K525" s="2"/>
      <c r="L525" s="2"/>
    </row>
    <row r="526" spans="10:12" ht="21.6" thickBot="1">
      <c r="J526" s="2"/>
      <c r="K526" s="2"/>
      <c r="L526" s="2"/>
    </row>
    <row r="527" spans="10:12" ht="21.6" thickBot="1">
      <c r="J527" s="2"/>
      <c r="K527" s="2"/>
      <c r="L527" s="2"/>
    </row>
    <row r="528" spans="10:12" ht="21.6" thickBot="1">
      <c r="J528" s="2"/>
      <c r="K528" s="2"/>
      <c r="L528" s="2"/>
    </row>
    <row r="529" spans="10:12" ht="21.6" thickBot="1">
      <c r="J529" s="2"/>
      <c r="K529" s="2"/>
      <c r="L529" s="2"/>
    </row>
    <row r="530" spans="10:12" ht="21.6" thickBot="1">
      <c r="J530" s="2"/>
      <c r="K530" s="2"/>
      <c r="L530" s="2"/>
    </row>
    <row r="531" spans="10:12" ht="21.6" thickBot="1">
      <c r="J531" s="2"/>
      <c r="K531" s="2"/>
      <c r="L531" s="2"/>
    </row>
    <row r="532" spans="10:12" ht="21.6" thickBot="1">
      <c r="J532" s="2"/>
      <c r="K532" s="2"/>
      <c r="L532" s="2"/>
    </row>
    <row r="533" spans="10:12" ht="21.6" thickBot="1">
      <c r="J533" s="2"/>
      <c r="K533" s="2"/>
      <c r="L533" s="2"/>
    </row>
    <row r="534" spans="10:12" ht="21.6" thickBot="1">
      <c r="J534" s="2"/>
      <c r="K534" s="2"/>
      <c r="L534" s="2"/>
    </row>
    <row r="535" spans="10:12" ht="21.6" thickBot="1">
      <c r="J535" s="2"/>
      <c r="K535" s="2"/>
      <c r="L535" s="2"/>
    </row>
    <row r="536" spans="10:12" ht="21.6" thickBot="1">
      <c r="J536" s="2"/>
      <c r="K536" s="2"/>
      <c r="L536" s="2"/>
    </row>
    <row r="537" spans="10:12" ht="21.6" thickBot="1">
      <c r="J537" s="2"/>
      <c r="K537" s="2"/>
      <c r="L537" s="2"/>
    </row>
    <row r="538" spans="10:12" ht="21.6" thickBot="1">
      <c r="J538" s="2"/>
      <c r="K538" s="2"/>
      <c r="L538" s="2"/>
    </row>
    <row r="539" spans="10:12" ht="21.6" thickBot="1">
      <c r="J539" s="2"/>
      <c r="K539" s="2"/>
      <c r="L539" s="2"/>
    </row>
    <row r="540" spans="10:12" ht="21.6" thickBot="1">
      <c r="J540" s="2"/>
      <c r="K540" s="2"/>
      <c r="L540" s="2"/>
    </row>
    <row r="541" spans="10:12" ht="21.6" thickBot="1">
      <c r="J541" s="2"/>
      <c r="K541" s="2"/>
      <c r="L541" s="2"/>
    </row>
    <row r="542" spans="10:12" ht="21.6" thickBot="1">
      <c r="J542" s="2"/>
      <c r="K542" s="2"/>
      <c r="L542" s="2"/>
    </row>
    <row r="543" spans="10:12" ht="21.6" thickBot="1">
      <c r="J543" s="2"/>
      <c r="K543" s="2"/>
      <c r="L543" s="2"/>
    </row>
    <row r="544" spans="10:12" ht="21.6" thickBot="1">
      <c r="J544" s="2"/>
      <c r="K544" s="2"/>
      <c r="L544" s="2"/>
    </row>
    <row r="545" spans="10:12" ht="21.6" thickBot="1">
      <c r="J545" s="2"/>
      <c r="K545" s="2"/>
      <c r="L545" s="2"/>
    </row>
    <row r="546" spans="10:12" ht="21.6" thickBot="1">
      <c r="J546" s="2"/>
      <c r="K546" s="2"/>
      <c r="L546" s="2"/>
    </row>
    <row r="547" spans="10:12" ht="21.6" thickBot="1">
      <c r="J547" s="2"/>
      <c r="K547" s="2"/>
      <c r="L547" s="2"/>
    </row>
    <row r="548" spans="10:12" ht="21.6" thickBot="1">
      <c r="J548" s="2"/>
      <c r="K548" s="2"/>
      <c r="L548" s="2"/>
    </row>
    <row r="549" spans="10:12" ht="21.6" thickBot="1">
      <c r="J549" s="2"/>
      <c r="K549" s="2"/>
      <c r="L549" s="2"/>
    </row>
    <row r="550" spans="10:12" ht="21.6" thickBot="1">
      <c r="J550" s="2"/>
      <c r="K550" s="2"/>
      <c r="L550" s="2"/>
    </row>
    <row r="551" spans="10:12" ht="21.6" thickBot="1">
      <c r="J551" s="2"/>
      <c r="K551" s="2"/>
      <c r="L551" s="2"/>
    </row>
    <row r="552" spans="10:12" ht="21.6" thickBot="1">
      <c r="J552" s="2"/>
      <c r="K552" s="2"/>
      <c r="L552" s="2"/>
    </row>
    <row r="553" spans="10:12" ht="21.6" thickBot="1">
      <c r="J553" s="2"/>
      <c r="K553" s="2"/>
      <c r="L553" s="2"/>
    </row>
    <row r="554" spans="10:12" ht="21.6" thickBot="1">
      <c r="J554" s="2"/>
      <c r="K554" s="2"/>
      <c r="L554" s="2"/>
    </row>
    <row r="555" spans="10:12" ht="21.6" thickBot="1">
      <c r="J555" s="2"/>
      <c r="K555" s="2"/>
      <c r="L555" s="2"/>
    </row>
    <row r="556" spans="10:12" ht="21.6" thickBot="1">
      <c r="J556" s="2"/>
      <c r="K556" s="2"/>
      <c r="L556" s="2"/>
    </row>
    <row r="557" spans="10:12" ht="21.6" thickBot="1">
      <c r="J557" s="2"/>
      <c r="K557" s="2"/>
      <c r="L557" s="2"/>
    </row>
    <row r="558" spans="10:12" ht="21.6" thickBot="1">
      <c r="J558" s="2"/>
      <c r="K558" s="2"/>
      <c r="L558" s="2"/>
    </row>
    <row r="559" spans="10:12" ht="21.6" thickBot="1">
      <c r="J559" s="2"/>
      <c r="K559" s="2"/>
      <c r="L559" s="2"/>
    </row>
    <row r="560" spans="10:12" ht="21.6" thickBot="1">
      <c r="J560" s="2"/>
      <c r="K560" s="2"/>
      <c r="L560" s="2"/>
    </row>
    <row r="561" spans="10:12" ht="21.6" thickBot="1">
      <c r="J561" s="2"/>
      <c r="K561" s="2"/>
      <c r="L561" s="2"/>
    </row>
    <row r="562" spans="10:12" ht="21.6" thickBot="1">
      <c r="J562" s="2"/>
      <c r="K562" s="2"/>
      <c r="L562" s="2"/>
    </row>
    <row r="563" spans="10:12" ht="21.6" thickBot="1">
      <c r="J563" s="2"/>
      <c r="K563" s="2"/>
      <c r="L563" s="2"/>
    </row>
    <row r="564" spans="10:12" ht="21.6" thickBot="1">
      <c r="J564" s="2"/>
      <c r="K564" s="2"/>
      <c r="L564" s="2"/>
    </row>
    <row r="565" spans="10:12" ht="21.6" thickBot="1">
      <c r="J565" s="2"/>
      <c r="K565" s="2"/>
      <c r="L565" s="2"/>
    </row>
    <row r="566" spans="10:12" ht="21.6" thickBot="1">
      <c r="J566" s="2"/>
      <c r="K566" s="2"/>
      <c r="L566" s="2"/>
    </row>
    <row r="567" spans="10:12" ht="21.6" thickBot="1">
      <c r="J567" s="2"/>
      <c r="K567" s="2"/>
      <c r="L567" s="2"/>
    </row>
    <row r="568" spans="10:12" ht="21.6" thickBot="1">
      <c r="J568" s="2"/>
      <c r="K568" s="2"/>
      <c r="L568" s="2"/>
    </row>
    <row r="569" spans="10:12" ht="21.6" thickBot="1">
      <c r="J569" s="2"/>
      <c r="K569" s="2"/>
      <c r="L569" s="2"/>
    </row>
    <row r="570" spans="10:12" ht="21.6" thickBot="1">
      <c r="J570" s="2"/>
      <c r="K570" s="2"/>
      <c r="L570" s="2"/>
    </row>
    <row r="571" spans="10:12" ht="21.6" thickBot="1">
      <c r="J571" s="2"/>
      <c r="K571" s="2"/>
      <c r="L571" s="2"/>
    </row>
    <row r="572" spans="10:12" ht="21.6" thickBot="1">
      <c r="J572" s="2"/>
      <c r="K572" s="2"/>
      <c r="L572" s="2"/>
    </row>
    <row r="573" spans="10:12" ht="21.6" thickBot="1">
      <c r="J573" s="2"/>
      <c r="K573" s="2"/>
      <c r="L573" s="2"/>
    </row>
    <row r="574" spans="10:12" ht="21.6" thickBot="1">
      <c r="J574" s="2"/>
      <c r="K574" s="2"/>
      <c r="L574" s="2"/>
    </row>
    <row r="575" spans="10:12" ht="21.6" thickBot="1">
      <c r="J575" s="2"/>
      <c r="K575" s="2"/>
      <c r="L575" s="2"/>
    </row>
    <row r="576" spans="10:12" ht="21.6" thickBot="1">
      <c r="J576" s="2"/>
      <c r="K576" s="2"/>
      <c r="L576" s="2"/>
    </row>
    <row r="577" spans="10:12" ht="21.6" thickBot="1">
      <c r="J577" s="2"/>
      <c r="K577" s="2"/>
      <c r="L577" s="2"/>
    </row>
    <row r="578" spans="10:12" ht="21.6" thickBot="1">
      <c r="J578" s="2"/>
      <c r="K578" s="2"/>
      <c r="L578" s="2"/>
    </row>
    <row r="579" spans="10:12" ht="21.6" thickBot="1">
      <c r="J579" s="2"/>
      <c r="K579" s="2"/>
      <c r="L579" s="2"/>
    </row>
    <row r="580" spans="10:12" ht="21.6" thickBot="1">
      <c r="J580" s="2"/>
      <c r="K580" s="2"/>
      <c r="L580" s="2"/>
    </row>
    <row r="581" spans="10:12" ht="21.6" thickBot="1">
      <c r="J581" s="2"/>
      <c r="K581" s="2"/>
      <c r="L581" s="2"/>
    </row>
    <row r="582" spans="10:12" ht="21.6" thickBot="1">
      <c r="J582" s="2"/>
      <c r="K582" s="2"/>
      <c r="L582" s="2"/>
    </row>
    <row r="583" spans="10:12" ht="21.6" thickBot="1">
      <c r="J583" s="2"/>
      <c r="K583" s="2"/>
      <c r="L583" s="2"/>
    </row>
    <row r="584" spans="10:12" ht="21.6" thickBot="1">
      <c r="J584" s="2"/>
      <c r="K584" s="2"/>
      <c r="L584" s="2"/>
    </row>
    <row r="585" spans="10:12" ht="21.6" thickBot="1">
      <c r="J585" s="2"/>
      <c r="K585" s="2"/>
      <c r="L585" s="2"/>
    </row>
    <row r="586" spans="10:12" ht="21.6" thickBot="1">
      <c r="J586" s="2"/>
      <c r="K586" s="2"/>
      <c r="L586" s="2"/>
    </row>
    <row r="587" spans="10:12" ht="21.6" thickBot="1">
      <c r="J587" s="2"/>
      <c r="K587" s="2"/>
      <c r="L587" s="2"/>
    </row>
    <row r="588" spans="10:12" ht="21.6" thickBot="1">
      <c r="J588" s="2"/>
      <c r="K588" s="2"/>
      <c r="L588" s="2"/>
    </row>
    <row r="589" spans="10:12" ht="21.6" thickBot="1">
      <c r="J589" s="2"/>
      <c r="K589" s="2"/>
      <c r="L589" s="2"/>
    </row>
    <row r="590" spans="10:12" ht="21.6" thickBot="1">
      <c r="J590" s="2"/>
      <c r="K590" s="2"/>
      <c r="L590" s="2"/>
    </row>
    <row r="591" spans="10:12" ht="21.6" thickBot="1">
      <c r="J591" s="2"/>
      <c r="K591" s="2"/>
      <c r="L591" s="2"/>
    </row>
    <row r="592" spans="10:12" ht="21.6" thickBot="1">
      <c r="J592" s="2"/>
      <c r="K592" s="2"/>
      <c r="L592" s="2"/>
    </row>
    <row r="593" spans="10:12" ht="21.6" thickBot="1">
      <c r="J593" s="2"/>
      <c r="K593" s="2"/>
      <c r="L593" s="2"/>
    </row>
    <row r="594" spans="10:12" ht="21.6" thickBot="1">
      <c r="J594" s="2"/>
      <c r="K594" s="2"/>
      <c r="L594" s="2"/>
    </row>
    <row r="595" spans="10:12" ht="21.6" thickBot="1">
      <c r="J595" s="2"/>
      <c r="K595" s="2"/>
      <c r="L595" s="2"/>
    </row>
    <row r="596" spans="10:12" ht="21.6" thickBot="1">
      <c r="J596" s="2"/>
      <c r="K596" s="2"/>
      <c r="L596" s="2"/>
    </row>
    <row r="597" spans="10:12" ht="21.6" thickBot="1">
      <c r="J597" s="2"/>
      <c r="K597" s="2"/>
      <c r="L597" s="2"/>
    </row>
    <row r="598" spans="10:12" ht="21.6" thickBot="1">
      <c r="J598" s="2"/>
      <c r="K598" s="2"/>
      <c r="L598" s="2"/>
    </row>
    <row r="599" spans="10:12" ht="21.6" thickBot="1">
      <c r="J599" s="2"/>
      <c r="K599" s="2"/>
      <c r="L599" s="2"/>
    </row>
    <row r="600" spans="10:12" ht="21.6" thickBot="1">
      <c r="J600" s="2"/>
      <c r="K600" s="2"/>
      <c r="L600" s="2"/>
    </row>
    <row r="601" spans="10:12" ht="21.6" thickBot="1">
      <c r="J601" s="2"/>
      <c r="K601" s="2"/>
      <c r="L601" s="2"/>
    </row>
    <row r="602" spans="10:12" ht="21.6" thickBot="1">
      <c r="J602" s="2"/>
      <c r="K602" s="2"/>
      <c r="L602" s="2"/>
    </row>
    <row r="603" spans="10:12" ht="21.6" thickBot="1">
      <c r="J603" s="2"/>
      <c r="K603" s="2"/>
      <c r="L603" s="2"/>
    </row>
    <row r="604" spans="10:12" ht="21.6" thickBot="1">
      <c r="J604" s="2"/>
      <c r="K604" s="2"/>
      <c r="L604" s="2"/>
    </row>
    <row r="605" spans="10:12" ht="21.6" thickBot="1">
      <c r="J605" s="2"/>
      <c r="K605" s="2"/>
      <c r="L605" s="2"/>
    </row>
    <row r="606" spans="10:12" ht="21.6" thickBot="1">
      <c r="J606" s="2"/>
      <c r="K606" s="2"/>
      <c r="L606" s="2"/>
    </row>
    <row r="607" spans="10:12" ht="21.6" thickBot="1">
      <c r="J607" s="2"/>
      <c r="K607" s="2"/>
      <c r="L607" s="2"/>
    </row>
    <row r="608" spans="10:12" ht="21.6" thickBot="1">
      <c r="J608" s="2"/>
      <c r="K608" s="2"/>
      <c r="L608" s="2"/>
    </row>
    <row r="609" spans="10:12" ht="21.6" thickBot="1">
      <c r="J609" s="2"/>
      <c r="K609" s="2"/>
      <c r="L609" s="2"/>
    </row>
    <row r="610" spans="10:12" ht="21.6" thickBot="1">
      <c r="J610" s="2"/>
      <c r="K610" s="2"/>
      <c r="L610" s="2"/>
    </row>
    <row r="611" spans="10:12" ht="21.6" thickBot="1">
      <c r="J611" s="2"/>
      <c r="K611" s="2"/>
      <c r="L611" s="2"/>
    </row>
    <row r="612" spans="10:12" ht="21.6" thickBot="1">
      <c r="J612" s="2"/>
      <c r="K612" s="2"/>
      <c r="L612" s="2"/>
    </row>
    <row r="613" spans="10:12" ht="21.6" thickBot="1">
      <c r="J613" s="2"/>
      <c r="K613" s="2"/>
      <c r="L613" s="2"/>
    </row>
    <row r="614" spans="10:12" ht="21.6" thickBot="1">
      <c r="J614" s="2"/>
      <c r="K614" s="2"/>
      <c r="L614" s="2"/>
    </row>
    <row r="615" spans="10:12" ht="21.6" thickBot="1">
      <c r="J615" s="2"/>
      <c r="K615" s="2"/>
      <c r="L615" s="2"/>
    </row>
    <row r="616" spans="10:12" ht="21.6" thickBot="1">
      <c r="J616" s="2"/>
      <c r="K616" s="2"/>
      <c r="L616" s="2"/>
    </row>
    <row r="617" spans="10:12" ht="21.6" thickBot="1">
      <c r="J617" s="2"/>
      <c r="K617" s="2"/>
      <c r="L617" s="2"/>
    </row>
    <row r="618" spans="10:12" ht="21.6" thickBot="1">
      <c r="J618" s="2"/>
      <c r="K618" s="2"/>
      <c r="L618" s="2"/>
    </row>
    <row r="619" spans="10:12" ht="21.6" thickBot="1">
      <c r="J619" s="2"/>
      <c r="K619" s="2"/>
      <c r="L619" s="2"/>
    </row>
    <row r="620" spans="10:12" ht="21.6" thickBot="1">
      <c r="J620" s="2"/>
      <c r="K620" s="2"/>
      <c r="L620" s="2"/>
    </row>
    <row r="621" spans="10:12" ht="21.6" thickBot="1">
      <c r="J621" s="2"/>
      <c r="K621" s="2"/>
      <c r="L621" s="2"/>
    </row>
    <row r="622" spans="10:12" ht="21.6" thickBot="1">
      <c r="J622" s="2"/>
      <c r="K622" s="2"/>
      <c r="L622" s="2"/>
    </row>
    <row r="623" spans="10:12" ht="21.6" thickBot="1">
      <c r="J623" s="2"/>
      <c r="K623" s="2"/>
      <c r="L623" s="2"/>
    </row>
    <row r="624" spans="10:12" ht="21.6" thickBot="1">
      <c r="J624" s="2"/>
      <c r="K624" s="2"/>
      <c r="L624" s="2"/>
    </row>
    <row r="625" spans="10:12" ht="21.6" thickBot="1">
      <c r="J625" s="2"/>
      <c r="K625" s="2"/>
      <c r="L625" s="2"/>
    </row>
    <row r="626" spans="10:12" ht="21.6" thickBot="1">
      <c r="J626" s="2"/>
      <c r="K626" s="2"/>
      <c r="L626" s="2"/>
    </row>
    <row r="627" spans="10:12" ht="21.6" thickBot="1">
      <c r="J627" s="2"/>
      <c r="K627" s="2"/>
      <c r="L627" s="2"/>
    </row>
    <row r="628" spans="10:12" ht="21.6" thickBot="1">
      <c r="J628" s="2"/>
      <c r="K628" s="2"/>
      <c r="L628" s="2"/>
    </row>
    <row r="629" spans="10:12" ht="21.6" thickBot="1">
      <c r="J629" s="2"/>
      <c r="K629" s="2"/>
      <c r="L629" s="2"/>
    </row>
    <row r="630" spans="10:12" ht="21.6" thickBot="1">
      <c r="J630" s="2"/>
      <c r="K630" s="2"/>
      <c r="L630" s="2"/>
    </row>
    <row r="631" spans="10:12" ht="21.6" thickBot="1">
      <c r="J631" s="2"/>
      <c r="K631" s="2"/>
      <c r="L631" s="2"/>
    </row>
    <row r="632" spans="10:12" ht="21.6" thickBot="1">
      <c r="J632" s="2"/>
      <c r="K632" s="2"/>
      <c r="L632" s="2"/>
    </row>
    <row r="633" spans="10:12" ht="21.6" thickBot="1">
      <c r="J633" s="2"/>
      <c r="K633" s="2"/>
      <c r="L633" s="2"/>
    </row>
    <row r="634" spans="10:12" ht="21.6" thickBot="1">
      <c r="J634" s="2"/>
      <c r="K634" s="2"/>
      <c r="L634" s="2"/>
    </row>
    <row r="635" spans="10:12" ht="21.6" thickBot="1">
      <c r="J635" s="2"/>
      <c r="K635" s="2"/>
      <c r="L635" s="2"/>
    </row>
    <row r="636" spans="10:12" ht="21.6" thickBot="1">
      <c r="J636" s="2"/>
      <c r="K636" s="2"/>
      <c r="L636" s="2"/>
    </row>
    <row r="637" spans="10:12" ht="21.6" thickBot="1">
      <c r="J637" s="2"/>
      <c r="K637" s="2"/>
      <c r="L637" s="2"/>
    </row>
    <row r="638" spans="10:12" ht="21.6" thickBot="1">
      <c r="J638" s="2"/>
      <c r="K638" s="2"/>
      <c r="L638" s="2"/>
    </row>
    <row r="639" spans="10:12" ht="21.6" thickBot="1">
      <c r="J639" s="2"/>
      <c r="K639" s="2"/>
      <c r="L639" s="2"/>
    </row>
    <row r="640" spans="10:12" ht="21.6" thickBot="1">
      <c r="J640" s="2"/>
      <c r="K640" s="2"/>
      <c r="L640" s="2"/>
    </row>
    <row r="641" spans="10:12" ht="21.6" thickBot="1">
      <c r="J641" s="2"/>
      <c r="K641" s="2"/>
      <c r="L641" s="2"/>
    </row>
    <row r="642" spans="10:12" ht="21.6" thickBot="1">
      <c r="J642" s="2"/>
      <c r="K642" s="2"/>
      <c r="L642" s="2"/>
    </row>
    <row r="643" spans="10:12" ht="21.6" thickBot="1">
      <c r="J643" s="2"/>
      <c r="K643" s="2"/>
      <c r="L643" s="2"/>
    </row>
    <row r="644" spans="10:12" ht="21.6" thickBot="1">
      <c r="J644" s="2"/>
      <c r="K644" s="2"/>
      <c r="L644" s="2"/>
    </row>
    <row r="645" spans="10:12" ht="21.6" thickBot="1">
      <c r="J645" s="2"/>
      <c r="K645" s="2"/>
      <c r="L645" s="2"/>
    </row>
    <row r="646" spans="10:12" ht="21.6" thickBot="1">
      <c r="J646" s="2"/>
      <c r="K646" s="2"/>
      <c r="L646" s="2"/>
    </row>
    <row r="647" spans="10:12" ht="21.6" thickBot="1">
      <c r="J647" s="2"/>
      <c r="K647" s="2"/>
      <c r="L647" s="2"/>
    </row>
    <row r="648" spans="10:12" ht="21.6" thickBot="1">
      <c r="J648" s="2"/>
      <c r="K648" s="2"/>
      <c r="L648" s="2"/>
    </row>
    <row r="649" spans="10:12" ht="21.6" thickBot="1">
      <c r="J649" s="2"/>
      <c r="K649" s="2"/>
      <c r="L649" s="2"/>
    </row>
    <row r="650" spans="10:12" ht="21.6" thickBot="1">
      <c r="J650" s="2"/>
      <c r="K650" s="2"/>
      <c r="L650" s="2"/>
    </row>
    <row r="651" spans="10:12" ht="21.6" thickBot="1">
      <c r="J651" s="2"/>
      <c r="K651" s="2"/>
      <c r="L651" s="2"/>
    </row>
    <row r="652" spans="10:12" ht="21.6" thickBot="1">
      <c r="J652" s="2"/>
      <c r="K652" s="2"/>
      <c r="L652" s="2"/>
    </row>
    <row r="653" spans="10:12" ht="21.6" thickBot="1">
      <c r="J653" s="2"/>
      <c r="K653" s="2"/>
      <c r="L653" s="2"/>
    </row>
    <row r="654" spans="10:12" ht="21.6" thickBot="1">
      <c r="J654" s="2"/>
      <c r="K654" s="2"/>
      <c r="L654" s="2"/>
    </row>
    <row r="655" spans="10:12" ht="21.6" thickBot="1">
      <c r="J655" s="2"/>
      <c r="K655" s="2"/>
      <c r="L655" s="2"/>
    </row>
    <row r="656" spans="10:12" ht="21.6" thickBot="1">
      <c r="J656" s="2"/>
      <c r="K656" s="2"/>
      <c r="L656" s="2"/>
    </row>
    <row r="657" spans="10:12" ht="21.6" thickBot="1">
      <c r="J657" s="2"/>
      <c r="K657" s="2"/>
      <c r="L657" s="2"/>
    </row>
    <row r="658" spans="10:12" ht="21.6" thickBot="1">
      <c r="J658" s="2"/>
      <c r="K658" s="2"/>
      <c r="L658" s="2"/>
    </row>
    <row r="659" spans="10:12" ht="21.6" thickBot="1">
      <c r="J659" s="2"/>
      <c r="K659" s="2"/>
      <c r="L659" s="2"/>
    </row>
    <row r="660" spans="10:12" ht="21.6" thickBot="1">
      <c r="J660" s="2"/>
      <c r="K660" s="2"/>
      <c r="L660" s="2"/>
    </row>
    <row r="661" spans="10:12" ht="21.6" thickBot="1">
      <c r="J661" s="2"/>
      <c r="K661" s="2"/>
      <c r="L661" s="2"/>
    </row>
    <row r="662" spans="10:12" ht="21.6" thickBot="1">
      <c r="J662" s="2"/>
      <c r="K662" s="2"/>
      <c r="L662" s="2"/>
    </row>
    <row r="663" spans="10:12" ht="21.6" thickBot="1">
      <c r="J663" s="2"/>
      <c r="K663" s="2"/>
      <c r="L663" s="2"/>
    </row>
    <row r="664" spans="10:12" ht="21.6" thickBot="1">
      <c r="J664" s="2"/>
      <c r="K664" s="2"/>
      <c r="L664" s="2"/>
    </row>
    <row r="665" spans="10:12" ht="21.6" thickBot="1">
      <c r="J665" s="2"/>
      <c r="K665" s="2"/>
      <c r="L665" s="2"/>
    </row>
    <row r="666" spans="10:12" ht="21.6" thickBot="1">
      <c r="J666" s="2"/>
      <c r="K666" s="2"/>
      <c r="L666" s="2"/>
    </row>
    <row r="667" spans="10:12" ht="21.6" thickBot="1">
      <c r="J667" s="2"/>
      <c r="K667" s="2"/>
      <c r="L667" s="2"/>
    </row>
    <row r="668" spans="10:12" ht="21.6" thickBot="1">
      <c r="J668" s="2"/>
      <c r="K668" s="2"/>
      <c r="L668" s="2"/>
    </row>
    <row r="669" spans="10:12" ht="21.6" thickBot="1">
      <c r="J669" s="2"/>
      <c r="K669" s="2"/>
      <c r="L669" s="2"/>
    </row>
    <row r="670" spans="10:12" ht="21.6" thickBot="1">
      <c r="J670" s="2"/>
      <c r="K670" s="2"/>
      <c r="L670" s="2"/>
    </row>
    <row r="671" spans="10:12" ht="21.6" thickBot="1">
      <c r="J671" s="2"/>
      <c r="K671" s="2"/>
      <c r="L671" s="2"/>
    </row>
    <row r="672" spans="10:12" ht="21.6" thickBot="1">
      <c r="J672" s="2"/>
      <c r="K672" s="2"/>
      <c r="L672" s="2"/>
    </row>
    <row r="673" spans="10:12" ht="21.6" thickBot="1">
      <c r="J673" s="2"/>
      <c r="K673" s="2"/>
      <c r="L673" s="2"/>
    </row>
    <row r="674" spans="10:12" ht="21.6" thickBot="1">
      <c r="J674" s="2"/>
      <c r="K674" s="2"/>
      <c r="L674" s="2"/>
    </row>
    <row r="675" spans="10:12" ht="21.6" thickBot="1">
      <c r="J675" s="2"/>
      <c r="K675" s="2"/>
      <c r="L675" s="2"/>
    </row>
    <row r="676" spans="10:12" ht="21.6" thickBot="1">
      <c r="J676" s="2"/>
      <c r="K676" s="2"/>
      <c r="L676" s="2"/>
    </row>
    <row r="677" spans="10:12" ht="21.6" thickBot="1">
      <c r="J677" s="2"/>
      <c r="K677" s="2"/>
      <c r="L677" s="2"/>
    </row>
    <row r="678" spans="10:12" ht="21.6" thickBot="1">
      <c r="J678" s="2"/>
      <c r="K678" s="2"/>
      <c r="L678" s="2"/>
    </row>
    <row r="679" spans="10:12" ht="21.6" thickBot="1">
      <c r="J679" s="2"/>
      <c r="K679" s="2"/>
      <c r="L679" s="2"/>
    </row>
    <row r="680" spans="10:12" ht="21.6" thickBot="1">
      <c r="J680" s="2"/>
      <c r="K680" s="2"/>
      <c r="L680" s="2"/>
    </row>
    <row r="681" spans="10:12" ht="21.6" thickBot="1">
      <c r="J681" s="2"/>
      <c r="K681" s="2"/>
      <c r="L681" s="2"/>
    </row>
    <row r="682" spans="10:12" ht="21.6" thickBot="1">
      <c r="J682" s="2"/>
      <c r="K682" s="2"/>
      <c r="L682" s="2"/>
    </row>
    <row r="683" spans="10:12" ht="21.6" thickBot="1">
      <c r="J683" s="2"/>
      <c r="K683" s="2"/>
      <c r="L683" s="2"/>
    </row>
    <row r="684" spans="10:12" ht="21.6" thickBot="1">
      <c r="J684" s="2"/>
      <c r="K684" s="2"/>
      <c r="L684" s="2"/>
    </row>
    <row r="685" spans="10:12" ht="21.6" thickBot="1">
      <c r="J685" s="2"/>
      <c r="K685" s="2"/>
      <c r="L685" s="2"/>
    </row>
    <row r="686" spans="10:12" ht="21.6" thickBot="1">
      <c r="J686" s="2"/>
      <c r="K686" s="2"/>
      <c r="L686" s="2"/>
    </row>
    <row r="687" spans="10:12" ht="21.6" thickBot="1">
      <c r="J687" s="2"/>
      <c r="K687" s="2"/>
      <c r="L687" s="2"/>
    </row>
    <row r="688" spans="10:12" ht="21.6" thickBot="1">
      <c r="J688" s="2"/>
      <c r="K688" s="2"/>
      <c r="L688" s="2"/>
    </row>
    <row r="689" spans="10:12" ht="21.6" thickBot="1">
      <c r="J689" s="2"/>
      <c r="K689" s="2"/>
      <c r="L689" s="2"/>
    </row>
    <row r="690" spans="10:12" ht="21.6" thickBot="1">
      <c r="J690" s="2"/>
      <c r="K690" s="2"/>
      <c r="L690" s="2"/>
    </row>
    <row r="691" spans="10:12" ht="21.6" thickBot="1">
      <c r="J691" s="2"/>
      <c r="K691" s="2"/>
      <c r="L691" s="2"/>
    </row>
    <row r="692" spans="10:12" ht="21.6" thickBot="1">
      <c r="J692" s="2"/>
      <c r="K692" s="2"/>
      <c r="L692" s="2"/>
    </row>
    <row r="693" spans="10:12" ht="21.6" thickBot="1">
      <c r="J693" s="2"/>
      <c r="K693" s="2"/>
      <c r="L693" s="2"/>
    </row>
    <row r="694" spans="10:12" ht="21.6" thickBot="1">
      <c r="J694" s="2"/>
      <c r="K694" s="2"/>
      <c r="L694" s="2"/>
    </row>
    <row r="695" spans="10:12" ht="21.6" thickBot="1">
      <c r="J695" s="2"/>
      <c r="K695" s="2"/>
      <c r="L695" s="2"/>
    </row>
    <row r="696" spans="10:12" ht="21.6" thickBot="1">
      <c r="J696" s="2"/>
      <c r="K696" s="2"/>
      <c r="L696" s="2"/>
    </row>
    <row r="697" spans="10:12" ht="21.6" thickBot="1">
      <c r="J697" s="2"/>
      <c r="K697" s="2"/>
      <c r="L697" s="2"/>
    </row>
    <row r="698" spans="10:12" ht="21.6" thickBot="1">
      <c r="J698" s="2"/>
      <c r="K698" s="2"/>
      <c r="L698" s="2"/>
    </row>
    <row r="699" spans="10:12" ht="21.6" thickBot="1">
      <c r="J699" s="2"/>
      <c r="K699" s="2"/>
      <c r="L699" s="2"/>
    </row>
    <row r="700" spans="10:12" ht="21.6" thickBot="1">
      <c r="J700" s="2"/>
      <c r="K700" s="2"/>
      <c r="L700" s="2"/>
    </row>
    <row r="701" spans="10:12" ht="21.6" thickBot="1">
      <c r="J701" s="2"/>
      <c r="K701" s="2"/>
      <c r="L701" s="2"/>
    </row>
    <row r="702" spans="10:12" ht="21.6" thickBot="1">
      <c r="J702" s="2"/>
      <c r="K702" s="2"/>
      <c r="L702" s="2"/>
    </row>
    <row r="703" spans="10:12" ht="21.6" thickBot="1">
      <c r="J703" s="2"/>
      <c r="K703" s="2"/>
      <c r="L703" s="2"/>
    </row>
    <row r="704" spans="10:12" ht="21.6" thickBot="1">
      <c r="J704" s="2"/>
      <c r="K704" s="2"/>
      <c r="L704" s="2"/>
    </row>
    <row r="705" spans="10:12" ht="21.6" thickBot="1">
      <c r="J705" s="2"/>
      <c r="K705" s="2"/>
      <c r="L705" s="2"/>
    </row>
    <row r="706" spans="10:12" ht="21.6" thickBot="1">
      <c r="J706" s="2"/>
      <c r="K706" s="2"/>
      <c r="L706" s="2"/>
    </row>
    <row r="707" spans="10:12" ht="21.6" thickBot="1">
      <c r="J707" s="2"/>
      <c r="K707" s="2"/>
      <c r="L707" s="2"/>
    </row>
    <row r="708" spans="10:12" ht="21.6" thickBot="1">
      <c r="J708" s="2"/>
      <c r="K708" s="2"/>
      <c r="L708" s="2"/>
    </row>
    <row r="709" spans="10:12" ht="21.6" thickBot="1">
      <c r="J709" s="2"/>
      <c r="K709" s="2"/>
      <c r="L709" s="2"/>
    </row>
    <row r="710" spans="10:12" ht="21.6" thickBot="1">
      <c r="J710" s="2"/>
      <c r="K710" s="2"/>
      <c r="L710" s="2"/>
    </row>
    <row r="711" spans="10:12" ht="21.6" thickBot="1">
      <c r="J711" s="2"/>
      <c r="K711" s="2"/>
      <c r="L711" s="2"/>
    </row>
    <row r="712" spans="10:12" ht="21.6" thickBot="1">
      <c r="J712" s="2"/>
      <c r="K712" s="2"/>
      <c r="L712" s="2"/>
    </row>
    <row r="713" spans="10:12" ht="21.6" thickBot="1">
      <c r="J713" s="2"/>
      <c r="K713" s="2"/>
      <c r="L713" s="2"/>
    </row>
    <row r="714" spans="10:12" ht="21.6" thickBot="1">
      <c r="J714" s="2"/>
      <c r="K714" s="2"/>
      <c r="L714" s="2"/>
    </row>
    <row r="715" spans="10:12" ht="21.6" thickBot="1">
      <c r="J715" s="2"/>
      <c r="K715" s="2"/>
      <c r="L715" s="2"/>
    </row>
    <row r="716" spans="10:12" ht="21.6" thickBot="1">
      <c r="J716" s="2"/>
      <c r="K716" s="2"/>
      <c r="L716" s="2"/>
    </row>
    <row r="717" spans="10:12" ht="21.6" thickBot="1">
      <c r="J717" s="2"/>
      <c r="K717" s="2"/>
      <c r="L717" s="2"/>
    </row>
    <row r="718" spans="10:12" ht="21.6" thickBot="1">
      <c r="J718" s="2"/>
      <c r="K718" s="2"/>
      <c r="L718" s="2"/>
    </row>
    <row r="719" spans="10:12" ht="21.6" thickBot="1">
      <c r="J719" s="2"/>
      <c r="K719" s="2"/>
      <c r="L719" s="2"/>
    </row>
    <row r="720" spans="10:12" ht="21.6" thickBot="1">
      <c r="J720" s="2"/>
      <c r="K720" s="2"/>
      <c r="L720" s="2"/>
    </row>
    <row r="721" spans="10:12" ht="21.6" thickBot="1">
      <c r="J721" s="2"/>
      <c r="K721" s="2"/>
      <c r="L721" s="2"/>
    </row>
    <row r="722" spans="10:12" ht="21.6" thickBot="1">
      <c r="J722" s="2"/>
      <c r="K722" s="2"/>
      <c r="L722" s="2"/>
    </row>
    <row r="723" spans="10:12" ht="21.6" thickBot="1">
      <c r="J723" s="2"/>
      <c r="K723" s="2"/>
      <c r="L723" s="2"/>
    </row>
    <row r="724" spans="10:12" ht="21.6" thickBot="1">
      <c r="J724" s="2"/>
      <c r="K724" s="2"/>
      <c r="L724" s="2"/>
    </row>
    <row r="725" spans="10:12" ht="21.6" thickBot="1">
      <c r="J725" s="2"/>
      <c r="K725" s="2"/>
      <c r="L725" s="2"/>
    </row>
    <row r="726" spans="10:12" ht="21.6" thickBot="1">
      <c r="J726" s="2"/>
      <c r="K726" s="2"/>
      <c r="L726" s="2"/>
    </row>
    <row r="727" spans="10:12" ht="21.6" thickBot="1">
      <c r="J727" s="2"/>
      <c r="K727" s="2"/>
      <c r="L727" s="2"/>
    </row>
    <row r="728" spans="10:12" ht="21.6" thickBot="1">
      <c r="J728" s="2"/>
      <c r="K728" s="2"/>
      <c r="L728" s="2"/>
    </row>
    <row r="729" spans="10:12" ht="21.6" thickBot="1">
      <c r="J729" s="2"/>
      <c r="K729" s="2"/>
      <c r="L729" s="2"/>
    </row>
    <row r="730" spans="10:12" ht="21.6" thickBot="1">
      <c r="J730" s="2"/>
      <c r="K730" s="2"/>
      <c r="L730" s="2"/>
    </row>
    <row r="731" spans="10:12" ht="21.6" thickBot="1">
      <c r="J731" s="2"/>
      <c r="K731" s="2"/>
      <c r="L731" s="2"/>
    </row>
    <row r="732" spans="10:12" ht="21.6" thickBot="1">
      <c r="J732" s="2"/>
      <c r="K732" s="2"/>
      <c r="L732" s="2"/>
    </row>
    <row r="733" spans="10:12" ht="21.6" thickBot="1">
      <c r="J733" s="2"/>
      <c r="K733" s="2"/>
      <c r="L733" s="2"/>
    </row>
    <row r="734" spans="10:12" ht="21.6" thickBot="1">
      <c r="J734" s="2"/>
      <c r="K734" s="2"/>
      <c r="L734" s="2"/>
    </row>
    <row r="735" spans="10:12" ht="21.6" thickBot="1">
      <c r="J735" s="2"/>
      <c r="K735" s="2"/>
      <c r="L735" s="2"/>
    </row>
    <row r="736" spans="10:12" ht="21.6" thickBot="1">
      <c r="J736" s="2"/>
      <c r="K736" s="2"/>
      <c r="L736" s="2"/>
    </row>
    <row r="737" spans="10:12" ht="21.6" thickBot="1">
      <c r="J737" s="2"/>
      <c r="K737" s="2"/>
      <c r="L737" s="2"/>
    </row>
    <row r="738" spans="10:12" ht="21.6" thickBot="1">
      <c r="J738" s="2"/>
      <c r="K738" s="2"/>
      <c r="L738" s="2"/>
    </row>
    <row r="739" spans="10:12" ht="21.6" thickBot="1">
      <c r="J739" s="2"/>
      <c r="K739" s="2"/>
      <c r="L739" s="2"/>
    </row>
    <row r="740" spans="10:12" ht="21.6" thickBot="1">
      <c r="J740" s="2"/>
      <c r="K740" s="2"/>
      <c r="L740" s="2"/>
    </row>
    <row r="741" spans="10:12" ht="21.6" thickBot="1">
      <c r="J741" s="2"/>
      <c r="K741" s="2"/>
      <c r="L741" s="2"/>
    </row>
    <row r="742" spans="10:12" ht="21.6" thickBot="1">
      <c r="J742" s="2"/>
      <c r="K742" s="2"/>
      <c r="L742" s="2"/>
    </row>
    <row r="743" spans="10:12" ht="21.6" thickBot="1">
      <c r="J743" s="2"/>
      <c r="K743" s="2"/>
      <c r="L743" s="2"/>
    </row>
    <row r="744" spans="10:12" ht="21.6" thickBot="1">
      <c r="J744" s="2"/>
      <c r="K744" s="2"/>
      <c r="L744" s="2"/>
    </row>
    <row r="745" spans="10:12" ht="21.6" thickBot="1">
      <c r="J745" s="2"/>
      <c r="K745" s="2"/>
      <c r="L745" s="2"/>
    </row>
    <row r="746" spans="10:12" ht="21.6" thickBot="1">
      <c r="J746" s="2"/>
      <c r="K746" s="2"/>
      <c r="L746" s="2"/>
    </row>
    <row r="747" spans="10:12" ht="21.6" thickBot="1">
      <c r="J747" s="2"/>
      <c r="K747" s="2"/>
      <c r="L747" s="2"/>
    </row>
    <row r="748" spans="10:12" ht="21.6" thickBot="1">
      <c r="J748" s="2"/>
      <c r="K748" s="2"/>
      <c r="L748" s="2"/>
    </row>
    <row r="749" spans="10:12" ht="21.6" thickBot="1">
      <c r="J749" s="2"/>
      <c r="K749" s="2"/>
      <c r="L749" s="2"/>
    </row>
    <row r="750" spans="10:12" ht="21.6" thickBot="1">
      <c r="J750" s="2"/>
      <c r="K750" s="2"/>
      <c r="L750" s="2"/>
    </row>
    <row r="751" spans="10:12" ht="21.6" thickBot="1">
      <c r="J751" s="2"/>
      <c r="K751" s="2"/>
      <c r="L751" s="2"/>
    </row>
    <row r="752" spans="10:12" ht="21.6" thickBot="1">
      <c r="J752" s="2"/>
      <c r="K752" s="2"/>
      <c r="L752" s="2"/>
    </row>
    <row r="753" spans="10:12" ht="21.6" thickBot="1">
      <c r="J753" s="2"/>
      <c r="K753" s="2"/>
      <c r="L753" s="2"/>
    </row>
    <row r="754" spans="10:12" ht="21.6" thickBot="1">
      <c r="J754" s="2"/>
      <c r="K754" s="2"/>
      <c r="L754" s="2"/>
    </row>
    <row r="755" spans="10:12" ht="21.6" thickBot="1">
      <c r="J755" s="2"/>
      <c r="K755" s="2"/>
      <c r="L755" s="2"/>
    </row>
    <row r="756" spans="10:12" ht="21.6" thickBot="1">
      <c r="J756" s="2"/>
      <c r="K756" s="2"/>
      <c r="L756" s="2"/>
    </row>
    <row r="757" spans="10:12" ht="21.6" thickBot="1">
      <c r="J757" s="2"/>
      <c r="K757" s="2"/>
      <c r="L757" s="2"/>
    </row>
    <row r="758" spans="10:12" ht="21.6" thickBot="1">
      <c r="J758" s="2"/>
      <c r="K758" s="2"/>
      <c r="L758" s="2"/>
    </row>
    <row r="759" spans="10:12" ht="21.6" thickBot="1">
      <c r="J759" s="2"/>
      <c r="K759" s="2"/>
      <c r="L759" s="2"/>
    </row>
    <row r="760" spans="10:12" ht="21.6" thickBot="1">
      <c r="J760" s="2"/>
      <c r="K760" s="2"/>
      <c r="L760" s="2"/>
    </row>
    <row r="761" spans="10:12" ht="21.6" thickBot="1">
      <c r="J761" s="2"/>
      <c r="K761" s="2"/>
      <c r="L761" s="2"/>
    </row>
    <row r="762" spans="10:12" ht="21.6" thickBot="1">
      <c r="J762" s="2"/>
      <c r="K762" s="2"/>
      <c r="L762" s="2"/>
    </row>
    <row r="763" spans="10:12" ht="21.6" thickBot="1">
      <c r="J763" s="2"/>
      <c r="K763" s="2"/>
      <c r="L763" s="2"/>
    </row>
    <row r="764" spans="10:12" ht="21.6" thickBot="1">
      <c r="J764" s="2"/>
      <c r="K764" s="2"/>
      <c r="L764" s="2"/>
    </row>
    <row r="765" spans="10:12" ht="21.6" thickBot="1">
      <c r="J765" s="2"/>
      <c r="K765" s="2"/>
      <c r="L765" s="2"/>
    </row>
    <row r="766" spans="10:12" ht="21.6" thickBot="1">
      <c r="J766" s="2"/>
      <c r="K766" s="2"/>
      <c r="L766" s="2"/>
    </row>
    <row r="767" spans="10:12" ht="21.6" thickBot="1">
      <c r="J767" s="2"/>
      <c r="K767" s="2"/>
      <c r="L767" s="2"/>
    </row>
    <row r="768" spans="10:12" ht="21.6" thickBot="1">
      <c r="J768" s="2"/>
      <c r="K768" s="2"/>
      <c r="L768" s="2"/>
    </row>
    <row r="769" spans="10:12" ht="21.6" thickBot="1">
      <c r="J769" s="2"/>
      <c r="K769" s="2"/>
      <c r="L769" s="2"/>
    </row>
    <row r="770" spans="10:12" ht="21.6" thickBot="1">
      <c r="J770" s="2"/>
      <c r="K770" s="2"/>
      <c r="L770" s="2"/>
    </row>
    <row r="771" spans="10:12" ht="21.6" thickBot="1">
      <c r="J771" s="2"/>
      <c r="K771" s="2"/>
      <c r="L771" s="2"/>
    </row>
    <row r="772" spans="10:12" ht="21.6" thickBot="1">
      <c r="J772" s="2"/>
      <c r="K772" s="2"/>
      <c r="L772" s="2"/>
    </row>
    <row r="773" spans="10:12" ht="21.6" thickBot="1">
      <c r="J773" s="2"/>
      <c r="K773" s="2"/>
      <c r="L773" s="2"/>
    </row>
    <row r="774" spans="10:12" ht="21.6" thickBot="1">
      <c r="J774" s="2"/>
      <c r="K774" s="2"/>
      <c r="L774" s="2"/>
    </row>
    <row r="775" spans="10:12" ht="21.6" thickBot="1">
      <c r="J775" s="2"/>
      <c r="K775" s="2"/>
      <c r="L775" s="2"/>
    </row>
    <row r="776" spans="10:12" ht="21.6" thickBot="1">
      <c r="J776" s="2"/>
      <c r="K776" s="2"/>
      <c r="L776" s="2"/>
    </row>
    <row r="777" spans="10:12" ht="21.6" thickBot="1">
      <c r="J777" s="2"/>
      <c r="K777" s="2"/>
      <c r="L777" s="2"/>
    </row>
    <row r="778" spans="10:12" ht="21.6" thickBot="1">
      <c r="J778" s="2"/>
      <c r="K778" s="2"/>
      <c r="L778" s="2"/>
    </row>
    <row r="779" spans="10:12" ht="21.6" thickBot="1">
      <c r="J779" s="2"/>
      <c r="K779" s="2"/>
      <c r="L779" s="2"/>
    </row>
    <row r="780" spans="10:12" ht="21.6" thickBot="1">
      <c r="J780" s="2"/>
      <c r="K780" s="2"/>
      <c r="L780" s="2"/>
    </row>
    <row r="781" spans="10:12" ht="21.6" thickBot="1">
      <c r="J781" s="2"/>
      <c r="K781" s="2"/>
      <c r="L781" s="2"/>
    </row>
    <row r="782" spans="10:12" ht="21.6" thickBot="1">
      <c r="J782" s="2"/>
      <c r="K782" s="2"/>
      <c r="L782" s="2"/>
    </row>
    <row r="783" spans="10:12" ht="21.6" thickBot="1">
      <c r="J783" s="2"/>
      <c r="K783" s="2"/>
      <c r="L783" s="2"/>
    </row>
    <row r="784" spans="10:12" ht="21.6" thickBot="1">
      <c r="J784" s="2"/>
      <c r="K784" s="2"/>
      <c r="L784" s="2"/>
    </row>
    <row r="785" spans="10:12" ht="21.6" thickBot="1">
      <c r="J785" s="2"/>
      <c r="K785" s="2"/>
      <c r="L785" s="2"/>
    </row>
    <row r="786" spans="10:12" ht="21.6" thickBot="1">
      <c r="J786" s="2"/>
      <c r="K786" s="2"/>
      <c r="L786" s="2"/>
    </row>
    <row r="787" spans="10:12" ht="21.6" thickBot="1">
      <c r="J787" s="2"/>
      <c r="K787" s="2"/>
      <c r="L787" s="2"/>
    </row>
    <row r="788" spans="10:12" ht="21.6" thickBot="1">
      <c r="J788" s="2"/>
      <c r="K788" s="2"/>
      <c r="L788" s="2"/>
    </row>
    <row r="789" spans="10:12" ht="21.6" thickBot="1">
      <c r="J789" s="2"/>
      <c r="K789" s="2"/>
      <c r="L789" s="2"/>
    </row>
    <row r="790" spans="10:12" ht="21.6" thickBot="1">
      <c r="J790" s="2"/>
      <c r="K790" s="2"/>
      <c r="L790" s="2"/>
    </row>
    <row r="791" spans="10:12" ht="21.6" thickBot="1">
      <c r="J791" s="2"/>
      <c r="K791" s="2"/>
      <c r="L791" s="2"/>
    </row>
    <row r="792" spans="10:12" ht="21.6" thickBot="1">
      <c r="J792" s="2"/>
      <c r="K792" s="2"/>
      <c r="L792" s="2"/>
    </row>
    <row r="793" spans="10:12" ht="21.6" thickBot="1">
      <c r="J793" s="2"/>
      <c r="K793" s="2"/>
      <c r="L793" s="2"/>
    </row>
    <row r="794" spans="10:12" ht="21.6" thickBot="1">
      <c r="J794" s="2"/>
      <c r="K794" s="2"/>
      <c r="L794" s="2"/>
    </row>
    <row r="795" spans="10:12" ht="21.6" thickBot="1">
      <c r="J795" s="2"/>
      <c r="K795" s="2"/>
      <c r="L795" s="2"/>
    </row>
    <row r="796" spans="10:12" ht="21.6" thickBot="1">
      <c r="J796" s="2"/>
      <c r="K796" s="2"/>
      <c r="L796" s="2"/>
    </row>
    <row r="797" spans="10:12" ht="21.6" thickBot="1">
      <c r="J797" s="2"/>
      <c r="K797" s="2"/>
      <c r="L797" s="2"/>
    </row>
    <row r="798" spans="10:12" ht="21.6" thickBot="1">
      <c r="J798" s="2"/>
      <c r="K798" s="2"/>
      <c r="L798" s="2"/>
    </row>
    <row r="799" spans="10:12" ht="21.6" thickBot="1">
      <c r="J799" s="2"/>
      <c r="K799" s="2"/>
      <c r="L799" s="2"/>
    </row>
    <row r="800" spans="10:12" ht="21.6" thickBot="1">
      <c r="J800" s="2"/>
      <c r="K800" s="2"/>
      <c r="L800" s="2"/>
    </row>
    <row r="801" spans="10:12" ht="21.6" thickBot="1">
      <c r="J801" s="2"/>
      <c r="K801" s="2"/>
      <c r="L801" s="2"/>
    </row>
    <row r="802" spans="10:12" ht="21.6" thickBot="1">
      <c r="J802" s="2"/>
      <c r="K802" s="2"/>
      <c r="L802" s="2"/>
    </row>
    <row r="803" spans="10:12" ht="21.6" thickBot="1">
      <c r="J803" s="2"/>
      <c r="K803" s="2"/>
      <c r="L803" s="2"/>
    </row>
    <row r="804" spans="10:12" ht="21.6" thickBot="1">
      <c r="J804" s="2"/>
      <c r="K804" s="2"/>
      <c r="L804" s="2"/>
    </row>
    <row r="805" spans="10:12" ht="21.6" thickBot="1">
      <c r="J805" s="2"/>
      <c r="K805" s="2"/>
      <c r="L805" s="2"/>
    </row>
    <row r="806" spans="10:12" ht="21.6" thickBot="1">
      <c r="J806" s="2"/>
      <c r="K806" s="2"/>
      <c r="L806" s="2"/>
    </row>
    <row r="807" spans="10:12" ht="21.6" thickBot="1">
      <c r="J807" s="2"/>
      <c r="K807" s="2"/>
      <c r="L807" s="2"/>
    </row>
    <row r="808" spans="10:12" ht="21.6" thickBot="1">
      <c r="J808" s="2"/>
      <c r="K808" s="2"/>
      <c r="L808" s="2"/>
    </row>
    <row r="809" spans="10:12" ht="21.6" thickBot="1">
      <c r="J809" s="2"/>
      <c r="K809" s="2"/>
      <c r="L809" s="2"/>
    </row>
    <row r="810" spans="10:12" ht="21.6" thickBot="1">
      <c r="J810" s="2"/>
      <c r="K810" s="2"/>
      <c r="L810" s="2"/>
    </row>
    <row r="811" spans="10:12" ht="21.6" thickBot="1">
      <c r="J811" s="2"/>
      <c r="K811" s="2"/>
      <c r="L811" s="2"/>
    </row>
    <row r="812" spans="10:12" ht="21.6" thickBot="1">
      <c r="J812" s="2"/>
      <c r="K812" s="2"/>
      <c r="L812" s="2"/>
    </row>
    <row r="813" spans="10:12" ht="21.6" thickBot="1">
      <c r="J813" s="2"/>
      <c r="K813" s="2"/>
      <c r="L813" s="2"/>
    </row>
    <row r="814" spans="10:12" ht="21.6" thickBot="1">
      <c r="J814" s="2"/>
      <c r="K814" s="2"/>
      <c r="L814" s="2"/>
    </row>
    <row r="815" spans="10:12" ht="21.6" thickBot="1">
      <c r="J815" s="2"/>
      <c r="K815" s="2"/>
      <c r="L815" s="2"/>
    </row>
    <row r="816" spans="10:12" ht="21.6" thickBot="1">
      <c r="J816" s="2"/>
      <c r="K816" s="2"/>
      <c r="L816" s="2"/>
    </row>
    <row r="817" spans="10:12" ht="21.6" thickBot="1">
      <c r="J817" s="2"/>
      <c r="K817" s="2"/>
      <c r="L817" s="2"/>
    </row>
    <row r="818" spans="10:12" ht="21.6" thickBot="1">
      <c r="J818" s="2"/>
      <c r="K818" s="2"/>
      <c r="L818" s="2"/>
    </row>
    <row r="819" spans="10:12" ht="21.6" thickBot="1">
      <c r="J819" s="2"/>
      <c r="K819" s="2"/>
      <c r="L819" s="2"/>
    </row>
    <row r="820" spans="10:12" ht="21.6" thickBot="1">
      <c r="J820" s="2"/>
      <c r="K820" s="2"/>
      <c r="L820" s="2"/>
    </row>
    <row r="821" spans="10:12" ht="21.6" thickBot="1">
      <c r="J821" s="2"/>
      <c r="K821" s="2"/>
      <c r="L821" s="2"/>
    </row>
    <row r="822" spans="10:12" ht="21.6" thickBot="1">
      <c r="J822" s="2"/>
      <c r="K822" s="2"/>
      <c r="L822" s="2"/>
    </row>
    <row r="823" spans="10:12" ht="21.6" thickBot="1">
      <c r="J823" s="2"/>
      <c r="K823" s="2"/>
      <c r="L823" s="2"/>
    </row>
    <row r="824" spans="10:12" ht="21.6" thickBot="1">
      <c r="J824" s="2"/>
      <c r="K824" s="2"/>
      <c r="L824" s="2"/>
    </row>
    <row r="825" spans="10:12" ht="21.6" thickBot="1">
      <c r="J825" s="2"/>
      <c r="K825" s="2"/>
      <c r="L825" s="2"/>
    </row>
    <row r="826" spans="10:12" ht="21.6" thickBot="1">
      <c r="J826" s="2"/>
      <c r="K826" s="2"/>
      <c r="L826" s="2"/>
    </row>
    <row r="827" spans="10:12" ht="21.6" thickBot="1">
      <c r="J827" s="2"/>
      <c r="K827" s="2"/>
      <c r="L827" s="2"/>
    </row>
    <row r="828" spans="10:12" ht="21.6" thickBot="1">
      <c r="J828" s="2"/>
      <c r="K828" s="2"/>
      <c r="L828" s="2"/>
    </row>
    <row r="829" spans="10:12" ht="21.6" thickBot="1">
      <c r="J829" s="2"/>
      <c r="K829" s="2"/>
      <c r="L829" s="2"/>
    </row>
    <row r="830" spans="10:12" ht="21.6" thickBot="1">
      <c r="J830" s="2"/>
      <c r="K830" s="2"/>
      <c r="L830" s="2"/>
    </row>
    <row r="831" spans="10:12" ht="21.6" thickBot="1">
      <c r="J831" s="2"/>
      <c r="K831" s="2"/>
      <c r="L831" s="2"/>
    </row>
    <row r="832" spans="10:12" ht="21.6" thickBot="1">
      <c r="J832" s="2"/>
      <c r="K832" s="2"/>
      <c r="L832" s="2"/>
    </row>
    <row r="833" spans="10:12" ht="21.6" thickBot="1">
      <c r="J833" s="2"/>
      <c r="K833" s="2"/>
      <c r="L833" s="2"/>
    </row>
    <row r="834" spans="10:12" ht="21.6" thickBot="1">
      <c r="J834" s="2"/>
      <c r="K834" s="2"/>
      <c r="L834" s="2"/>
    </row>
    <row r="835" spans="10:12" ht="21.6" thickBot="1">
      <c r="J835" s="2"/>
      <c r="K835" s="2"/>
      <c r="L835" s="2"/>
    </row>
    <row r="836" spans="10:12" ht="21.6" thickBot="1">
      <c r="J836" s="2"/>
      <c r="K836" s="2"/>
      <c r="L836" s="2"/>
    </row>
    <row r="837" spans="10:12" ht="21.6" thickBot="1">
      <c r="J837" s="2"/>
      <c r="K837" s="2"/>
      <c r="L837" s="2"/>
    </row>
    <row r="838" spans="10:12" ht="21.6" thickBot="1">
      <c r="J838" s="2"/>
      <c r="K838" s="2"/>
      <c r="L838" s="2"/>
    </row>
    <row r="839" spans="10:12" ht="21.6" thickBot="1">
      <c r="J839" s="2"/>
      <c r="K839" s="2"/>
      <c r="L839" s="2"/>
    </row>
    <row r="840" spans="10:12" ht="21.6" thickBot="1">
      <c r="J840" s="2"/>
      <c r="K840" s="2"/>
      <c r="L840" s="2"/>
    </row>
    <row r="841" spans="10:12" ht="21.6" thickBot="1">
      <c r="J841" s="2"/>
      <c r="K841" s="2"/>
      <c r="L841" s="2"/>
    </row>
    <row r="842" spans="10:12" ht="21.6" thickBot="1">
      <c r="J842" s="2"/>
      <c r="K842" s="2"/>
      <c r="L842" s="2"/>
    </row>
    <row r="843" spans="10:12" ht="21.6" thickBot="1">
      <c r="J843" s="2"/>
      <c r="K843" s="2"/>
      <c r="L843" s="2"/>
    </row>
    <row r="844" spans="10:12" ht="21.6" thickBot="1">
      <c r="J844" s="2"/>
      <c r="K844" s="2"/>
      <c r="L844" s="2"/>
    </row>
    <row r="845" spans="10:12" ht="21.6" thickBot="1">
      <c r="J845" s="2"/>
      <c r="K845" s="2"/>
      <c r="L845" s="2"/>
    </row>
    <row r="846" spans="10:12" ht="21.6" thickBot="1">
      <c r="J846" s="2"/>
      <c r="K846" s="2"/>
      <c r="L846" s="2"/>
    </row>
    <row r="847" spans="10:12" ht="21.6" thickBot="1">
      <c r="J847" s="2"/>
      <c r="K847" s="2"/>
      <c r="L847" s="2"/>
    </row>
    <row r="848" spans="10:12" ht="21.6" thickBot="1">
      <c r="J848" s="2"/>
      <c r="K848" s="2"/>
      <c r="L848" s="2"/>
    </row>
    <row r="849" spans="10:12" ht="21.6" thickBot="1">
      <c r="J849" s="2"/>
      <c r="K849" s="2"/>
      <c r="L849" s="2"/>
    </row>
    <row r="850" spans="10:12" ht="21.6" thickBot="1">
      <c r="J850" s="2"/>
      <c r="K850" s="2"/>
      <c r="L850" s="2"/>
    </row>
    <row r="851" spans="10:12" ht="21.6" thickBot="1">
      <c r="J851" s="2"/>
      <c r="K851" s="2"/>
      <c r="L851" s="2"/>
    </row>
    <row r="852" spans="10:12" ht="21.6" thickBot="1">
      <c r="J852" s="2"/>
      <c r="K852" s="2"/>
      <c r="L852" s="2"/>
    </row>
    <row r="853" spans="10:12" ht="21.6" thickBot="1">
      <c r="J853" s="2"/>
      <c r="K853" s="2"/>
      <c r="L853" s="2"/>
    </row>
    <row r="854" spans="10:12" ht="21.6" thickBot="1">
      <c r="J854" s="2"/>
      <c r="K854" s="2"/>
      <c r="L854" s="2"/>
    </row>
    <row r="855" spans="10:12" ht="21.6" thickBot="1">
      <c r="J855" s="2"/>
      <c r="K855" s="2"/>
      <c r="L855" s="2"/>
    </row>
    <row r="856" spans="10:12" ht="21.6" thickBot="1">
      <c r="J856" s="2"/>
      <c r="K856" s="2"/>
      <c r="L856" s="2"/>
    </row>
    <row r="857" spans="10:12" ht="21.6" thickBot="1">
      <c r="J857" s="2"/>
      <c r="K857" s="2"/>
      <c r="L857" s="2"/>
    </row>
    <row r="858" spans="10:12" ht="21.6" thickBot="1">
      <c r="J858" s="2"/>
      <c r="K858" s="2"/>
      <c r="L858" s="2"/>
    </row>
    <row r="859" spans="10:12" ht="21.6" thickBot="1">
      <c r="J859" s="2"/>
      <c r="K859" s="2"/>
      <c r="L859" s="2"/>
    </row>
    <row r="860" spans="10:12" ht="21.6" thickBot="1">
      <c r="J860" s="2"/>
      <c r="K860" s="2"/>
      <c r="L860" s="2"/>
    </row>
    <row r="861" spans="10:12" ht="21.6" thickBot="1">
      <c r="J861" s="2"/>
      <c r="K861" s="2"/>
      <c r="L861" s="2"/>
    </row>
    <row r="862" spans="10:12" ht="21.6" thickBot="1">
      <c r="J862" s="2"/>
      <c r="K862" s="2"/>
      <c r="L862" s="2"/>
    </row>
    <row r="863" spans="10:12" ht="21.6" thickBot="1">
      <c r="J863" s="2"/>
      <c r="K863" s="2"/>
      <c r="L863" s="2"/>
    </row>
    <row r="864" spans="10:12" ht="21.6" thickBot="1">
      <c r="J864" s="2"/>
      <c r="K864" s="2"/>
      <c r="L864" s="2"/>
    </row>
    <row r="865" spans="10:12" ht="21.6" thickBot="1">
      <c r="J865" s="2"/>
      <c r="K865" s="2"/>
      <c r="L865" s="2"/>
    </row>
    <row r="866" spans="10:12" ht="21.6" thickBot="1">
      <c r="J866" s="2"/>
      <c r="K866" s="2"/>
      <c r="L866" s="2"/>
    </row>
    <row r="867" spans="10:12" ht="21.6" thickBot="1">
      <c r="J867" s="2"/>
      <c r="K867" s="2"/>
      <c r="L867" s="2"/>
    </row>
    <row r="868" spans="10:12" ht="21.6" thickBot="1">
      <c r="J868" s="2"/>
      <c r="K868" s="2"/>
      <c r="L868" s="2"/>
    </row>
    <row r="869" spans="10:12" ht="21.6" thickBot="1">
      <c r="J869" s="2"/>
      <c r="K869" s="2"/>
      <c r="L869" s="2"/>
    </row>
    <row r="870" spans="10:12" ht="21.6" thickBot="1">
      <c r="J870" s="2"/>
      <c r="K870" s="2"/>
      <c r="L870" s="2"/>
    </row>
    <row r="871" spans="10:12" ht="21.6" thickBot="1">
      <c r="J871" s="2"/>
      <c r="K871" s="2"/>
      <c r="L871" s="2"/>
    </row>
    <row r="872" spans="10:12" ht="21.6" thickBot="1">
      <c r="J872" s="2"/>
      <c r="K872" s="2"/>
      <c r="L872" s="2"/>
    </row>
    <row r="873" spans="10:12" ht="21.6" thickBot="1">
      <c r="J873" s="2"/>
      <c r="K873" s="2"/>
      <c r="L873" s="2"/>
    </row>
    <row r="874" spans="10:12" ht="21.6" thickBot="1">
      <c r="J874" s="2"/>
      <c r="K874" s="2"/>
      <c r="L874" s="2"/>
    </row>
    <row r="875" spans="10:12" ht="21.6" thickBot="1">
      <c r="J875" s="2"/>
      <c r="K875" s="2"/>
      <c r="L875" s="2"/>
    </row>
    <row r="876" spans="10:12" ht="21.6" thickBot="1">
      <c r="J876" s="2"/>
      <c r="K876" s="2"/>
      <c r="L876" s="2"/>
    </row>
    <row r="877" spans="10:12" ht="21.6" thickBot="1">
      <c r="J877" s="2"/>
      <c r="K877" s="2"/>
      <c r="L877" s="2"/>
    </row>
    <row r="878" spans="10:12" ht="21.6" thickBot="1">
      <c r="J878" s="2"/>
      <c r="K878" s="2"/>
      <c r="L878" s="2"/>
    </row>
    <row r="879" spans="10:12" ht="21.6" thickBot="1">
      <c r="J879" s="2"/>
      <c r="K879" s="2"/>
      <c r="L879" s="2"/>
    </row>
    <row r="880" spans="10:12" ht="21.6" thickBot="1">
      <c r="J880" s="2"/>
      <c r="K880" s="2"/>
      <c r="L880" s="2"/>
    </row>
    <row r="881" spans="10:12" ht="21.6" thickBot="1">
      <c r="J881" s="2"/>
      <c r="K881" s="2"/>
      <c r="L881" s="2"/>
    </row>
    <row r="882" spans="10:12" ht="21.6" thickBot="1">
      <c r="J882" s="2"/>
      <c r="K882" s="2"/>
      <c r="L882" s="2"/>
    </row>
    <row r="883" spans="10:12" ht="21.6" thickBot="1">
      <c r="J883" s="2"/>
      <c r="K883" s="2"/>
      <c r="L883" s="2"/>
    </row>
    <row r="884" spans="10:12" ht="21.6" thickBot="1">
      <c r="J884" s="2"/>
      <c r="K884" s="2"/>
      <c r="L884" s="2"/>
    </row>
    <row r="885" spans="10:12" ht="21.6" thickBot="1">
      <c r="J885" s="2"/>
      <c r="K885" s="2"/>
      <c r="L885" s="2"/>
    </row>
    <row r="886" spans="10:12" ht="21.6" thickBot="1">
      <c r="J886" s="2"/>
      <c r="K886" s="2"/>
      <c r="L886" s="2"/>
    </row>
    <row r="887" spans="10:12" ht="21.6" thickBot="1">
      <c r="J887" s="2"/>
      <c r="K887" s="2"/>
      <c r="L887" s="2"/>
    </row>
    <row r="888" spans="10:12" ht="21.6" thickBot="1">
      <c r="J888" s="2"/>
      <c r="K888" s="2"/>
      <c r="L888" s="2"/>
    </row>
    <row r="889" spans="10:12" ht="21.6" thickBot="1">
      <c r="J889" s="2"/>
      <c r="K889" s="2"/>
      <c r="L889" s="2"/>
    </row>
    <row r="890" spans="10:12" ht="21.6" thickBot="1">
      <c r="J890" s="2"/>
      <c r="K890" s="2"/>
      <c r="L890" s="2"/>
    </row>
    <row r="891" spans="10:12" ht="21.6" thickBot="1">
      <c r="J891" s="2"/>
      <c r="K891" s="2"/>
      <c r="L891" s="2"/>
    </row>
    <row r="892" spans="10:12" ht="21.6" thickBot="1">
      <c r="J892" s="2"/>
      <c r="K892" s="2"/>
      <c r="L892" s="2"/>
    </row>
    <row r="893" spans="10:12" ht="21.6" thickBot="1">
      <c r="J893" s="2"/>
      <c r="K893" s="2"/>
      <c r="L893" s="2"/>
    </row>
    <row r="894" spans="10:12" ht="21.6" thickBot="1">
      <c r="J894" s="2"/>
      <c r="K894" s="2"/>
      <c r="L894" s="2"/>
    </row>
    <row r="895" spans="10:12" ht="21.6" thickBot="1">
      <c r="J895" s="2"/>
      <c r="K895" s="2"/>
      <c r="L895" s="2"/>
    </row>
    <row r="896" spans="10:12" ht="21.6" thickBot="1">
      <c r="J896" s="2"/>
      <c r="K896" s="2"/>
      <c r="L896" s="2"/>
    </row>
    <row r="897" spans="10:12" ht="21.6" thickBot="1">
      <c r="J897" s="2"/>
      <c r="K897" s="2"/>
      <c r="L897" s="2"/>
    </row>
    <row r="898" spans="10:12" ht="21.6" thickBot="1">
      <c r="J898" s="2"/>
      <c r="K898" s="2"/>
      <c r="L898" s="2"/>
    </row>
    <row r="899" spans="10:12" ht="21.6" thickBot="1">
      <c r="J899" s="2"/>
      <c r="K899" s="2"/>
      <c r="L899" s="2"/>
    </row>
    <row r="900" spans="10:12" ht="21.6" thickBot="1">
      <c r="J900" s="2"/>
      <c r="K900" s="2"/>
      <c r="L900" s="2"/>
    </row>
    <row r="901" spans="10:12" ht="21.6" thickBot="1">
      <c r="J901" s="2"/>
      <c r="K901" s="2"/>
      <c r="L901" s="2"/>
    </row>
    <row r="902" spans="10:12" ht="21.6" thickBot="1">
      <c r="J902" s="2"/>
      <c r="K902" s="2"/>
      <c r="L902" s="2"/>
    </row>
    <row r="903" spans="10:12" ht="21.6" thickBot="1">
      <c r="J903" s="2"/>
      <c r="K903" s="2"/>
      <c r="L903" s="2"/>
    </row>
    <row r="904" spans="10:12" ht="21.6" thickBot="1">
      <c r="J904" s="2"/>
      <c r="K904" s="2"/>
      <c r="L904" s="2"/>
    </row>
    <row r="905" spans="10:12" ht="21.6" thickBot="1">
      <c r="J905" s="2"/>
      <c r="K905" s="2"/>
      <c r="L905" s="2"/>
    </row>
    <row r="906" spans="10:12" ht="21.6" thickBot="1">
      <c r="J906" s="2"/>
      <c r="K906" s="2"/>
      <c r="L906" s="2"/>
    </row>
    <row r="907" spans="10:12" ht="21.6" thickBot="1">
      <c r="J907" s="2"/>
      <c r="K907" s="2"/>
      <c r="L907" s="2"/>
    </row>
    <row r="908" spans="10:12" ht="21.6" thickBot="1">
      <c r="J908" s="2"/>
      <c r="K908" s="2"/>
      <c r="L908" s="2"/>
    </row>
    <row r="909" spans="10:12" ht="21.6" thickBot="1">
      <c r="J909" s="2"/>
      <c r="K909" s="2"/>
      <c r="L909" s="2"/>
    </row>
    <row r="910" spans="10:12" ht="21.6" thickBot="1">
      <c r="J910" s="2"/>
      <c r="K910" s="2"/>
      <c r="L910" s="2"/>
    </row>
    <row r="911" spans="10:12" ht="21.6" thickBot="1">
      <c r="J911" s="2"/>
      <c r="K911" s="2"/>
      <c r="L911" s="2"/>
    </row>
    <row r="912" spans="10:12" ht="21.6" thickBot="1">
      <c r="J912" s="2"/>
      <c r="K912" s="2"/>
      <c r="L912" s="2"/>
    </row>
    <row r="913" spans="10:12" ht="21.6" thickBot="1">
      <c r="J913" s="2"/>
      <c r="K913" s="2"/>
      <c r="L913" s="2"/>
    </row>
    <row r="914" spans="10:12" ht="21.6" thickBot="1">
      <c r="J914" s="2"/>
      <c r="K914" s="2"/>
      <c r="L914" s="2"/>
    </row>
    <row r="915" spans="10:12" ht="21.6" thickBot="1">
      <c r="J915" s="2"/>
      <c r="K915" s="2"/>
      <c r="L915" s="2"/>
    </row>
    <row r="916" spans="10:12" ht="21.6" thickBot="1">
      <c r="J916" s="2"/>
      <c r="K916" s="2"/>
      <c r="L916" s="2"/>
    </row>
    <row r="917" spans="10:12" ht="21.6" thickBot="1">
      <c r="J917" s="2"/>
      <c r="K917" s="2"/>
      <c r="L917" s="2"/>
    </row>
    <row r="918" spans="10:12" ht="21.6" thickBot="1">
      <c r="J918" s="2"/>
      <c r="K918" s="2"/>
      <c r="L918" s="2"/>
    </row>
    <row r="919" spans="10:12" ht="21.6" thickBot="1">
      <c r="J919" s="2"/>
      <c r="K919" s="2"/>
      <c r="L919" s="2"/>
    </row>
    <row r="920" spans="10:12" ht="21.6" thickBot="1">
      <c r="J920" s="2"/>
      <c r="K920" s="2"/>
      <c r="L920" s="2"/>
    </row>
    <row r="921" spans="10:12" ht="21.6" thickBot="1">
      <c r="J921" s="2"/>
      <c r="K921" s="2"/>
      <c r="L921" s="2"/>
    </row>
    <row r="922" spans="10:12" ht="21.6" thickBot="1">
      <c r="J922" s="2"/>
      <c r="K922" s="2"/>
      <c r="L922" s="2"/>
    </row>
    <row r="923" spans="10:12" ht="21.6" thickBot="1">
      <c r="J923" s="2"/>
      <c r="K923" s="2"/>
      <c r="L923" s="2"/>
    </row>
    <row r="924" spans="10:12" ht="21.6" thickBot="1">
      <c r="J924" s="2"/>
      <c r="K924" s="2"/>
      <c r="L924" s="2"/>
    </row>
    <row r="925" spans="10:12" ht="21.6" thickBot="1">
      <c r="J925" s="2"/>
      <c r="K925" s="2"/>
      <c r="L925" s="2"/>
    </row>
    <row r="926" spans="10:12" ht="21.6" thickBot="1">
      <c r="J926" s="2"/>
      <c r="K926" s="2"/>
      <c r="L926" s="2"/>
    </row>
    <row r="927" spans="10:12" ht="21.6" thickBot="1">
      <c r="J927" s="2"/>
      <c r="K927" s="2"/>
      <c r="L927" s="2"/>
    </row>
    <row r="928" spans="10:12" ht="21.6" thickBot="1">
      <c r="J928" s="2"/>
      <c r="K928" s="2"/>
      <c r="L928" s="2"/>
    </row>
    <row r="929" spans="10:12" ht="21.6" thickBot="1">
      <c r="J929" s="2"/>
      <c r="K929" s="2"/>
      <c r="L929" s="2"/>
    </row>
    <row r="930" spans="10:12" ht="21.6" thickBot="1">
      <c r="J930" s="2"/>
      <c r="K930" s="2"/>
      <c r="L930" s="2"/>
    </row>
    <row r="931" spans="10:12" ht="21.6" thickBot="1">
      <c r="J931" s="2"/>
      <c r="K931" s="2"/>
      <c r="L931" s="2"/>
    </row>
    <row r="932" spans="10:12" ht="21.6" thickBot="1">
      <c r="J932" s="2"/>
      <c r="K932" s="2"/>
      <c r="L932" s="2"/>
    </row>
    <row r="933" spans="10:12" ht="21.6" thickBot="1">
      <c r="J933" s="2"/>
      <c r="K933" s="2"/>
      <c r="L933" s="2"/>
    </row>
    <row r="934" spans="10:12" ht="21.6" thickBot="1">
      <c r="J934" s="2"/>
      <c r="K934" s="2"/>
      <c r="L934" s="2"/>
    </row>
    <row r="935" spans="10:12" ht="21.6" thickBot="1">
      <c r="J935" s="2"/>
      <c r="K935" s="2"/>
      <c r="L935" s="2"/>
    </row>
    <row r="936" spans="10:12" ht="21.6" thickBot="1">
      <c r="J936" s="2"/>
      <c r="K936" s="2"/>
      <c r="L936" s="2"/>
    </row>
    <row r="937" spans="10:12" ht="21.6" thickBot="1">
      <c r="J937" s="2"/>
      <c r="K937" s="2"/>
      <c r="L937" s="2"/>
    </row>
    <row r="938" spans="10:12" ht="21.6" thickBot="1">
      <c r="J938" s="2"/>
      <c r="K938" s="2"/>
      <c r="L938" s="2"/>
    </row>
    <row r="939" spans="10:12" ht="21.6" thickBot="1">
      <c r="J939" s="2"/>
      <c r="K939" s="2"/>
      <c r="L939" s="2"/>
    </row>
    <row r="940" spans="10:12" ht="21.6" thickBot="1">
      <c r="J940" s="2"/>
      <c r="K940" s="2"/>
      <c r="L940" s="2"/>
    </row>
    <row r="941" spans="10:12" ht="21.6" thickBot="1">
      <c r="J941" s="2"/>
      <c r="K941" s="2"/>
      <c r="L941" s="2"/>
    </row>
    <row r="942" spans="10:12" ht="21.6" thickBot="1">
      <c r="J942" s="2"/>
      <c r="K942" s="2"/>
      <c r="L942" s="2"/>
    </row>
    <row r="943" spans="10:12" ht="21.6" thickBot="1">
      <c r="J943" s="2"/>
      <c r="K943" s="2"/>
      <c r="L943" s="2"/>
    </row>
    <row r="944" spans="10:12" ht="21.6" thickBot="1">
      <c r="J944" s="2"/>
      <c r="K944" s="2"/>
      <c r="L944" s="2"/>
    </row>
    <row r="945" spans="10:12" ht="21.6" thickBot="1">
      <c r="J945" s="2"/>
      <c r="K945" s="2"/>
      <c r="L945" s="2"/>
    </row>
    <row r="946" spans="10:12" ht="21.6" thickBot="1">
      <c r="J946" s="2"/>
      <c r="K946" s="2"/>
      <c r="L946" s="2"/>
    </row>
    <row r="947" spans="10:12" ht="21.6" thickBot="1">
      <c r="J947" s="2"/>
      <c r="K947" s="2"/>
      <c r="L947" s="2"/>
    </row>
    <row r="948" spans="10:12" ht="21.6" thickBot="1">
      <c r="J948" s="2"/>
      <c r="K948" s="2"/>
      <c r="L948" s="2"/>
    </row>
    <row r="949" spans="10:12" ht="21.6" thickBot="1">
      <c r="J949" s="2"/>
      <c r="K949" s="2"/>
      <c r="L949" s="2"/>
    </row>
    <row r="950" spans="10:12" ht="21.6" thickBot="1">
      <c r="J950" s="2"/>
      <c r="K950" s="2"/>
      <c r="L950" s="2"/>
    </row>
    <row r="951" spans="10:12" ht="21.6" thickBot="1">
      <c r="J951" s="2"/>
      <c r="K951" s="2"/>
      <c r="L951" s="2"/>
    </row>
    <row r="952" spans="10:12" ht="21.6" thickBot="1">
      <c r="J952" s="2"/>
      <c r="K952" s="2"/>
      <c r="L952" s="2"/>
    </row>
    <row r="953" spans="10:12" ht="21.6" thickBot="1">
      <c r="J953" s="2"/>
      <c r="K953" s="2"/>
      <c r="L953" s="2"/>
    </row>
    <row r="954" spans="10:12" ht="21.6" thickBot="1">
      <c r="J954" s="2"/>
      <c r="K954" s="2"/>
      <c r="L954" s="2"/>
    </row>
    <row r="955" spans="10:12" ht="21.6" thickBot="1">
      <c r="J955" s="2"/>
      <c r="K955" s="2"/>
      <c r="L955" s="2"/>
    </row>
    <row r="956" spans="10:12" ht="21.6" thickBot="1">
      <c r="J956" s="2"/>
      <c r="K956" s="2"/>
      <c r="L956" s="2"/>
    </row>
    <row r="957" spans="10:12" ht="21.6" thickBot="1">
      <c r="J957" s="2"/>
      <c r="K957" s="2"/>
      <c r="L957" s="2"/>
    </row>
    <row r="958" spans="10:12" ht="21.6" thickBot="1">
      <c r="J958" s="2"/>
      <c r="K958" s="2"/>
      <c r="L958" s="2"/>
    </row>
    <row r="959" spans="10:12" ht="21.6" thickBot="1">
      <c r="J959" s="2"/>
      <c r="K959" s="2"/>
      <c r="L959" s="2"/>
    </row>
    <row r="960" spans="10:12" ht="21.6" thickBot="1">
      <c r="J960" s="2"/>
      <c r="K960" s="2"/>
      <c r="L960" s="2"/>
    </row>
    <row r="961" spans="10:12" ht="21.6" thickBot="1">
      <c r="J961" s="2"/>
      <c r="K961" s="2"/>
      <c r="L961" s="2"/>
    </row>
    <row r="962" spans="10:12" ht="21.6" thickBot="1">
      <c r="J962" s="2"/>
      <c r="K962" s="2"/>
      <c r="L962" s="2"/>
    </row>
    <row r="963" spans="10:12" ht="21.6" thickBot="1">
      <c r="J963" s="2"/>
      <c r="K963" s="2"/>
      <c r="L963" s="2"/>
    </row>
    <row r="964" spans="10:12" ht="21.6" thickBot="1">
      <c r="J964" s="2"/>
      <c r="K964" s="2"/>
      <c r="L964" s="2"/>
    </row>
    <row r="965" spans="10:12" ht="21.6" thickBot="1">
      <c r="J965" s="2"/>
      <c r="K965" s="2"/>
      <c r="L965" s="2"/>
    </row>
    <row r="966" spans="10:12" ht="21.6" thickBot="1">
      <c r="J966" s="2"/>
      <c r="K966" s="2"/>
      <c r="L966" s="2"/>
    </row>
    <row r="967" spans="10:12" ht="21.6" thickBot="1">
      <c r="J967" s="2"/>
      <c r="K967" s="2"/>
      <c r="L967" s="2"/>
    </row>
    <row r="968" spans="10:12" ht="21.6" thickBot="1">
      <c r="J968" s="2"/>
      <c r="K968" s="2"/>
      <c r="L968" s="2"/>
    </row>
    <row r="969" spans="10:12" ht="21.6" thickBot="1">
      <c r="J969" s="2"/>
      <c r="K969" s="2"/>
      <c r="L969" s="2"/>
    </row>
    <row r="970" spans="10:12" ht="21.6" thickBot="1">
      <c r="J970" s="2"/>
      <c r="K970" s="2"/>
      <c r="L970" s="2"/>
    </row>
    <row r="971" spans="10:12" ht="21.6" thickBot="1">
      <c r="J971" s="2"/>
      <c r="K971" s="2"/>
      <c r="L971" s="2"/>
    </row>
    <row r="972" spans="10:12" ht="21.6" thickBot="1">
      <c r="J972" s="2"/>
      <c r="K972" s="2"/>
      <c r="L972" s="2"/>
    </row>
    <row r="973" spans="10:12" ht="21.6" thickBot="1">
      <c r="J973" s="2"/>
      <c r="K973" s="2"/>
      <c r="L973" s="2"/>
    </row>
    <row r="974" spans="10:12" ht="21.6" thickBot="1">
      <c r="J974" s="2"/>
      <c r="K974" s="2"/>
      <c r="L974" s="2"/>
    </row>
    <row r="975" spans="10:12" ht="21.6" thickBot="1">
      <c r="J975" s="2"/>
      <c r="K975" s="2"/>
      <c r="L975" s="2"/>
    </row>
    <row r="976" spans="10:12" ht="21.6" thickBot="1">
      <c r="J976" s="2"/>
      <c r="K976" s="2"/>
      <c r="L976" s="2"/>
    </row>
    <row r="977" spans="10:12" ht="21.6" thickBot="1">
      <c r="J977" s="2"/>
      <c r="K977" s="2"/>
      <c r="L977" s="2"/>
    </row>
    <row r="978" spans="10:12" ht="21.6" thickBot="1">
      <c r="J978" s="2"/>
      <c r="K978" s="2"/>
      <c r="L978" s="2"/>
    </row>
    <row r="979" spans="10:12" ht="21.6" thickBot="1">
      <c r="J979" s="2"/>
      <c r="K979" s="2"/>
      <c r="L979" s="2"/>
    </row>
    <row r="980" spans="10:12" ht="21.6" thickBot="1">
      <c r="J980" s="2"/>
      <c r="K980" s="2"/>
      <c r="L980" s="2"/>
    </row>
    <row r="981" spans="10:12" ht="21.6" thickBot="1">
      <c r="J981" s="2"/>
      <c r="K981" s="2"/>
      <c r="L981" s="2"/>
    </row>
    <row r="982" spans="10:12" ht="21.6" thickBot="1">
      <c r="J982" s="2"/>
      <c r="K982" s="2"/>
      <c r="L982" s="2"/>
    </row>
    <row r="983" spans="10:12" ht="21.6" thickBot="1">
      <c r="J983" s="2"/>
      <c r="K983" s="2"/>
      <c r="L983" s="2"/>
    </row>
    <row r="984" spans="10:12" ht="21.6" thickBot="1">
      <c r="J984" s="2"/>
      <c r="K984" s="2"/>
      <c r="L984" s="2"/>
    </row>
    <row r="985" spans="10:12" ht="21.6" thickBot="1">
      <c r="J985" s="2"/>
      <c r="K985" s="2"/>
      <c r="L985" s="2"/>
    </row>
    <row r="986" spans="10:12" ht="21.6" thickBot="1">
      <c r="J986" s="2"/>
      <c r="K986" s="2"/>
      <c r="L986" s="2"/>
    </row>
    <row r="987" spans="10:12" ht="21.6" thickBot="1">
      <c r="J987" s="2"/>
      <c r="K987" s="2"/>
      <c r="L987" s="2"/>
    </row>
    <row r="988" spans="10:12" ht="21.6" thickBot="1">
      <c r="J988" s="2"/>
      <c r="K988" s="2"/>
      <c r="L988" s="2"/>
    </row>
    <row r="989" spans="10:12" ht="21.6" thickBot="1">
      <c r="J989" s="2"/>
      <c r="K989" s="2"/>
      <c r="L989" s="2"/>
    </row>
    <row r="990" spans="10:12" ht="21.6" thickBot="1">
      <c r="J990" s="2"/>
      <c r="K990" s="2"/>
      <c r="L990" s="2"/>
    </row>
    <row r="991" spans="10:12" ht="21.6" thickBot="1">
      <c r="J991" s="2"/>
      <c r="K991" s="2"/>
      <c r="L991" s="2"/>
    </row>
    <row r="992" spans="10:12" ht="21.6" thickBot="1">
      <c r="J992" s="2"/>
      <c r="K992" s="2"/>
      <c r="L992" s="2"/>
    </row>
    <row r="993" spans="10:12" ht="21.6" thickBot="1">
      <c r="J993" s="2"/>
      <c r="K993" s="2"/>
      <c r="L993" s="2"/>
    </row>
    <row r="994" spans="10:12" ht="21.6" thickBot="1">
      <c r="J994" s="2"/>
      <c r="K994" s="2"/>
      <c r="L994" s="2"/>
    </row>
    <row r="995" spans="10:12" ht="21.6" thickBot="1">
      <c r="J995" s="2"/>
      <c r="K995" s="2"/>
      <c r="L995" s="2"/>
    </row>
    <row r="996" spans="10:12" ht="21.6" thickBot="1">
      <c r="J996" s="2"/>
      <c r="K996" s="2"/>
      <c r="L996" s="2"/>
    </row>
    <row r="997" spans="10:12" ht="21.6" thickBot="1">
      <c r="J997" s="2"/>
      <c r="K997" s="2"/>
      <c r="L997" s="2"/>
    </row>
    <row r="998" spans="10:12" ht="21.6" thickBot="1">
      <c r="J998" s="2"/>
      <c r="K998" s="2"/>
      <c r="L998" s="2"/>
    </row>
    <row r="999" spans="10:12" ht="21.6" thickBot="1">
      <c r="J999" s="2"/>
      <c r="K999" s="2"/>
      <c r="L999" s="2"/>
    </row>
    <row r="1000" spans="10:12" ht="21.6" thickBot="1">
      <c r="J1000" s="2"/>
      <c r="K1000" s="2"/>
      <c r="L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6C64-69F4-4545-BE72-A6524BCDF0E8}">
  <dimension ref="A1:C5"/>
  <sheetViews>
    <sheetView workbookViewId="0">
      <selection activeCell="G9" sqref="G9"/>
    </sheetView>
  </sheetViews>
  <sheetFormatPr defaultRowHeight="13.8"/>
  <cols>
    <col min="3" max="3" width="12.19921875" customWidth="1"/>
  </cols>
  <sheetData>
    <row r="1" spans="1:3">
      <c r="A1" t="s">
        <v>0</v>
      </c>
      <c r="B1" t="s">
        <v>529</v>
      </c>
      <c r="C1" t="s">
        <v>530</v>
      </c>
    </row>
    <row r="2" spans="1:3">
      <c r="A2">
        <v>2026</v>
      </c>
      <c r="B2" t="s">
        <v>531</v>
      </c>
      <c r="C2">
        <f>SUM(Recruitment!AC:AC)</f>
        <v>890</v>
      </c>
    </row>
    <row r="3" spans="1:3">
      <c r="A3">
        <v>2026</v>
      </c>
      <c r="B3" t="s">
        <v>29</v>
      </c>
      <c r="C3">
        <f>SUM(Recruitment!AD:AD)</f>
        <v>31</v>
      </c>
    </row>
    <row r="4" spans="1:3">
      <c r="A4">
        <v>2026</v>
      </c>
      <c r="B4" t="s">
        <v>30</v>
      </c>
      <c r="C4">
        <f>SUM(Recruitment!AE:AE)</f>
        <v>11</v>
      </c>
    </row>
    <row r="5" spans="1:3">
      <c r="A5">
        <v>2026</v>
      </c>
      <c r="B5" t="s">
        <v>532</v>
      </c>
      <c r="C5">
        <f>SUM(Recruitment!AH:AH)</f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666B-AC1B-411C-B2FA-DEDBF24279BE}">
  <dimension ref="A1:AD1010"/>
  <sheetViews>
    <sheetView workbookViewId="0">
      <selection activeCell="B18" sqref="B18"/>
    </sheetView>
  </sheetViews>
  <sheetFormatPr defaultColWidth="9" defaultRowHeight="25.8"/>
  <cols>
    <col min="1" max="1" width="37.09765625" style="124" bestFit="1" customWidth="1"/>
    <col min="2" max="2" width="28.19921875" style="124" bestFit="1" customWidth="1"/>
    <col min="3" max="3" width="15.59765625" style="124" customWidth="1"/>
    <col min="4" max="4" width="13.59765625" style="124" customWidth="1"/>
    <col min="5" max="7" width="9" style="124"/>
    <col min="8" max="8" width="22.09765625" style="124" bestFit="1" customWidth="1"/>
    <col min="9" max="11" width="9" style="124"/>
    <col min="12" max="12" width="9.8984375" style="124" bestFit="1" customWidth="1"/>
    <col min="13" max="16384" width="9" style="124"/>
  </cols>
  <sheetData>
    <row r="1" spans="1:30">
      <c r="A1" s="155" t="s">
        <v>533</v>
      </c>
      <c r="B1" s="151" t="s">
        <v>534</v>
      </c>
      <c r="C1" s="151" t="s">
        <v>535</v>
      </c>
      <c r="D1" s="151" t="s">
        <v>536</v>
      </c>
      <c r="E1" s="148" t="s">
        <v>537</v>
      </c>
      <c r="F1" s="149"/>
      <c r="G1" s="150"/>
      <c r="H1" s="151" t="s">
        <v>538</v>
      </c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3"/>
    </row>
    <row r="2" spans="1:30">
      <c r="A2" s="156"/>
      <c r="B2" s="152"/>
      <c r="C2" s="152"/>
      <c r="D2" s="152"/>
      <c r="E2" s="125" t="s">
        <v>41</v>
      </c>
      <c r="F2" s="125" t="s">
        <v>82</v>
      </c>
      <c r="G2" s="126" t="s">
        <v>539</v>
      </c>
      <c r="H2" s="152"/>
      <c r="I2" s="127"/>
      <c r="J2" s="127"/>
      <c r="K2" s="127" t="s">
        <v>540</v>
      </c>
      <c r="L2" s="128">
        <v>23000</v>
      </c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9"/>
    </row>
    <row r="3" spans="1:30">
      <c r="A3" s="130" t="s">
        <v>541</v>
      </c>
      <c r="B3" s="131"/>
      <c r="C3" s="131"/>
      <c r="D3" s="131"/>
      <c r="E3" s="131">
        <v>31</v>
      </c>
      <c r="F3" s="131">
        <v>20</v>
      </c>
      <c r="G3" s="131">
        <v>14</v>
      </c>
      <c r="H3" s="131"/>
      <c r="I3" s="127"/>
      <c r="J3" s="127"/>
      <c r="K3" s="127" t="s">
        <v>542</v>
      </c>
      <c r="L3" s="132">
        <v>178675</v>
      </c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9"/>
    </row>
    <row r="4" spans="1:30">
      <c r="A4" s="130" t="s">
        <v>543</v>
      </c>
      <c r="B4" s="131"/>
      <c r="C4" s="131"/>
      <c r="D4" s="131"/>
      <c r="E4" s="131"/>
      <c r="F4" s="131"/>
      <c r="G4" s="131"/>
      <c r="H4" s="131"/>
      <c r="I4" s="127"/>
      <c r="J4" s="127"/>
      <c r="K4" s="127" t="s">
        <v>544</v>
      </c>
      <c r="L4" s="132">
        <v>229650</v>
      </c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9"/>
    </row>
    <row r="5" spans="1:30">
      <c r="A5" s="157" t="s">
        <v>545</v>
      </c>
      <c r="B5" s="131" t="s">
        <v>546</v>
      </c>
      <c r="C5" s="133">
        <v>491400</v>
      </c>
      <c r="D5" s="131" t="s">
        <v>547</v>
      </c>
      <c r="E5" s="131">
        <v>589</v>
      </c>
      <c r="F5" s="131"/>
      <c r="G5" s="131">
        <v>350</v>
      </c>
      <c r="H5" s="131"/>
      <c r="I5" s="127"/>
      <c r="J5" s="127"/>
      <c r="K5" s="127" t="s">
        <v>548</v>
      </c>
      <c r="L5" s="127">
        <v>12910</v>
      </c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9"/>
    </row>
    <row r="6" spans="1:30">
      <c r="A6" s="158"/>
      <c r="B6" s="131" t="s">
        <v>549</v>
      </c>
      <c r="C6" s="133">
        <v>80000</v>
      </c>
      <c r="D6" s="131" t="s">
        <v>547</v>
      </c>
      <c r="E6" s="131"/>
      <c r="F6" s="131"/>
      <c r="G6" s="131"/>
      <c r="H6" s="131"/>
      <c r="I6" s="127"/>
      <c r="J6" s="127"/>
      <c r="K6" s="127" t="s">
        <v>550</v>
      </c>
      <c r="L6" s="132">
        <v>57930</v>
      </c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  <c r="AD6" s="129"/>
    </row>
    <row r="7" spans="1:30">
      <c r="A7" s="159"/>
      <c r="B7" s="134" t="s">
        <v>551</v>
      </c>
      <c r="C7" s="133">
        <v>12157</v>
      </c>
      <c r="D7" s="131"/>
      <c r="E7" s="131"/>
      <c r="F7" s="131"/>
      <c r="G7" s="131"/>
      <c r="H7" s="131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  <c r="AD7" s="129"/>
    </row>
    <row r="8" spans="1:30">
      <c r="A8" s="130" t="s">
        <v>552</v>
      </c>
      <c r="B8" s="131" t="s">
        <v>552</v>
      </c>
      <c r="C8" s="131">
        <v>0</v>
      </c>
      <c r="D8" s="131"/>
      <c r="E8" s="131"/>
      <c r="F8" s="131"/>
      <c r="G8" s="131"/>
      <c r="H8" s="131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9"/>
    </row>
    <row r="9" spans="1:30">
      <c r="A9" s="157" t="s">
        <v>553</v>
      </c>
      <c r="B9" s="131" t="s">
        <v>554</v>
      </c>
      <c r="C9" s="131">
        <v>241.375</v>
      </c>
      <c r="D9" s="131" t="s">
        <v>555</v>
      </c>
      <c r="E9" s="131"/>
      <c r="F9" s="131">
        <v>5</v>
      </c>
      <c r="G9" s="131"/>
      <c r="H9" s="131">
        <v>2.6</v>
      </c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9"/>
    </row>
    <row r="10" spans="1:30">
      <c r="A10" s="159"/>
      <c r="B10" s="134" t="s">
        <v>556</v>
      </c>
      <c r="C10" s="131">
        <v>139.8583333</v>
      </c>
      <c r="D10" s="131"/>
      <c r="E10" s="131"/>
      <c r="F10" s="131"/>
      <c r="G10" s="131"/>
      <c r="H10" s="131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27"/>
      <c r="AC10" s="127"/>
      <c r="AD10" s="129"/>
    </row>
    <row r="11" spans="1:30">
      <c r="A11" s="157" t="s">
        <v>409</v>
      </c>
      <c r="B11" s="131" t="s">
        <v>557</v>
      </c>
      <c r="C11" s="131">
        <v>95.833333330000002</v>
      </c>
      <c r="D11" s="131" t="s">
        <v>555</v>
      </c>
      <c r="E11" s="131">
        <v>15</v>
      </c>
      <c r="F11" s="131">
        <v>5</v>
      </c>
      <c r="G11" s="131">
        <v>13</v>
      </c>
      <c r="H11" s="131">
        <v>0.5</v>
      </c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  <c r="AD11" s="129"/>
    </row>
    <row r="12" spans="1:30">
      <c r="A12" s="158"/>
      <c r="B12" s="131" t="s">
        <v>558</v>
      </c>
      <c r="C12" s="131">
        <v>241.375</v>
      </c>
      <c r="D12" s="131" t="s">
        <v>555</v>
      </c>
      <c r="E12" s="131"/>
      <c r="F12" s="131"/>
      <c r="G12" s="131"/>
      <c r="H12" s="131"/>
      <c r="I12" s="127"/>
      <c r="J12" s="127"/>
      <c r="K12" s="127" t="s">
        <v>559</v>
      </c>
      <c r="L12" s="127">
        <v>65</v>
      </c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  <c r="AA12" s="127"/>
      <c r="AB12" s="127"/>
      <c r="AC12" s="127"/>
      <c r="AD12" s="129"/>
    </row>
    <row r="13" spans="1:30">
      <c r="A13" s="158"/>
      <c r="B13" s="134" t="s">
        <v>560</v>
      </c>
      <c r="C13" s="131">
        <v>2529.0625</v>
      </c>
      <c r="D13" s="131"/>
      <c r="E13" s="131"/>
      <c r="F13" s="131"/>
      <c r="G13" s="131"/>
      <c r="H13" s="131"/>
      <c r="I13" s="127"/>
      <c r="J13" s="127"/>
      <c r="K13" s="127" t="s">
        <v>561</v>
      </c>
      <c r="L13" s="127">
        <v>32</v>
      </c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  <c r="AD13" s="129"/>
    </row>
    <row r="14" spans="1:30">
      <c r="A14" s="158"/>
      <c r="B14" s="134" t="s">
        <v>562</v>
      </c>
      <c r="C14" s="131">
        <v>2529.0625</v>
      </c>
      <c r="D14" s="131"/>
      <c r="E14" s="131"/>
      <c r="F14" s="131"/>
      <c r="G14" s="131"/>
      <c r="H14" s="131"/>
      <c r="I14" s="127"/>
      <c r="J14" s="127"/>
      <c r="K14" s="127" t="s">
        <v>331</v>
      </c>
      <c r="L14" s="127">
        <v>7</v>
      </c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9"/>
    </row>
    <row r="15" spans="1:30">
      <c r="A15" s="159"/>
      <c r="B15" s="134" t="s">
        <v>539</v>
      </c>
      <c r="C15" s="131">
        <v>2191.854167</v>
      </c>
      <c r="D15" s="131"/>
      <c r="E15" s="131"/>
      <c r="F15" s="131"/>
      <c r="G15" s="131"/>
      <c r="H15" s="131"/>
      <c r="I15" s="127"/>
      <c r="J15" s="127"/>
      <c r="K15" s="127" t="s">
        <v>563</v>
      </c>
      <c r="L15" s="127">
        <v>33</v>
      </c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9"/>
    </row>
    <row r="16" spans="1:30">
      <c r="A16" s="157" t="s">
        <v>363</v>
      </c>
      <c r="B16" s="131" t="s">
        <v>557</v>
      </c>
      <c r="C16" s="131">
        <v>95.833333330000002</v>
      </c>
      <c r="D16" s="131" t="s">
        <v>555</v>
      </c>
      <c r="E16" s="131">
        <v>4</v>
      </c>
      <c r="F16" s="131">
        <v>3</v>
      </c>
      <c r="G16" s="131">
        <v>3</v>
      </c>
      <c r="H16" s="131">
        <v>0.5</v>
      </c>
      <c r="I16" s="127"/>
      <c r="J16" s="127"/>
      <c r="K16" s="127" t="s">
        <v>564</v>
      </c>
      <c r="L16" s="127">
        <v>4</v>
      </c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9"/>
    </row>
    <row r="17" spans="1:30">
      <c r="A17" s="158"/>
      <c r="B17" s="131" t="s">
        <v>565</v>
      </c>
      <c r="C17" s="131">
        <v>956.875</v>
      </c>
      <c r="D17" s="131" t="s">
        <v>555</v>
      </c>
      <c r="E17" s="131"/>
      <c r="F17" s="131"/>
      <c r="G17" s="131"/>
      <c r="H17" s="131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9"/>
    </row>
    <row r="18" spans="1:30">
      <c r="A18" s="158"/>
      <c r="B18" s="131" t="s">
        <v>566</v>
      </c>
      <c r="C18" s="131">
        <v>53.791666669999998</v>
      </c>
      <c r="D18" s="131" t="s">
        <v>555</v>
      </c>
      <c r="E18" s="131"/>
      <c r="F18" s="131"/>
      <c r="G18" s="131"/>
      <c r="H18" s="131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27"/>
      <c r="AC18" s="127"/>
      <c r="AD18" s="129"/>
    </row>
    <row r="19" spans="1:30">
      <c r="A19" s="158"/>
      <c r="B19" s="131" t="s">
        <v>567</v>
      </c>
      <c r="C19" s="131">
        <v>956.875</v>
      </c>
      <c r="D19" s="131" t="s">
        <v>555</v>
      </c>
      <c r="E19" s="131"/>
      <c r="F19" s="131"/>
      <c r="G19" s="131"/>
      <c r="H19" s="131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9"/>
    </row>
    <row r="20" spans="1:30">
      <c r="A20" s="158"/>
      <c r="B20" s="134" t="s">
        <v>568</v>
      </c>
      <c r="C20" s="131">
        <v>3095.0625</v>
      </c>
      <c r="D20" s="131"/>
      <c r="E20" s="131"/>
      <c r="F20" s="131"/>
      <c r="G20" s="131"/>
      <c r="H20" s="131"/>
      <c r="I20" s="127"/>
      <c r="J20" s="127"/>
      <c r="K20" s="127">
        <v>2550</v>
      </c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  <c r="AB20" s="127"/>
      <c r="AC20" s="127"/>
      <c r="AD20" s="129"/>
    </row>
    <row r="21" spans="1:30">
      <c r="A21" s="158"/>
      <c r="B21" s="134" t="s">
        <v>569</v>
      </c>
      <c r="C21" s="131">
        <v>4126.75</v>
      </c>
      <c r="D21" s="131"/>
      <c r="E21" s="131"/>
      <c r="F21" s="131"/>
      <c r="G21" s="131"/>
      <c r="H21" s="131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  <c r="AB21" s="127"/>
      <c r="AC21" s="127"/>
      <c r="AD21" s="129"/>
    </row>
    <row r="22" spans="1:30">
      <c r="A22" s="159"/>
      <c r="B22" s="134" t="s">
        <v>570</v>
      </c>
      <c r="C22" s="131">
        <v>3095.0625</v>
      </c>
      <c r="D22" s="131"/>
      <c r="E22" s="131"/>
      <c r="F22" s="131"/>
      <c r="G22" s="131"/>
      <c r="H22" s="131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  <c r="AB22" s="127"/>
      <c r="AC22" s="127"/>
      <c r="AD22" s="129"/>
    </row>
    <row r="23" spans="1:30">
      <c r="A23" s="130" t="s">
        <v>571</v>
      </c>
      <c r="B23" s="134" t="s">
        <v>572</v>
      </c>
      <c r="C23" s="131">
        <v>1000</v>
      </c>
      <c r="D23" s="131"/>
      <c r="E23" s="131"/>
      <c r="F23" s="131"/>
      <c r="G23" s="131"/>
      <c r="H23" s="131"/>
      <c r="I23" s="127"/>
      <c r="J23" s="127"/>
      <c r="K23" s="127" t="s">
        <v>573</v>
      </c>
      <c r="L23" s="127">
        <v>2</v>
      </c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  <c r="AD23" s="129"/>
    </row>
    <row r="24" spans="1:30">
      <c r="A24" s="157" t="s">
        <v>574</v>
      </c>
      <c r="B24" s="153" t="s">
        <v>575</v>
      </c>
      <c r="C24" s="133">
        <v>1800</v>
      </c>
      <c r="D24" s="131" t="s">
        <v>576</v>
      </c>
      <c r="E24" s="131">
        <v>1</v>
      </c>
      <c r="F24" s="131">
        <v>1</v>
      </c>
      <c r="G24" s="131">
        <v>1</v>
      </c>
      <c r="H24" s="131"/>
      <c r="I24" s="127"/>
      <c r="J24" s="127"/>
      <c r="K24" s="127" t="s">
        <v>577</v>
      </c>
      <c r="L24" s="127">
        <v>14</v>
      </c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9"/>
    </row>
    <row r="25" spans="1:30">
      <c r="A25" s="159"/>
      <c r="B25" s="154"/>
      <c r="C25" s="133">
        <v>2000</v>
      </c>
      <c r="D25" s="131" t="s">
        <v>578</v>
      </c>
      <c r="E25" s="131"/>
      <c r="F25" s="131"/>
      <c r="G25" s="131"/>
      <c r="H25" s="131"/>
      <c r="I25" s="127"/>
      <c r="J25" s="127"/>
      <c r="K25" s="127" t="s">
        <v>579</v>
      </c>
      <c r="L25" s="127">
        <v>12</v>
      </c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  <c r="AD25" s="129"/>
    </row>
    <row r="26" spans="1:30">
      <c r="A26" s="135"/>
      <c r="B26" s="127"/>
      <c r="C26" s="127"/>
      <c r="D26" s="127"/>
      <c r="E26" s="127"/>
      <c r="F26" s="127"/>
      <c r="G26" s="127"/>
      <c r="H26" s="127"/>
      <c r="I26" s="127"/>
      <c r="J26" s="127"/>
      <c r="K26" s="127" t="s">
        <v>160</v>
      </c>
      <c r="L26" s="127">
        <v>2</v>
      </c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  <c r="AB26" s="127"/>
      <c r="AC26" s="127"/>
      <c r="AD26" s="129"/>
    </row>
    <row r="27" spans="1:30">
      <c r="A27" s="135" t="s">
        <v>556</v>
      </c>
      <c r="B27" s="127" t="s">
        <v>580</v>
      </c>
      <c r="C27" s="127" t="s">
        <v>576</v>
      </c>
      <c r="D27" s="127" t="s">
        <v>578</v>
      </c>
      <c r="E27" s="127"/>
      <c r="F27" s="127"/>
      <c r="G27" s="127"/>
      <c r="H27" s="127"/>
      <c r="I27" s="127"/>
      <c r="J27" s="127"/>
      <c r="K27" s="127" t="s">
        <v>72</v>
      </c>
      <c r="L27" s="127">
        <v>12</v>
      </c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  <c r="AC27" s="127"/>
      <c r="AD27" s="129"/>
    </row>
    <row r="28" spans="1:30">
      <c r="A28" s="135" t="s">
        <v>82</v>
      </c>
      <c r="B28" s="128">
        <v>17921</v>
      </c>
      <c r="C28" s="128">
        <v>19721</v>
      </c>
      <c r="D28" s="128">
        <v>19921</v>
      </c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  <c r="AD28" s="129"/>
    </row>
    <row r="29" spans="1:30">
      <c r="A29" s="135" t="s">
        <v>581</v>
      </c>
      <c r="B29" s="128">
        <v>19813</v>
      </c>
      <c r="C29" s="128">
        <v>21613</v>
      </c>
      <c r="D29" s="128">
        <v>21813</v>
      </c>
      <c r="E29" s="127"/>
      <c r="F29" s="127"/>
      <c r="G29" s="127"/>
      <c r="H29" s="127"/>
      <c r="I29" s="127"/>
      <c r="J29" s="127"/>
      <c r="K29" s="127" t="s">
        <v>582</v>
      </c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9"/>
    </row>
    <row r="30" spans="1:30">
      <c r="A30" s="135" t="s">
        <v>583</v>
      </c>
      <c r="B30" s="128">
        <v>19813</v>
      </c>
      <c r="C30" s="128">
        <v>21613</v>
      </c>
      <c r="D30" s="128">
        <v>21813</v>
      </c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  <c r="AC30" s="127"/>
      <c r="AD30" s="129"/>
    </row>
    <row r="31" spans="1:30">
      <c r="A31" s="135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  <c r="AB31" s="127"/>
      <c r="AC31" s="127"/>
      <c r="AD31" s="129"/>
    </row>
    <row r="32" spans="1:30">
      <c r="A32" s="135">
        <v>31666.666669999999</v>
      </c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  <c r="AD32" s="129"/>
    </row>
    <row r="33" spans="1:30">
      <c r="A33" s="135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  <c r="AB33" s="127"/>
      <c r="AC33" s="127"/>
      <c r="AD33" s="129"/>
    </row>
    <row r="34" spans="1:30">
      <c r="A34" s="135">
        <v>42</v>
      </c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  <c r="AD34" s="129"/>
    </row>
    <row r="35" spans="1:30">
      <c r="A35" s="135" t="s">
        <v>584</v>
      </c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27"/>
      <c r="AC35" s="127"/>
      <c r="AD35" s="129"/>
    </row>
    <row r="36" spans="1:30">
      <c r="A36" s="135" t="s">
        <v>585</v>
      </c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9"/>
    </row>
    <row r="37" spans="1:30">
      <c r="A37" s="138"/>
      <c r="B37" s="139" t="s">
        <v>586</v>
      </c>
      <c r="C37" s="139" t="s">
        <v>409</v>
      </c>
      <c r="D37" s="139" t="s">
        <v>363</v>
      </c>
      <c r="E37" s="140" t="s">
        <v>587</v>
      </c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9"/>
    </row>
    <row r="38" spans="1:30">
      <c r="A38" s="141" t="s">
        <v>588</v>
      </c>
      <c r="B38" s="142">
        <v>600</v>
      </c>
      <c r="C38" s="142">
        <v>15</v>
      </c>
      <c r="D38" s="142">
        <v>4</v>
      </c>
      <c r="E38" s="143">
        <v>1</v>
      </c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  <c r="AD38" s="129"/>
    </row>
    <row r="39" spans="1:30">
      <c r="A39" s="144" t="s">
        <v>589</v>
      </c>
      <c r="B39" s="145">
        <v>350</v>
      </c>
      <c r="C39" s="145">
        <v>13</v>
      </c>
      <c r="D39" s="145">
        <v>3</v>
      </c>
      <c r="E39" s="146">
        <v>1</v>
      </c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  <c r="AB39" s="127"/>
      <c r="AC39" s="127"/>
      <c r="AD39" s="129"/>
    </row>
    <row r="40" spans="1:30">
      <c r="A40" s="135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  <c r="AD40" s="129"/>
    </row>
    <row r="41" spans="1:30">
      <c r="A41" s="135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  <c r="AD41" s="129"/>
    </row>
    <row r="42" spans="1:30">
      <c r="A42" s="135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  <c r="AB42" s="127"/>
      <c r="AC42" s="127"/>
      <c r="AD42" s="129"/>
    </row>
    <row r="43" spans="1:30">
      <c r="A43" s="135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  <c r="AD43" s="129"/>
    </row>
    <row r="44" spans="1:30">
      <c r="A44" s="135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  <c r="AB44" s="127"/>
      <c r="AC44" s="127"/>
      <c r="AD44" s="129"/>
    </row>
    <row r="45" spans="1:30">
      <c r="A45" s="135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  <c r="AB45" s="127"/>
      <c r="AC45" s="127"/>
      <c r="AD45" s="129"/>
    </row>
    <row r="46" spans="1:30">
      <c r="A46" s="135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7"/>
      <c r="AB46" s="127"/>
      <c r="AC46" s="127"/>
      <c r="AD46" s="129"/>
    </row>
    <row r="47" spans="1:30">
      <c r="A47" s="135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  <c r="AC47" s="127"/>
      <c r="AD47" s="129"/>
    </row>
    <row r="48" spans="1:30">
      <c r="A48" s="135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  <c r="AC48" s="127"/>
      <c r="AD48" s="129"/>
    </row>
    <row r="49" spans="1:30">
      <c r="A49" s="135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  <c r="AB49" s="127"/>
      <c r="AC49" s="127"/>
      <c r="AD49" s="129"/>
    </row>
    <row r="50" spans="1:30">
      <c r="A50" s="135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  <c r="AB50" s="127"/>
      <c r="AC50" s="127"/>
      <c r="AD50" s="129"/>
    </row>
    <row r="51" spans="1:30">
      <c r="A51" s="135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7"/>
      <c r="AB51" s="127"/>
      <c r="AC51" s="127"/>
      <c r="AD51" s="129"/>
    </row>
    <row r="52" spans="1:30">
      <c r="A52" s="135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  <c r="AA52" s="127"/>
      <c r="AB52" s="127"/>
      <c r="AC52" s="127"/>
      <c r="AD52" s="129"/>
    </row>
    <row r="53" spans="1:30">
      <c r="A53" s="135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7"/>
      <c r="AB53" s="127"/>
      <c r="AC53" s="127"/>
      <c r="AD53" s="129"/>
    </row>
    <row r="54" spans="1:30">
      <c r="A54" s="135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  <c r="AB54" s="127"/>
      <c r="AC54" s="127"/>
      <c r="AD54" s="129"/>
    </row>
    <row r="55" spans="1:30">
      <c r="A55" s="135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7"/>
      <c r="AB55" s="127"/>
      <c r="AC55" s="127"/>
      <c r="AD55" s="129"/>
    </row>
    <row r="56" spans="1:30">
      <c r="A56" s="135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  <c r="AB56" s="127"/>
      <c r="AC56" s="127"/>
      <c r="AD56" s="129"/>
    </row>
    <row r="57" spans="1:30">
      <c r="A57" s="135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  <c r="AA57" s="127"/>
      <c r="AB57" s="127"/>
      <c r="AC57" s="127"/>
      <c r="AD57" s="129"/>
    </row>
    <row r="58" spans="1:30">
      <c r="A58" s="135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  <c r="AA58" s="127"/>
      <c r="AB58" s="127"/>
      <c r="AC58" s="127"/>
      <c r="AD58" s="129"/>
    </row>
    <row r="59" spans="1:30">
      <c r="A59" s="135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7"/>
      <c r="AB59" s="127"/>
      <c r="AC59" s="127"/>
      <c r="AD59" s="129"/>
    </row>
    <row r="60" spans="1:30">
      <c r="A60" s="135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  <c r="AA60" s="127"/>
      <c r="AB60" s="127"/>
      <c r="AC60" s="127"/>
      <c r="AD60" s="129"/>
    </row>
    <row r="61" spans="1:30">
      <c r="A61" s="135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7"/>
      <c r="AB61" s="127"/>
      <c r="AC61" s="127"/>
      <c r="AD61" s="129"/>
    </row>
    <row r="62" spans="1:30">
      <c r="A62" s="135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  <c r="AB62" s="127"/>
      <c r="AC62" s="127"/>
      <c r="AD62" s="129"/>
    </row>
    <row r="63" spans="1:30">
      <c r="A63" s="135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  <c r="AA63" s="127"/>
      <c r="AB63" s="127"/>
      <c r="AC63" s="127"/>
      <c r="AD63" s="129"/>
    </row>
    <row r="64" spans="1:30">
      <c r="A64" s="135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  <c r="AA64" s="127"/>
      <c r="AB64" s="127"/>
      <c r="AC64" s="127"/>
      <c r="AD64" s="129"/>
    </row>
    <row r="65" spans="1:30">
      <c r="A65" s="135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  <c r="AA65" s="127"/>
      <c r="AB65" s="127"/>
      <c r="AC65" s="127"/>
      <c r="AD65" s="129"/>
    </row>
    <row r="66" spans="1:30">
      <c r="A66" s="135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  <c r="AA66" s="127"/>
      <c r="AB66" s="127"/>
      <c r="AC66" s="127"/>
      <c r="AD66" s="129"/>
    </row>
    <row r="67" spans="1:30">
      <c r="A67" s="135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  <c r="AA67" s="127"/>
      <c r="AB67" s="127"/>
      <c r="AC67" s="127"/>
      <c r="AD67" s="129"/>
    </row>
    <row r="68" spans="1:30">
      <c r="A68" s="135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7"/>
      <c r="AB68" s="127"/>
      <c r="AC68" s="127"/>
      <c r="AD68" s="129"/>
    </row>
    <row r="69" spans="1:30">
      <c r="A69" s="135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7"/>
      <c r="AB69" s="127"/>
      <c r="AC69" s="127"/>
      <c r="AD69" s="129"/>
    </row>
    <row r="70" spans="1:30">
      <c r="A70" s="135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  <c r="AA70" s="127"/>
      <c r="AB70" s="127"/>
      <c r="AC70" s="127"/>
      <c r="AD70" s="129"/>
    </row>
    <row r="71" spans="1:30">
      <c r="A71" s="135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  <c r="AA71" s="127"/>
      <c r="AB71" s="127"/>
      <c r="AC71" s="127"/>
      <c r="AD71" s="129"/>
    </row>
    <row r="72" spans="1:30">
      <c r="A72" s="135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  <c r="AA72" s="127"/>
      <c r="AB72" s="127"/>
      <c r="AC72" s="127"/>
      <c r="AD72" s="129"/>
    </row>
    <row r="73" spans="1:30">
      <c r="A73" s="135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  <c r="AA73" s="127"/>
      <c r="AB73" s="127"/>
      <c r="AC73" s="127"/>
      <c r="AD73" s="129"/>
    </row>
    <row r="74" spans="1:30">
      <c r="A74" s="135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7"/>
      <c r="AB74" s="127"/>
      <c r="AC74" s="127"/>
      <c r="AD74" s="129"/>
    </row>
    <row r="75" spans="1:30">
      <c r="A75" s="135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7"/>
      <c r="AB75" s="127"/>
      <c r="AC75" s="127"/>
      <c r="AD75" s="129"/>
    </row>
    <row r="76" spans="1:30">
      <c r="A76" s="135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  <c r="AA76" s="127"/>
      <c r="AB76" s="127"/>
      <c r="AC76" s="127"/>
      <c r="AD76" s="129"/>
    </row>
    <row r="77" spans="1:30">
      <c r="A77" s="135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  <c r="AA77" s="127"/>
      <c r="AB77" s="127"/>
      <c r="AC77" s="127"/>
      <c r="AD77" s="129"/>
    </row>
    <row r="78" spans="1:30">
      <c r="A78" s="135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  <c r="AA78" s="127"/>
      <c r="AB78" s="127"/>
      <c r="AC78" s="127"/>
      <c r="AD78" s="129"/>
    </row>
    <row r="79" spans="1:30">
      <c r="A79" s="135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  <c r="AA79" s="127"/>
      <c r="AB79" s="127"/>
      <c r="AC79" s="127"/>
      <c r="AD79" s="129"/>
    </row>
    <row r="80" spans="1:30">
      <c r="A80" s="135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  <c r="AA80" s="127"/>
      <c r="AB80" s="127"/>
      <c r="AC80" s="127"/>
      <c r="AD80" s="129"/>
    </row>
    <row r="81" spans="1:30">
      <c r="A81" s="135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  <c r="AB81" s="127"/>
      <c r="AC81" s="127"/>
      <c r="AD81" s="129"/>
    </row>
    <row r="82" spans="1:30">
      <c r="A82" s="135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  <c r="AA82" s="127"/>
      <c r="AB82" s="127"/>
      <c r="AC82" s="127"/>
      <c r="AD82" s="129"/>
    </row>
    <row r="83" spans="1:30">
      <c r="A83" s="135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7"/>
      <c r="AB83" s="127"/>
      <c r="AC83" s="127"/>
      <c r="AD83" s="129"/>
    </row>
    <row r="84" spans="1:30">
      <c r="A84" s="135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  <c r="AA84" s="127"/>
      <c r="AB84" s="127"/>
      <c r="AC84" s="127"/>
      <c r="AD84" s="129"/>
    </row>
    <row r="85" spans="1:30">
      <c r="A85" s="135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  <c r="AA85" s="127"/>
      <c r="AB85" s="127"/>
      <c r="AC85" s="127"/>
      <c r="AD85" s="129"/>
    </row>
    <row r="86" spans="1:30">
      <c r="A86" s="135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  <c r="AA86" s="127"/>
      <c r="AB86" s="127"/>
      <c r="AC86" s="127"/>
      <c r="AD86" s="129"/>
    </row>
    <row r="87" spans="1:30">
      <c r="A87" s="135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  <c r="AA87" s="127"/>
      <c r="AB87" s="127"/>
      <c r="AC87" s="127"/>
      <c r="AD87" s="129"/>
    </row>
    <row r="88" spans="1:30">
      <c r="A88" s="135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  <c r="AA88" s="127"/>
      <c r="AB88" s="127"/>
      <c r="AC88" s="127"/>
      <c r="AD88" s="129"/>
    </row>
    <row r="89" spans="1:30">
      <c r="A89" s="135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7"/>
      <c r="AB89" s="127"/>
      <c r="AC89" s="127"/>
      <c r="AD89" s="129"/>
    </row>
    <row r="90" spans="1:30">
      <c r="A90" s="135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  <c r="AA90" s="127"/>
      <c r="AB90" s="127"/>
      <c r="AC90" s="127"/>
      <c r="AD90" s="129"/>
    </row>
    <row r="91" spans="1:30">
      <c r="A91" s="135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  <c r="AA91" s="127"/>
      <c r="AB91" s="127"/>
      <c r="AC91" s="127"/>
      <c r="AD91" s="129"/>
    </row>
    <row r="92" spans="1:30">
      <c r="A92" s="135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7"/>
      <c r="AB92" s="127"/>
      <c r="AC92" s="127"/>
      <c r="AD92" s="129"/>
    </row>
    <row r="93" spans="1:30">
      <c r="A93" s="135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  <c r="AA93" s="127"/>
      <c r="AB93" s="127"/>
      <c r="AC93" s="127"/>
      <c r="AD93" s="129"/>
    </row>
    <row r="94" spans="1:30">
      <c r="A94" s="135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  <c r="AA94" s="127"/>
      <c r="AB94" s="127"/>
      <c r="AC94" s="127"/>
      <c r="AD94" s="129"/>
    </row>
    <row r="95" spans="1:30">
      <c r="A95" s="135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  <c r="AA95" s="127"/>
      <c r="AB95" s="127"/>
      <c r="AC95" s="127"/>
      <c r="AD95" s="129"/>
    </row>
    <row r="96" spans="1:30">
      <c r="A96" s="135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  <c r="AA96" s="127"/>
      <c r="AB96" s="127"/>
      <c r="AC96" s="127"/>
      <c r="AD96" s="129"/>
    </row>
    <row r="97" spans="1:30">
      <c r="A97" s="135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  <c r="AA97" s="127"/>
      <c r="AB97" s="127"/>
      <c r="AC97" s="127"/>
      <c r="AD97" s="129"/>
    </row>
    <row r="98" spans="1:30">
      <c r="A98" s="135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  <c r="AA98" s="127"/>
      <c r="AB98" s="127"/>
      <c r="AC98" s="127"/>
      <c r="AD98" s="129"/>
    </row>
    <row r="99" spans="1:30">
      <c r="A99" s="135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  <c r="AA99" s="127"/>
      <c r="AB99" s="127"/>
      <c r="AC99" s="127"/>
      <c r="AD99" s="129"/>
    </row>
    <row r="100" spans="1:30">
      <c r="A100" s="135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  <c r="AA100" s="127"/>
      <c r="AB100" s="127"/>
      <c r="AC100" s="127"/>
      <c r="AD100" s="129"/>
    </row>
    <row r="101" spans="1:30">
      <c r="A101" s="135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  <c r="AA101" s="127"/>
      <c r="AB101" s="127"/>
      <c r="AC101" s="127"/>
      <c r="AD101" s="129"/>
    </row>
    <row r="102" spans="1:30">
      <c r="A102" s="135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  <c r="AA102" s="127"/>
      <c r="AB102" s="127"/>
      <c r="AC102" s="127"/>
      <c r="AD102" s="129"/>
    </row>
    <row r="103" spans="1:30">
      <c r="A103" s="135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  <c r="AA103" s="127"/>
      <c r="AB103" s="127"/>
      <c r="AC103" s="127"/>
      <c r="AD103" s="129"/>
    </row>
    <row r="104" spans="1:30">
      <c r="A104" s="135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  <c r="AA104" s="127"/>
      <c r="AB104" s="127"/>
      <c r="AC104" s="127"/>
      <c r="AD104" s="129"/>
    </row>
    <row r="105" spans="1:30">
      <c r="A105" s="135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  <c r="AA105" s="127"/>
      <c r="AB105" s="127"/>
      <c r="AC105" s="127"/>
      <c r="AD105" s="129"/>
    </row>
    <row r="106" spans="1:30">
      <c r="A106" s="135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  <c r="AA106" s="127"/>
      <c r="AB106" s="127"/>
      <c r="AC106" s="127"/>
      <c r="AD106" s="129"/>
    </row>
    <row r="107" spans="1:30">
      <c r="A107" s="135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  <c r="AA107" s="127"/>
      <c r="AB107" s="127"/>
      <c r="AC107" s="127"/>
      <c r="AD107" s="129"/>
    </row>
    <row r="108" spans="1:30">
      <c r="A108" s="135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  <c r="AA108" s="127"/>
      <c r="AB108" s="127"/>
      <c r="AC108" s="127"/>
      <c r="AD108" s="129"/>
    </row>
    <row r="109" spans="1:30">
      <c r="A109" s="135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  <c r="AA109" s="127"/>
      <c r="AB109" s="127"/>
      <c r="AC109" s="127"/>
      <c r="AD109" s="129"/>
    </row>
    <row r="110" spans="1:30">
      <c r="A110" s="135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  <c r="AA110" s="127"/>
      <c r="AB110" s="127"/>
      <c r="AC110" s="127"/>
      <c r="AD110" s="129"/>
    </row>
    <row r="111" spans="1:30">
      <c r="A111" s="135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  <c r="AA111" s="127"/>
      <c r="AB111" s="127"/>
      <c r="AC111" s="127"/>
      <c r="AD111" s="129"/>
    </row>
    <row r="112" spans="1:30">
      <c r="A112" s="135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7"/>
      <c r="AB112" s="127"/>
      <c r="AC112" s="127"/>
      <c r="AD112" s="129"/>
    </row>
    <row r="113" spans="1:30">
      <c r="A113" s="135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  <c r="AA113" s="127"/>
      <c r="AB113" s="127"/>
      <c r="AC113" s="127"/>
      <c r="AD113" s="129"/>
    </row>
    <row r="114" spans="1:30">
      <c r="A114" s="135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  <c r="AA114" s="127"/>
      <c r="AB114" s="127"/>
      <c r="AC114" s="127"/>
      <c r="AD114" s="129"/>
    </row>
    <row r="115" spans="1:30">
      <c r="A115" s="135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7"/>
      <c r="AB115" s="127"/>
      <c r="AC115" s="127"/>
      <c r="AD115" s="129"/>
    </row>
    <row r="116" spans="1:30">
      <c r="A116" s="135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  <c r="AA116" s="127"/>
      <c r="AB116" s="127"/>
      <c r="AC116" s="127"/>
      <c r="AD116" s="129"/>
    </row>
    <row r="117" spans="1:30">
      <c r="A117" s="135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  <c r="AA117" s="127"/>
      <c r="AB117" s="127"/>
      <c r="AC117" s="127"/>
      <c r="AD117" s="129"/>
    </row>
    <row r="118" spans="1:30">
      <c r="A118" s="135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  <c r="AA118" s="127"/>
      <c r="AB118" s="127"/>
      <c r="AC118" s="127"/>
      <c r="AD118" s="129"/>
    </row>
    <row r="119" spans="1:30">
      <c r="A119" s="135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  <c r="AD119" s="129"/>
    </row>
    <row r="120" spans="1:30">
      <c r="A120" s="135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  <c r="AA120" s="127"/>
      <c r="AB120" s="127"/>
      <c r="AC120" s="127"/>
      <c r="AD120" s="129"/>
    </row>
    <row r="121" spans="1:30">
      <c r="A121" s="135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  <c r="AA121" s="127"/>
      <c r="AB121" s="127"/>
      <c r="AC121" s="127"/>
      <c r="AD121" s="129"/>
    </row>
    <row r="122" spans="1:30">
      <c r="A122" s="135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  <c r="AA122" s="127"/>
      <c r="AB122" s="127"/>
      <c r="AC122" s="127"/>
      <c r="AD122" s="129"/>
    </row>
    <row r="123" spans="1:30">
      <c r="A123" s="135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  <c r="AA123" s="127"/>
      <c r="AB123" s="127"/>
      <c r="AC123" s="127"/>
      <c r="AD123" s="129"/>
    </row>
    <row r="124" spans="1:30">
      <c r="A124" s="135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  <c r="AA124" s="127"/>
      <c r="AB124" s="127"/>
      <c r="AC124" s="127"/>
      <c r="AD124" s="129"/>
    </row>
    <row r="125" spans="1:30">
      <c r="A125" s="135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  <c r="AA125" s="127"/>
      <c r="AB125" s="127"/>
      <c r="AC125" s="127"/>
      <c r="AD125" s="129"/>
    </row>
    <row r="126" spans="1:30">
      <c r="A126" s="135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  <c r="AA126" s="127"/>
      <c r="AB126" s="127"/>
      <c r="AC126" s="127"/>
      <c r="AD126" s="129"/>
    </row>
    <row r="127" spans="1:30">
      <c r="A127" s="135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  <c r="AA127" s="127"/>
      <c r="AB127" s="127"/>
      <c r="AC127" s="127"/>
      <c r="AD127" s="129"/>
    </row>
    <row r="128" spans="1:30">
      <c r="A128" s="135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  <c r="AA128" s="127"/>
      <c r="AB128" s="127"/>
      <c r="AC128" s="127"/>
      <c r="AD128" s="129"/>
    </row>
    <row r="129" spans="1:30">
      <c r="A129" s="135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  <c r="AA129" s="127"/>
      <c r="AB129" s="127"/>
      <c r="AC129" s="127"/>
      <c r="AD129" s="129"/>
    </row>
    <row r="130" spans="1:30">
      <c r="A130" s="135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  <c r="AA130" s="127"/>
      <c r="AB130" s="127"/>
      <c r="AC130" s="127"/>
      <c r="AD130" s="129"/>
    </row>
    <row r="131" spans="1:30">
      <c r="A131" s="135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  <c r="AA131" s="127"/>
      <c r="AB131" s="127"/>
      <c r="AC131" s="127"/>
      <c r="AD131" s="129"/>
    </row>
    <row r="132" spans="1:30">
      <c r="A132" s="135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  <c r="AA132" s="127"/>
      <c r="AB132" s="127"/>
      <c r="AC132" s="127"/>
      <c r="AD132" s="129"/>
    </row>
    <row r="133" spans="1:30">
      <c r="A133" s="135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  <c r="AA133" s="127"/>
      <c r="AB133" s="127"/>
      <c r="AC133" s="127"/>
      <c r="AD133" s="129"/>
    </row>
    <row r="134" spans="1:30">
      <c r="A134" s="135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  <c r="AA134" s="127"/>
      <c r="AB134" s="127"/>
      <c r="AC134" s="127"/>
      <c r="AD134" s="129"/>
    </row>
    <row r="135" spans="1:30">
      <c r="A135" s="135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  <c r="AA135" s="127"/>
      <c r="AB135" s="127"/>
      <c r="AC135" s="127"/>
      <c r="AD135" s="129"/>
    </row>
    <row r="136" spans="1:30">
      <c r="A136" s="135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  <c r="AA136" s="127"/>
      <c r="AB136" s="127"/>
      <c r="AC136" s="127"/>
      <c r="AD136" s="129"/>
    </row>
    <row r="137" spans="1:30">
      <c r="A137" s="135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  <c r="AA137" s="127"/>
      <c r="AB137" s="127"/>
      <c r="AC137" s="127"/>
      <c r="AD137" s="129"/>
    </row>
    <row r="138" spans="1:30">
      <c r="A138" s="135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  <c r="AA138" s="127"/>
      <c r="AB138" s="127"/>
      <c r="AC138" s="127"/>
      <c r="AD138" s="129"/>
    </row>
    <row r="139" spans="1:30">
      <c r="A139" s="135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  <c r="AA139" s="127"/>
      <c r="AB139" s="127"/>
      <c r="AC139" s="127"/>
      <c r="AD139" s="129"/>
    </row>
    <row r="140" spans="1:30">
      <c r="A140" s="135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  <c r="AA140" s="127"/>
      <c r="AB140" s="127"/>
      <c r="AC140" s="127"/>
      <c r="AD140" s="129"/>
    </row>
    <row r="141" spans="1:30">
      <c r="A141" s="135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  <c r="AA141" s="127"/>
      <c r="AB141" s="127"/>
      <c r="AC141" s="127"/>
      <c r="AD141" s="129"/>
    </row>
    <row r="142" spans="1:30">
      <c r="A142" s="135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  <c r="AA142" s="127"/>
      <c r="AB142" s="127"/>
      <c r="AC142" s="127"/>
      <c r="AD142" s="129"/>
    </row>
    <row r="143" spans="1:30">
      <c r="A143" s="135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  <c r="AB143" s="127"/>
      <c r="AC143" s="127"/>
      <c r="AD143" s="129"/>
    </row>
    <row r="144" spans="1:30">
      <c r="A144" s="135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  <c r="AA144" s="127"/>
      <c r="AB144" s="127"/>
      <c r="AC144" s="127"/>
      <c r="AD144" s="129"/>
    </row>
    <row r="145" spans="1:30">
      <c r="A145" s="135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  <c r="AA145" s="127"/>
      <c r="AB145" s="127"/>
      <c r="AC145" s="127"/>
      <c r="AD145" s="129"/>
    </row>
    <row r="146" spans="1:30">
      <c r="A146" s="135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  <c r="AA146" s="127"/>
      <c r="AB146" s="127"/>
      <c r="AC146" s="127"/>
      <c r="AD146" s="129"/>
    </row>
    <row r="147" spans="1:30">
      <c r="A147" s="135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  <c r="AA147" s="127"/>
      <c r="AB147" s="127"/>
      <c r="AC147" s="127"/>
      <c r="AD147" s="129"/>
    </row>
    <row r="148" spans="1:30">
      <c r="A148" s="135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  <c r="AB148" s="127"/>
      <c r="AC148" s="127"/>
      <c r="AD148" s="129"/>
    </row>
    <row r="149" spans="1:30">
      <c r="A149" s="135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  <c r="AA149" s="127"/>
      <c r="AB149" s="127"/>
      <c r="AC149" s="127"/>
      <c r="AD149" s="129"/>
    </row>
    <row r="150" spans="1:30">
      <c r="A150" s="135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  <c r="AA150" s="127"/>
      <c r="AB150" s="127"/>
      <c r="AC150" s="127"/>
      <c r="AD150" s="129"/>
    </row>
    <row r="151" spans="1:30">
      <c r="A151" s="135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  <c r="AA151" s="127"/>
      <c r="AB151" s="127"/>
      <c r="AC151" s="127"/>
      <c r="AD151" s="129"/>
    </row>
    <row r="152" spans="1:30">
      <c r="A152" s="135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  <c r="AA152" s="127"/>
      <c r="AB152" s="127"/>
      <c r="AC152" s="127"/>
      <c r="AD152" s="129"/>
    </row>
    <row r="153" spans="1:30">
      <c r="A153" s="135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  <c r="AA153" s="127"/>
      <c r="AB153" s="127"/>
      <c r="AC153" s="127"/>
      <c r="AD153" s="129"/>
    </row>
    <row r="154" spans="1:30">
      <c r="A154" s="135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  <c r="AA154" s="127"/>
      <c r="AB154" s="127"/>
      <c r="AC154" s="127"/>
      <c r="AD154" s="129"/>
    </row>
    <row r="155" spans="1:30">
      <c r="A155" s="135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  <c r="AA155" s="127"/>
      <c r="AB155" s="127"/>
      <c r="AC155" s="127"/>
      <c r="AD155" s="129"/>
    </row>
    <row r="156" spans="1:30">
      <c r="A156" s="135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  <c r="AA156" s="127"/>
      <c r="AB156" s="127"/>
      <c r="AC156" s="127"/>
      <c r="AD156" s="129"/>
    </row>
    <row r="157" spans="1:30">
      <c r="A157" s="135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  <c r="AA157" s="127"/>
      <c r="AB157" s="127"/>
      <c r="AC157" s="127"/>
      <c r="AD157" s="129"/>
    </row>
    <row r="158" spans="1:30">
      <c r="A158" s="135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  <c r="AA158" s="127"/>
      <c r="AB158" s="127"/>
      <c r="AC158" s="127"/>
      <c r="AD158" s="129"/>
    </row>
    <row r="159" spans="1:30">
      <c r="A159" s="135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  <c r="AA159" s="127"/>
      <c r="AB159" s="127"/>
      <c r="AC159" s="127"/>
      <c r="AD159" s="129"/>
    </row>
    <row r="160" spans="1:30">
      <c r="A160" s="135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  <c r="AA160" s="127"/>
      <c r="AB160" s="127"/>
      <c r="AC160" s="127"/>
      <c r="AD160" s="129"/>
    </row>
    <row r="161" spans="1:30">
      <c r="A161" s="135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  <c r="AA161" s="127"/>
      <c r="AB161" s="127"/>
      <c r="AC161" s="127"/>
      <c r="AD161" s="129"/>
    </row>
    <row r="162" spans="1:30">
      <c r="A162" s="135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  <c r="AA162" s="127"/>
      <c r="AB162" s="127"/>
      <c r="AC162" s="127"/>
      <c r="AD162" s="129"/>
    </row>
    <row r="163" spans="1:30">
      <c r="A163" s="135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  <c r="AA163" s="127"/>
      <c r="AB163" s="127"/>
      <c r="AC163" s="127"/>
      <c r="AD163" s="129"/>
    </row>
    <row r="164" spans="1:30">
      <c r="A164" s="135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  <c r="AA164" s="127"/>
      <c r="AB164" s="127"/>
      <c r="AC164" s="127"/>
      <c r="AD164" s="129"/>
    </row>
    <row r="165" spans="1:30">
      <c r="A165" s="135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  <c r="AA165" s="127"/>
      <c r="AB165" s="127"/>
      <c r="AC165" s="127"/>
      <c r="AD165" s="129"/>
    </row>
    <row r="166" spans="1:30">
      <c r="A166" s="135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  <c r="AA166" s="127"/>
      <c r="AB166" s="127"/>
      <c r="AC166" s="127"/>
      <c r="AD166" s="129"/>
    </row>
    <row r="167" spans="1:30">
      <c r="A167" s="135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  <c r="AA167" s="127"/>
      <c r="AB167" s="127"/>
      <c r="AC167" s="127"/>
      <c r="AD167" s="129"/>
    </row>
    <row r="168" spans="1:30">
      <c r="A168" s="135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  <c r="AA168" s="127"/>
      <c r="AB168" s="127"/>
      <c r="AC168" s="127"/>
      <c r="AD168" s="129"/>
    </row>
    <row r="169" spans="1:30">
      <c r="A169" s="135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  <c r="AA169" s="127"/>
      <c r="AB169" s="127"/>
      <c r="AC169" s="127"/>
      <c r="AD169" s="129"/>
    </row>
    <row r="170" spans="1:30">
      <c r="A170" s="135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  <c r="AA170" s="127"/>
      <c r="AB170" s="127"/>
      <c r="AC170" s="127"/>
      <c r="AD170" s="129"/>
    </row>
    <row r="171" spans="1:30">
      <c r="A171" s="135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  <c r="AA171" s="127"/>
      <c r="AB171" s="127"/>
      <c r="AC171" s="127"/>
      <c r="AD171" s="129"/>
    </row>
    <row r="172" spans="1:30">
      <c r="A172" s="135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  <c r="AA172" s="127"/>
      <c r="AB172" s="127"/>
      <c r="AC172" s="127"/>
      <c r="AD172" s="129"/>
    </row>
    <row r="173" spans="1:30">
      <c r="A173" s="135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7"/>
      <c r="AB173" s="127"/>
      <c r="AC173" s="127"/>
      <c r="AD173" s="129"/>
    </row>
    <row r="174" spans="1:30">
      <c r="A174" s="135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  <c r="AA174" s="127"/>
      <c r="AB174" s="127"/>
      <c r="AC174" s="127"/>
      <c r="AD174" s="129"/>
    </row>
    <row r="175" spans="1:30">
      <c r="A175" s="135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  <c r="AA175" s="127"/>
      <c r="AB175" s="127"/>
      <c r="AC175" s="127"/>
      <c r="AD175" s="129"/>
    </row>
    <row r="176" spans="1:30">
      <c r="A176" s="135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  <c r="AA176" s="127"/>
      <c r="AB176" s="127"/>
      <c r="AC176" s="127"/>
      <c r="AD176" s="129"/>
    </row>
    <row r="177" spans="1:30">
      <c r="A177" s="135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  <c r="AA177" s="127"/>
      <c r="AB177" s="127"/>
      <c r="AC177" s="127"/>
      <c r="AD177" s="129"/>
    </row>
    <row r="178" spans="1:30">
      <c r="A178" s="135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  <c r="AA178" s="127"/>
      <c r="AB178" s="127"/>
      <c r="AC178" s="127"/>
      <c r="AD178" s="129"/>
    </row>
    <row r="179" spans="1:30">
      <c r="A179" s="135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  <c r="AA179" s="127"/>
      <c r="AB179" s="127"/>
      <c r="AC179" s="127"/>
      <c r="AD179" s="129"/>
    </row>
    <row r="180" spans="1:30">
      <c r="A180" s="135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  <c r="AA180" s="127"/>
      <c r="AB180" s="127"/>
      <c r="AC180" s="127"/>
      <c r="AD180" s="129"/>
    </row>
    <row r="181" spans="1:30">
      <c r="A181" s="135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  <c r="AA181" s="127"/>
      <c r="AB181" s="127"/>
      <c r="AC181" s="127"/>
      <c r="AD181" s="129"/>
    </row>
    <row r="182" spans="1:30">
      <c r="A182" s="135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  <c r="AA182" s="127"/>
      <c r="AB182" s="127"/>
      <c r="AC182" s="127"/>
      <c r="AD182" s="129"/>
    </row>
    <row r="183" spans="1:30">
      <c r="A183" s="135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  <c r="AA183" s="127"/>
      <c r="AB183" s="127"/>
      <c r="AC183" s="127"/>
      <c r="AD183" s="129"/>
    </row>
    <row r="184" spans="1:30">
      <c r="A184" s="135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  <c r="AA184" s="127"/>
      <c r="AB184" s="127"/>
      <c r="AC184" s="127"/>
      <c r="AD184" s="129"/>
    </row>
    <row r="185" spans="1:30">
      <c r="A185" s="135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  <c r="AA185" s="127"/>
      <c r="AB185" s="127"/>
      <c r="AC185" s="127"/>
      <c r="AD185" s="129"/>
    </row>
    <row r="186" spans="1:30">
      <c r="A186" s="135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  <c r="AA186" s="127"/>
      <c r="AB186" s="127"/>
      <c r="AC186" s="127"/>
      <c r="AD186" s="129"/>
    </row>
    <row r="187" spans="1:30">
      <c r="A187" s="135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  <c r="AA187" s="127"/>
      <c r="AB187" s="127"/>
      <c r="AC187" s="127"/>
      <c r="AD187" s="129"/>
    </row>
    <row r="188" spans="1:30">
      <c r="A188" s="135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  <c r="AA188" s="127"/>
      <c r="AB188" s="127"/>
      <c r="AC188" s="127"/>
      <c r="AD188" s="129"/>
    </row>
    <row r="189" spans="1:30">
      <c r="A189" s="135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  <c r="AA189" s="127"/>
      <c r="AB189" s="127"/>
      <c r="AC189" s="127"/>
      <c r="AD189" s="129"/>
    </row>
    <row r="190" spans="1:30">
      <c r="A190" s="135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  <c r="AA190" s="127"/>
      <c r="AB190" s="127"/>
      <c r="AC190" s="127"/>
      <c r="AD190" s="129"/>
    </row>
    <row r="191" spans="1:30">
      <c r="A191" s="135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  <c r="AA191" s="127"/>
      <c r="AB191" s="127"/>
      <c r="AC191" s="127"/>
      <c r="AD191" s="129"/>
    </row>
    <row r="192" spans="1:30">
      <c r="A192" s="135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  <c r="AA192" s="127"/>
      <c r="AB192" s="127"/>
      <c r="AC192" s="127"/>
      <c r="AD192" s="129"/>
    </row>
    <row r="193" spans="1:30">
      <c r="A193" s="135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  <c r="AA193" s="127"/>
      <c r="AB193" s="127"/>
      <c r="AC193" s="127"/>
      <c r="AD193" s="129"/>
    </row>
    <row r="194" spans="1:30">
      <c r="A194" s="135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  <c r="AA194" s="127"/>
      <c r="AB194" s="127"/>
      <c r="AC194" s="127"/>
      <c r="AD194" s="129"/>
    </row>
    <row r="195" spans="1:30">
      <c r="A195" s="135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  <c r="AA195" s="127"/>
      <c r="AB195" s="127"/>
      <c r="AC195" s="127"/>
      <c r="AD195" s="129"/>
    </row>
    <row r="196" spans="1:30">
      <c r="A196" s="135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  <c r="AA196" s="127"/>
      <c r="AB196" s="127"/>
      <c r="AC196" s="127"/>
      <c r="AD196" s="129"/>
    </row>
    <row r="197" spans="1:30">
      <c r="A197" s="135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  <c r="AA197" s="127"/>
      <c r="AB197" s="127"/>
      <c r="AC197" s="127"/>
      <c r="AD197" s="129"/>
    </row>
    <row r="198" spans="1:30">
      <c r="A198" s="135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  <c r="AA198" s="127"/>
      <c r="AB198" s="127"/>
      <c r="AC198" s="127"/>
      <c r="AD198" s="129"/>
    </row>
    <row r="199" spans="1:30">
      <c r="A199" s="135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  <c r="AA199" s="127"/>
      <c r="AB199" s="127"/>
      <c r="AC199" s="127"/>
      <c r="AD199" s="129"/>
    </row>
    <row r="200" spans="1:30">
      <c r="A200" s="135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  <c r="AA200" s="127"/>
      <c r="AB200" s="127"/>
      <c r="AC200" s="127"/>
      <c r="AD200" s="129"/>
    </row>
    <row r="201" spans="1:30">
      <c r="A201" s="135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  <c r="AA201" s="127"/>
      <c r="AB201" s="127"/>
      <c r="AC201" s="127"/>
      <c r="AD201" s="129"/>
    </row>
    <row r="202" spans="1:30">
      <c r="A202" s="135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  <c r="AA202" s="127"/>
      <c r="AB202" s="127"/>
      <c r="AC202" s="127"/>
      <c r="AD202" s="129"/>
    </row>
    <row r="203" spans="1:30">
      <c r="A203" s="135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  <c r="AB203" s="127"/>
      <c r="AC203" s="127"/>
      <c r="AD203" s="129"/>
    </row>
    <row r="204" spans="1:30">
      <c r="A204" s="135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  <c r="AA204" s="127"/>
      <c r="AB204" s="127"/>
      <c r="AC204" s="127"/>
      <c r="AD204" s="129"/>
    </row>
    <row r="205" spans="1:30">
      <c r="A205" s="135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  <c r="AA205" s="127"/>
      <c r="AB205" s="127"/>
      <c r="AC205" s="127"/>
      <c r="AD205" s="129"/>
    </row>
    <row r="206" spans="1:30">
      <c r="A206" s="135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  <c r="AA206" s="127"/>
      <c r="AB206" s="127"/>
      <c r="AC206" s="127"/>
      <c r="AD206" s="129"/>
    </row>
    <row r="207" spans="1:30">
      <c r="A207" s="135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  <c r="AA207" s="127"/>
      <c r="AB207" s="127"/>
      <c r="AC207" s="127"/>
      <c r="AD207" s="129"/>
    </row>
    <row r="208" spans="1:30">
      <c r="A208" s="135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  <c r="AA208" s="127"/>
      <c r="AB208" s="127"/>
      <c r="AC208" s="127"/>
      <c r="AD208" s="129"/>
    </row>
    <row r="209" spans="1:30">
      <c r="A209" s="135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  <c r="AA209" s="127"/>
      <c r="AB209" s="127"/>
      <c r="AC209" s="127"/>
      <c r="AD209" s="129"/>
    </row>
    <row r="210" spans="1:30">
      <c r="A210" s="135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  <c r="AA210" s="127"/>
      <c r="AB210" s="127"/>
      <c r="AC210" s="127"/>
      <c r="AD210" s="129"/>
    </row>
    <row r="211" spans="1:30">
      <c r="A211" s="135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  <c r="AA211" s="127"/>
      <c r="AB211" s="127"/>
      <c r="AC211" s="127"/>
      <c r="AD211" s="129"/>
    </row>
    <row r="212" spans="1:30">
      <c r="A212" s="135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  <c r="AA212" s="127"/>
      <c r="AB212" s="127"/>
      <c r="AC212" s="127"/>
      <c r="AD212" s="129"/>
    </row>
    <row r="213" spans="1:30">
      <c r="A213" s="135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  <c r="AA213" s="127"/>
      <c r="AB213" s="127"/>
      <c r="AC213" s="127"/>
      <c r="AD213" s="129"/>
    </row>
    <row r="214" spans="1:30">
      <c r="A214" s="135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  <c r="AA214" s="127"/>
      <c r="AB214" s="127"/>
      <c r="AC214" s="127"/>
      <c r="AD214" s="129"/>
    </row>
    <row r="215" spans="1:30">
      <c r="A215" s="135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  <c r="AA215" s="127"/>
      <c r="AB215" s="127"/>
      <c r="AC215" s="127"/>
      <c r="AD215" s="129"/>
    </row>
    <row r="216" spans="1:30">
      <c r="A216" s="135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  <c r="AA216" s="127"/>
      <c r="AB216" s="127"/>
      <c r="AC216" s="127"/>
      <c r="AD216" s="129"/>
    </row>
    <row r="217" spans="1:30">
      <c r="A217" s="135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  <c r="AA217" s="127"/>
      <c r="AB217" s="127"/>
      <c r="AC217" s="127"/>
      <c r="AD217" s="129"/>
    </row>
    <row r="218" spans="1:30">
      <c r="A218" s="135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  <c r="AA218" s="127"/>
      <c r="AB218" s="127"/>
      <c r="AC218" s="127"/>
      <c r="AD218" s="129"/>
    </row>
    <row r="219" spans="1:30">
      <c r="A219" s="135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  <c r="AA219" s="127"/>
      <c r="AB219" s="127"/>
      <c r="AC219" s="127"/>
      <c r="AD219" s="129"/>
    </row>
    <row r="220" spans="1:30">
      <c r="A220" s="135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  <c r="AA220" s="127"/>
      <c r="AB220" s="127"/>
      <c r="AC220" s="127"/>
      <c r="AD220" s="129"/>
    </row>
    <row r="221" spans="1:30">
      <c r="A221" s="135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  <c r="AA221" s="127"/>
      <c r="AB221" s="127"/>
      <c r="AC221" s="127"/>
      <c r="AD221" s="129"/>
    </row>
    <row r="222" spans="1:30">
      <c r="A222" s="135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  <c r="AA222" s="127"/>
      <c r="AB222" s="127"/>
      <c r="AC222" s="127"/>
      <c r="AD222" s="129"/>
    </row>
    <row r="223" spans="1:30">
      <c r="A223" s="135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  <c r="AA223" s="127"/>
      <c r="AB223" s="127"/>
      <c r="AC223" s="127"/>
      <c r="AD223" s="129"/>
    </row>
    <row r="224" spans="1:30">
      <c r="A224" s="135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  <c r="AA224" s="127"/>
      <c r="AB224" s="127"/>
      <c r="AC224" s="127"/>
      <c r="AD224" s="129"/>
    </row>
    <row r="225" spans="1:30">
      <c r="A225" s="135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  <c r="AA225" s="127"/>
      <c r="AB225" s="127"/>
      <c r="AC225" s="127"/>
      <c r="AD225" s="129"/>
    </row>
    <row r="226" spans="1:30">
      <c r="A226" s="135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  <c r="AA226" s="127"/>
      <c r="AB226" s="127"/>
      <c r="AC226" s="127"/>
      <c r="AD226" s="129"/>
    </row>
    <row r="227" spans="1:30">
      <c r="A227" s="135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  <c r="AA227" s="127"/>
      <c r="AB227" s="127"/>
      <c r="AC227" s="127"/>
      <c r="AD227" s="129"/>
    </row>
    <row r="228" spans="1:30">
      <c r="A228" s="135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  <c r="AA228" s="127"/>
      <c r="AB228" s="127"/>
      <c r="AC228" s="127"/>
      <c r="AD228" s="129"/>
    </row>
    <row r="229" spans="1:30">
      <c r="A229" s="135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  <c r="AA229" s="127"/>
      <c r="AB229" s="127"/>
      <c r="AC229" s="127"/>
      <c r="AD229" s="129"/>
    </row>
    <row r="230" spans="1:30">
      <c r="A230" s="135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  <c r="AA230" s="127"/>
      <c r="AB230" s="127"/>
      <c r="AC230" s="127"/>
      <c r="AD230" s="129"/>
    </row>
    <row r="231" spans="1:30">
      <c r="A231" s="135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  <c r="AA231" s="127"/>
      <c r="AB231" s="127"/>
      <c r="AC231" s="127"/>
      <c r="AD231" s="129"/>
    </row>
    <row r="232" spans="1:30">
      <c r="A232" s="135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  <c r="AA232" s="127"/>
      <c r="AB232" s="127"/>
      <c r="AC232" s="127"/>
      <c r="AD232" s="129"/>
    </row>
    <row r="233" spans="1:30">
      <c r="A233" s="135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  <c r="AA233" s="127"/>
      <c r="AB233" s="127"/>
      <c r="AC233" s="127"/>
      <c r="AD233" s="129"/>
    </row>
    <row r="234" spans="1:30">
      <c r="A234" s="135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  <c r="AA234" s="127"/>
      <c r="AB234" s="127"/>
      <c r="AC234" s="127"/>
      <c r="AD234" s="129"/>
    </row>
    <row r="235" spans="1:30">
      <c r="A235" s="135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  <c r="AA235" s="127"/>
      <c r="AB235" s="127"/>
      <c r="AC235" s="127"/>
      <c r="AD235" s="129"/>
    </row>
    <row r="236" spans="1:30">
      <c r="A236" s="135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  <c r="AA236" s="127"/>
      <c r="AB236" s="127"/>
      <c r="AC236" s="127"/>
      <c r="AD236" s="129"/>
    </row>
    <row r="237" spans="1:30">
      <c r="A237" s="135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  <c r="AA237" s="127"/>
      <c r="AB237" s="127"/>
      <c r="AC237" s="127"/>
      <c r="AD237" s="129"/>
    </row>
    <row r="238" spans="1:30">
      <c r="A238" s="135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  <c r="AA238" s="127"/>
      <c r="AB238" s="127"/>
      <c r="AC238" s="127"/>
      <c r="AD238" s="129"/>
    </row>
    <row r="239" spans="1:30">
      <c r="A239" s="135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  <c r="AA239" s="127"/>
      <c r="AB239" s="127"/>
      <c r="AC239" s="127"/>
      <c r="AD239" s="129"/>
    </row>
    <row r="240" spans="1:30">
      <c r="A240" s="135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  <c r="AA240" s="127"/>
      <c r="AB240" s="127"/>
      <c r="AC240" s="127"/>
      <c r="AD240" s="129"/>
    </row>
    <row r="241" spans="1:30">
      <c r="A241" s="135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  <c r="AA241" s="127"/>
      <c r="AB241" s="127"/>
      <c r="AC241" s="127"/>
      <c r="AD241" s="129"/>
    </row>
    <row r="242" spans="1:30">
      <c r="A242" s="135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  <c r="AA242" s="127"/>
      <c r="AB242" s="127"/>
      <c r="AC242" s="127"/>
      <c r="AD242" s="129"/>
    </row>
    <row r="243" spans="1:30">
      <c r="A243" s="135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  <c r="AA243" s="127"/>
      <c r="AB243" s="127"/>
      <c r="AC243" s="127"/>
      <c r="AD243" s="129"/>
    </row>
    <row r="244" spans="1:30">
      <c r="A244" s="135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  <c r="AA244" s="127"/>
      <c r="AB244" s="127"/>
      <c r="AC244" s="127"/>
      <c r="AD244" s="129"/>
    </row>
    <row r="245" spans="1:30">
      <c r="A245" s="135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  <c r="AA245" s="127"/>
      <c r="AB245" s="127"/>
      <c r="AC245" s="127"/>
      <c r="AD245" s="129"/>
    </row>
    <row r="246" spans="1:30">
      <c r="A246" s="135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  <c r="AA246" s="127"/>
      <c r="AB246" s="127"/>
      <c r="AC246" s="127"/>
      <c r="AD246" s="129"/>
    </row>
    <row r="247" spans="1:30">
      <c r="A247" s="135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  <c r="AA247" s="127"/>
      <c r="AB247" s="127"/>
      <c r="AC247" s="127"/>
      <c r="AD247" s="129"/>
    </row>
    <row r="248" spans="1:30">
      <c r="A248" s="135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  <c r="AA248" s="127"/>
      <c r="AB248" s="127"/>
      <c r="AC248" s="127"/>
      <c r="AD248" s="129"/>
    </row>
    <row r="249" spans="1:30">
      <c r="A249" s="135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  <c r="AA249" s="127"/>
      <c r="AB249" s="127"/>
      <c r="AC249" s="127"/>
      <c r="AD249" s="129"/>
    </row>
    <row r="250" spans="1:30">
      <c r="A250" s="135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  <c r="AA250" s="127"/>
      <c r="AB250" s="127"/>
      <c r="AC250" s="127"/>
      <c r="AD250" s="129"/>
    </row>
    <row r="251" spans="1:30">
      <c r="A251" s="135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  <c r="AA251" s="127"/>
      <c r="AB251" s="127"/>
      <c r="AC251" s="127"/>
      <c r="AD251" s="129"/>
    </row>
    <row r="252" spans="1:30">
      <c r="A252" s="135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  <c r="AA252" s="127"/>
      <c r="AB252" s="127"/>
      <c r="AC252" s="127"/>
      <c r="AD252" s="129"/>
    </row>
    <row r="253" spans="1:30">
      <c r="A253" s="135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  <c r="AA253" s="127"/>
      <c r="AB253" s="127"/>
      <c r="AC253" s="127"/>
      <c r="AD253" s="129"/>
    </row>
    <row r="254" spans="1:30">
      <c r="A254" s="135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  <c r="AA254" s="127"/>
      <c r="AB254" s="127"/>
      <c r="AC254" s="127"/>
      <c r="AD254" s="129"/>
    </row>
    <row r="255" spans="1:30">
      <c r="A255" s="135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  <c r="AA255" s="127"/>
      <c r="AB255" s="127"/>
      <c r="AC255" s="127"/>
      <c r="AD255" s="129"/>
    </row>
    <row r="256" spans="1:30">
      <c r="A256" s="135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  <c r="AA256" s="127"/>
      <c r="AB256" s="127"/>
      <c r="AC256" s="127"/>
      <c r="AD256" s="129"/>
    </row>
    <row r="257" spans="1:30">
      <c r="A257" s="135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  <c r="AA257" s="127"/>
      <c r="AB257" s="127"/>
      <c r="AC257" s="127"/>
      <c r="AD257" s="129"/>
    </row>
    <row r="258" spans="1:30">
      <c r="A258" s="135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  <c r="AA258" s="127"/>
      <c r="AB258" s="127"/>
      <c r="AC258" s="127"/>
      <c r="AD258" s="129"/>
    </row>
    <row r="259" spans="1:30">
      <c r="A259" s="135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  <c r="AA259" s="127"/>
      <c r="AB259" s="127"/>
      <c r="AC259" s="127"/>
      <c r="AD259" s="129"/>
    </row>
    <row r="260" spans="1:30">
      <c r="A260" s="135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  <c r="AA260" s="127"/>
      <c r="AB260" s="127"/>
      <c r="AC260" s="127"/>
      <c r="AD260" s="129"/>
    </row>
    <row r="261" spans="1:30">
      <c r="A261" s="135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  <c r="AA261" s="127"/>
      <c r="AB261" s="127"/>
      <c r="AC261" s="127"/>
      <c r="AD261" s="129"/>
    </row>
    <row r="262" spans="1:30">
      <c r="A262" s="135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  <c r="AA262" s="127"/>
      <c r="AB262" s="127"/>
      <c r="AC262" s="127"/>
      <c r="AD262" s="129"/>
    </row>
    <row r="263" spans="1:30">
      <c r="A263" s="135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  <c r="AA263" s="127"/>
      <c r="AB263" s="127"/>
      <c r="AC263" s="127"/>
      <c r="AD263" s="129"/>
    </row>
    <row r="264" spans="1:30">
      <c r="A264" s="135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  <c r="AA264" s="127"/>
      <c r="AB264" s="127"/>
      <c r="AC264" s="127"/>
      <c r="AD264" s="129"/>
    </row>
    <row r="265" spans="1:30">
      <c r="A265" s="135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  <c r="AA265" s="127"/>
      <c r="AB265" s="127"/>
      <c r="AC265" s="127"/>
      <c r="AD265" s="129"/>
    </row>
    <row r="266" spans="1:30">
      <c r="A266" s="135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  <c r="AA266" s="127"/>
      <c r="AB266" s="127"/>
      <c r="AC266" s="127"/>
      <c r="AD266" s="129"/>
    </row>
    <row r="267" spans="1:30">
      <c r="A267" s="135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  <c r="AA267" s="127"/>
      <c r="AB267" s="127"/>
      <c r="AC267" s="127"/>
      <c r="AD267" s="129"/>
    </row>
    <row r="268" spans="1:30">
      <c r="A268" s="135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  <c r="AA268" s="127"/>
      <c r="AB268" s="127"/>
      <c r="AC268" s="127"/>
      <c r="AD268" s="129"/>
    </row>
    <row r="269" spans="1:30">
      <c r="A269" s="135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  <c r="AA269" s="127"/>
      <c r="AB269" s="127"/>
      <c r="AC269" s="127"/>
      <c r="AD269" s="129"/>
    </row>
    <row r="270" spans="1:30">
      <c r="A270" s="135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  <c r="AA270" s="127"/>
      <c r="AB270" s="127"/>
      <c r="AC270" s="127"/>
      <c r="AD270" s="129"/>
    </row>
    <row r="271" spans="1:30">
      <c r="A271" s="135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  <c r="AA271" s="127"/>
      <c r="AB271" s="127"/>
      <c r="AC271" s="127"/>
      <c r="AD271" s="129"/>
    </row>
    <row r="272" spans="1:30">
      <c r="A272" s="135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  <c r="AA272" s="127"/>
      <c r="AB272" s="127"/>
      <c r="AC272" s="127"/>
      <c r="AD272" s="129"/>
    </row>
    <row r="273" spans="1:30">
      <c r="A273" s="135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  <c r="AA273" s="127"/>
      <c r="AB273" s="127"/>
      <c r="AC273" s="127"/>
      <c r="AD273" s="129"/>
    </row>
    <row r="274" spans="1:30">
      <c r="A274" s="135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  <c r="AA274" s="127"/>
      <c r="AB274" s="127"/>
      <c r="AC274" s="127"/>
      <c r="AD274" s="129"/>
    </row>
    <row r="275" spans="1:30">
      <c r="A275" s="135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  <c r="AA275" s="127"/>
      <c r="AB275" s="127"/>
      <c r="AC275" s="127"/>
      <c r="AD275" s="129"/>
    </row>
    <row r="276" spans="1:30">
      <c r="A276" s="135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  <c r="AA276" s="127"/>
      <c r="AB276" s="127"/>
      <c r="AC276" s="127"/>
      <c r="AD276" s="129"/>
    </row>
    <row r="277" spans="1:30">
      <c r="A277" s="135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  <c r="AA277" s="127"/>
      <c r="AB277" s="127"/>
      <c r="AC277" s="127"/>
      <c r="AD277" s="129"/>
    </row>
    <row r="278" spans="1:30">
      <c r="A278" s="135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  <c r="AA278" s="127"/>
      <c r="AB278" s="127"/>
      <c r="AC278" s="127"/>
      <c r="AD278" s="129"/>
    </row>
    <row r="279" spans="1:30">
      <c r="A279" s="135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  <c r="AA279" s="127"/>
      <c r="AB279" s="127"/>
      <c r="AC279" s="127"/>
      <c r="AD279" s="129"/>
    </row>
    <row r="280" spans="1:30">
      <c r="A280" s="135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  <c r="AA280" s="127"/>
      <c r="AB280" s="127"/>
      <c r="AC280" s="127"/>
      <c r="AD280" s="129"/>
    </row>
    <row r="281" spans="1:30">
      <c r="A281" s="135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  <c r="AA281" s="127"/>
      <c r="AB281" s="127"/>
      <c r="AC281" s="127"/>
      <c r="AD281" s="129"/>
    </row>
    <row r="282" spans="1:30">
      <c r="A282" s="135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  <c r="AA282" s="127"/>
      <c r="AB282" s="127"/>
      <c r="AC282" s="127"/>
      <c r="AD282" s="129"/>
    </row>
    <row r="283" spans="1:30">
      <c r="A283" s="135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  <c r="AA283" s="127"/>
      <c r="AB283" s="127"/>
      <c r="AC283" s="127"/>
      <c r="AD283" s="129"/>
    </row>
    <row r="284" spans="1:30">
      <c r="A284" s="135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  <c r="AA284" s="127"/>
      <c r="AB284" s="127"/>
      <c r="AC284" s="127"/>
      <c r="AD284" s="129"/>
    </row>
    <row r="285" spans="1:30">
      <c r="A285" s="135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  <c r="AA285" s="127"/>
      <c r="AB285" s="127"/>
      <c r="AC285" s="127"/>
      <c r="AD285" s="129"/>
    </row>
    <row r="286" spans="1:30">
      <c r="A286" s="135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  <c r="AA286" s="127"/>
      <c r="AB286" s="127"/>
      <c r="AC286" s="127"/>
      <c r="AD286" s="129"/>
    </row>
    <row r="287" spans="1:30">
      <c r="A287" s="135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  <c r="AA287" s="127"/>
      <c r="AB287" s="127"/>
      <c r="AC287" s="127"/>
      <c r="AD287" s="129"/>
    </row>
    <row r="288" spans="1:30">
      <c r="A288" s="135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  <c r="AA288" s="127"/>
      <c r="AB288" s="127"/>
      <c r="AC288" s="127"/>
      <c r="AD288" s="129"/>
    </row>
    <row r="289" spans="1:30">
      <c r="A289" s="135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  <c r="AA289" s="127"/>
      <c r="AB289" s="127"/>
      <c r="AC289" s="127"/>
      <c r="AD289" s="129"/>
    </row>
    <row r="290" spans="1:30">
      <c r="A290" s="135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  <c r="AA290" s="127"/>
      <c r="AB290" s="127"/>
      <c r="AC290" s="127"/>
      <c r="AD290" s="129"/>
    </row>
    <row r="291" spans="1:30">
      <c r="A291" s="135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  <c r="AA291" s="127"/>
      <c r="AB291" s="127"/>
      <c r="AC291" s="127"/>
      <c r="AD291" s="129"/>
    </row>
    <row r="292" spans="1:30">
      <c r="A292" s="135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  <c r="AA292" s="127"/>
      <c r="AB292" s="127"/>
      <c r="AC292" s="127"/>
      <c r="AD292" s="129"/>
    </row>
    <row r="293" spans="1:30">
      <c r="A293" s="135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  <c r="AA293" s="127"/>
      <c r="AB293" s="127"/>
      <c r="AC293" s="127"/>
      <c r="AD293" s="129"/>
    </row>
    <row r="294" spans="1:30">
      <c r="A294" s="135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  <c r="AA294" s="127"/>
      <c r="AB294" s="127"/>
      <c r="AC294" s="127"/>
      <c r="AD294" s="129"/>
    </row>
    <row r="295" spans="1:30">
      <c r="A295" s="135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  <c r="AA295" s="127"/>
      <c r="AB295" s="127"/>
      <c r="AC295" s="127"/>
      <c r="AD295" s="129"/>
    </row>
    <row r="296" spans="1:30">
      <c r="A296" s="135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  <c r="AA296" s="127"/>
      <c r="AB296" s="127"/>
      <c r="AC296" s="127"/>
      <c r="AD296" s="129"/>
    </row>
    <row r="297" spans="1:30">
      <c r="A297" s="135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  <c r="AA297" s="127"/>
      <c r="AB297" s="127"/>
      <c r="AC297" s="127"/>
      <c r="AD297" s="129"/>
    </row>
    <row r="298" spans="1:30">
      <c r="A298" s="135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  <c r="AA298" s="127"/>
      <c r="AB298" s="127"/>
      <c r="AC298" s="127"/>
      <c r="AD298" s="129"/>
    </row>
    <row r="299" spans="1:30">
      <c r="A299" s="135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  <c r="AA299" s="127"/>
      <c r="AB299" s="127"/>
      <c r="AC299" s="127"/>
      <c r="AD299" s="129"/>
    </row>
    <row r="300" spans="1:30">
      <c r="A300" s="135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  <c r="AA300" s="127"/>
      <c r="AB300" s="127"/>
      <c r="AC300" s="127"/>
      <c r="AD300" s="129"/>
    </row>
    <row r="301" spans="1:30">
      <c r="A301" s="135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  <c r="AA301" s="127"/>
      <c r="AB301" s="127"/>
      <c r="AC301" s="127"/>
      <c r="AD301" s="129"/>
    </row>
    <row r="302" spans="1:30">
      <c r="A302" s="135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  <c r="AA302" s="127"/>
      <c r="AB302" s="127"/>
      <c r="AC302" s="127"/>
      <c r="AD302" s="129"/>
    </row>
    <row r="303" spans="1:30">
      <c r="A303" s="135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  <c r="AA303" s="127"/>
      <c r="AB303" s="127"/>
      <c r="AC303" s="127"/>
      <c r="AD303" s="129"/>
    </row>
    <row r="304" spans="1:30">
      <c r="A304" s="135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  <c r="AA304" s="127"/>
      <c r="AB304" s="127"/>
      <c r="AC304" s="127"/>
      <c r="AD304" s="129"/>
    </row>
    <row r="305" spans="1:30">
      <c r="A305" s="135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  <c r="AA305" s="127"/>
      <c r="AB305" s="127"/>
      <c r="AC305" s="127"/>
      <c r="AD305" s="129"/>
    </row>
    <row r="306" spans="1:30">
      <c r="A306" s="135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  <c r="AA306" s="127"/>
      <c r="AB306" s="127"/>
      <c r="AC306" s="127"/>
      <c r="AD306" s="129"/>
    </row>
    <row r="307" spans="1:30">
      <c r="A307" s="135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  <c r="AA307" s="127"/>
      <c r="AB307" s="127"/>
      <c r="AC307" s="127"/>
      <c r="AD307" s="129"/>
    </row>
    <row r="308" spans="1:30">
      <c r="A308" s="135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  <c r="AA308" s="127"/>
      <c r="AB308" s="127"/>
      <c r="AC308" s="127"/>
      <c r="AD308" s="129"/>
    </row>
    <row r="309" spans="1:30">
      <c r="A309" s="135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  <c r="AA309" s="127"/>
      <c r="AB309" s="127"/>
      <c r="AC309" s="127"/>
      <c r="AD309" s="129"/>
    </row>
    <row r="310" spans="1:30">
      <c r="A310" s="135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  <c r="AA310" s="127"/>
      <c r="AB310" s="127"/>
      <c r="AC310" s="127"/>
      <c r="AD310" s="129"/>
    </row>
    <row r="311" spans="1:30">
      <c r="A311" s="135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  <c r="AA311" s="127"/>
      <c r="AB311" s="127"/>
      <c r="AC311" s="127"/>
      <c r="AD311" s="129"/>
    </row>
    <row r="312" spans="1:30">
      <c r="A312" s="135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  <c r="AA312" s="127"/>
      <c r="AB312" s="127"/>
      <c r="AC312" s="127"/>
      <c r="AD312" s="129"/>
    </row>
    <row r="313" spans="1:30">
      <c r="A313" s="135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  <c r="AA313" s="127"/>
      <c r="AB313" s="127"/>
      <c r="AC313" s="127"/>
      <c r="AD313" s="129"/>
    </row>
    <row r="314" spans="1:30">
      <c r="A314" s="135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  <c r="AA314" s="127"/>
      <c r="AB314" s="127"/>
      <c r="AC314" s="127"/>
      <c r="AD314" s="129"/>
    </row>
    <row r="315" spans="1:30">
      <c r="A315" s="135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  <c r="AA315" s="127"/>
      <c r="AB315" s="127"/>
      <c r="AC315" s="127"/>
      <c r="AD315" s="129"/>
    </row>
    <row r="316" spans="1:30">
      <c r="A316" s="135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  <c r="AA316" s="127"/>
      <c r="AB316" s="127"/>
      <c r="AC316" s="127"/>
      <c r="AD316" s="129"/>
    </row>
    <row r="317" spans="1:30">
      <c r="A317" s="135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  <c r="AA317" s="127"/>
      <c r="AB317" s="127"/>
      <c r="AC317" s="127"/>
      <c r="AD317" s="129"/>
    </row>
    <row r="318" spans="1:30">
      <c r="A318" s="135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  <c r="AA318" s="127"/>
      <c r="AB318" s="127"/>
      <c r="AC318" s="127"/>
      <c r="AD318" s="129"/>
    </row>
    <row r="319" spans="1:30">
      <c r="A319" s="135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  <c r="AA319" s="127"/>
      <c r="AB319" s="127"/>
      <c r="AC319" s="127"/>
      <c r="AD319" s="129"/>
    </row>
    <row r="320" spans="1:30">
      <c r="A320" s="135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  <c r="AA320" s="127"/>
      <c r="AB320" s="127"/>
      <c r="AC320" s="127"/>
      <c r="AD320" s="129"/>
    </row>
    <row r="321" spans="1:30">
      <c r="A321" s="135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  <c r="AA321" s="127"/>
      <c r="AB321" s="127"/>
      <c r="AC321" s="127"/>
      <c r="AD321" s="129"/>
    </row>
    <row r="322" spans="1:30">
      <c r="A322" s="135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  <c r="AA322" s="127"/>
      <c r="AB322" s="127"/>
      <c r="AC322" s="127"/>
      <c r="AD322" s="129"/>
    </row>
    <row r="323" spans="1:30">
      <c r="A323" s="135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  <c r="AA323" s="127"/>
      <c r="AB323" s="127"/>
      <c r="AC323" s="127"/>
      <c r="AD323" s="129"/>
    </row>
    <row r="324" spans="1:30">
      <c r="A324" s="135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  <c r="AA324" s="127"/>
      <c r="AB324" s="127"/>
      <c r="AC324" s="127"/>
      <c r="AD324" s="129"/>
    </row>
    <row r="325" spans="1:30">
      <c r="A325" s="135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  <c r="AA325" s="127"/>
      <c r="AB325" s="127"/>
      <c r="AC325" s="127"/>
      <c r="AD325" s="129"/>
    </row>
    <row r="326" spans="1:30">
      <c r="A326" s="135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  <c r="AA326" s="127"/>
      <c r="AB326" s="127"/>
      <c r="AC326" s="127"/>
      <c r="AD326" s="129"/>
    </row>
    <row r="327" spans="1:30">
      <c r="A327" s="135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  <c r="AA327" s="127"/>
      <c r="AB327" s="127"/>
      <c r="AC327" s="127"/>
      <c r="AD327" s="129"/>
    </row>
    <row r="328" spans="1:30">
      <c r="A328" s="135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  <c r="AA328" s="127"/>
      <c r="AB328" s="127"/>
      <c r="AC328" s="127"/>
      <c r="AD328" s="129"/>
    </row>
    <row r="329" spans="1:30">
      <c r="A329" s="135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  <c r="AA329" s="127"/>
      <c r="AB329" s="127"/>
      <c r="AC329" s="127"/>
      <c r="AD329" s="129"/>
    </row>
    <row r="330" spans="1:30">
      <c r="A330" s="135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  <c r="AA330" s="127"/>
      <c r="AB330" s="127"/>
      <c r="AC330" s="127"/>
      <c r="AD330" s="129"/>
    </row>
    <row r="331" spans="1:30">
      <c r="A331" s="135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  <c r="AA331" s="127"/>
      <c r="AB331" s="127"/>
      <c r="AC331" s="127"/>
      <c r="AD331" s="129"/>
    </row>
    <row r="332" spans="1:30">
      <c r="A332" s="135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  <c r="AA332" s="127"/>
      <c r="AB332" s="127"/>
      <c r="AC332" s="127"/>
      <c r="AD332" s="129"/>
    </row>
    <row r="333" spans="1:30">
      <c r="A333" s="135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  <c r="AA333" s="127"/>
      <c r="AB333" s="127"/>
      <c r="AC333" s="127"/>
      <c r="AD333" s="129"/>
    </row>
    <row r="334" spans="1:30">
      <c r="A334" s="135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  <c r="AA334" s="127"/>
      <c r="AB334" s="127"/>
      <c r="AC334" s="127"/>
      <c r="AD334" s="129"/>
    </row>
    <row r="335" spans="1:30">
      <c r="A335" s="135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  <c r="AA335" s="127"/>
      <c r="AB335" s="127"/>
      <c r="AC335" s="127"/>
      <c r="AD335" s="129"/>
    </row>
    <row r="336" spans="1:30">
      <c r="A336" s="135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  <c r="AA336" s="127"/>
      <c r="AB336" s="127"/>
      <c r="AC336" s="127"/>
      <c r="AD336" s="129"/>
    </row>
    <row r="337" spans="1:30">
      <c r="A337" s="135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  <c r="AA337" s="127"/>
      <c r="AB337" s="127"/>
      <c r="AC337" s="127"/>
      <c r="AD337" s="129"/>
    </row>
    <row r="338" spans="1:30">
      <c r="A338" s="135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  <c r="AA338" s="127"/>
      <c r="AB338" s="127"/>
      <c r="AC338" s="127"/>
      <c r="AD338" s="129"/>
    </row>
    <row r="339" spans="1:30">
      <c r="A339" s="135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  <c r="AA339" s="127"/>
      <c r="AB339" s="127"/>
      <c r="AC339" s="127"/>
      <c r="AD339" s="129"/>
    </row>
    <row r="340" spans="1:30">
      <c r="A340" s="135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  <c r="AA340" s="127"/>
      <c r="AB340" s="127"/>
      <c r="AC340" s="127"/>
      <c r="AD340" s="129"/>
    </row>
    <row r="341" spans="1:30">
      <c r="A341" s="135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  <c r="AA341" s="127"/>
      <c r="AB341" s="127"/>
      <c r="AC341" s="127"/>
      <c r="AD341" s="129"/>
    </row>
    <row r="342" spans="1:30">
      <c r="A342" s="135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  <c r="AA342" s="127"/>
      <c r="AB342" s="127"/>
      <c r="AC342" s="127"/>
      <c r="AD342" s="129"/>
    </row>
    <row r="343" spans="1:30">
      <c r="A343" s="135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  <c r="AA343" s="127"/>
      <c r="AB343" s="127"/>
      <c r="AC343" s="127"/>
      <c r="AD343" s="129"/>
    </row>
    <row r="344" spans="1:30">
      <c r="A344" s="135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  <c r="AA344" s="127"/>
      <c r="AB344" s="127"/>
      <c r="AC344" s="127"/>
      <c r="AD344" s="129"/>
    </row>
    <row r="345" spans="1:30">
      <c r="A345" s="135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  <c r="AA345" s="127"/>
      <c r="AB345" s="127"/>
      <c r="AC345" s="127"/>
      <c r="AD345" s="129"/>
    </row>
    <row r="346" spans="1:30">
      <c r="A346" s="135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  <c r="AA346" s="127"/>
      <c r="AB346" s="127"/>
      <c r="AC346" s="127"/>
      <c r="AD346" s="129"/>
    </row>
    <row r="347" spans="1:30">
      <c r="A347" s="135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  <c r="AA347" s="127"/>
      <c r="AB347" s="127"/>
      <c r="AC347" s="127"/>
      <c r="AD347" s="129"/>
    </row>
    <row r="348" spans="1:30">
      <c r="A348" s="135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  <c r="AA348" s="127"/>
      <c r="AB348" s="127"/>
      <c r="AC348" s="127"/>
      <c r="AD348" s="129"/>
    </row>
    <row r="349" spans="1:30">
      <c r="A349" s="135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  <c r="AA349" s="127"/>
      <c r="AB349" s="127"/>
      <c r="AC349" s="127"/>
      <c r="AD349" s="129"/>
    </row>
    <row r="350" spans="1:30">
      <c r="A350" s="135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  <c r="AA350" s="127"/>
      <c r="AB350" s="127"/>
      <c r="AC350" s="127"/>
      <c r="AD350" s="129"/>
    </row>
    <row r="351" spans="1:30">
      <c r="A351" s="135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  <c r="AA351" s="127"/>
      <c r="AB351" s="127"/>
      <c r="AC351" s="127"/>
      <c r="AD351" s="129"/>
    </row>
    <row r="352" spans="1:30">
      <c r="A352" s="135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  <c r="AA352" s="127"/>
      <c r="AB352" s="127"/>
      <c r="AC352" s="127"/>
      <c r="AD352" s="129"/>
    </row>
    <row r="353" spans="1:30">
      <c r="A353" s="135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  <c r="AA353" s="127"/>
      <c r="AB353" s="127"/>
      <c r="AC353" s="127"/>
      <c r="AD353" s="129"/>
    </row>
    <row r="354" spans="1:30">
      <c r="A354" s="135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  <c r="AA354" s="127"/>
      <c r="AB354" s="127"/>
      <c r="AC354" s="127"/>
      <c r="AD354" s="129"/>
    </row>
    <row r="355" spans="1:30">
      <c r="A355" s="135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  <c r="AA355" s="127"/>
      <c r="AB355" s="127"/>
      <c r="AC355" s="127"/>
      <c r="AD355" s="129"/>
    </row>
    <row r="356" spans="1:30">
      <c r="A356" s="135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  <c r="AA356" s="127"/>
      <c r="AB356" s="127"/>
      <c r="AC356" s="127"/>
      <c r="AD356" s="129"/>
    </row>
    <row r="357" spans="1:30">
      <c r="A357" s="135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  <c r="AA357" s="127"/>
      <c r="AB357" s="127"/>
      <c r="AC357" s="127"/>
      <c r="AD357" s="129"/>
    </row>
    <row r="358" spans="1:30">
      <c r="A358" s="135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  <c r="AA358" s="127"/>
      <c r="AB358" s="127"/>
      <c r="AC358" s="127"/>
      <c r="AD358" s="129"/>
    </row>
    <row r="359" spans="1:30">
      <c r="A359" s="135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  <c r="AA359" s="127"/>
      <c r="AB359" s="127"/>
      <c r="AC359" s="127"/>
      <c r="AD359" s="129"/>
    </row>
    <row r="360" spans="1:30">
      <c r="A360" s="135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  <c r="AA360" s="127"/>
      <c r="AB360" s="127"/>
      <c r="AC360" s="127"/>
      <c r="AD360" s="129"/>
    </row>
    <row r="361" spans="1:30">
      <c r="A361" s="135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  <c r="AA361" s="127"/>
      <c r="AB361" s="127"/>
      <c r="AC361" s="127"/>
      <c r="AD361" s="129"/>
    </row>
    <row r="362" spans="1:30">
      <c r="A362" s="135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  <c r="AA362" s="127"/>
      <c r="AB362" s="127"/>
      <c r="AC362" s="127"/>
      <c r="AD362" s="129"/>
    </row>
    <row r="363" spans="1:30">
      <c r="A363" s="135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  <c r="AA363" s="127"/>
      <c r="AB363" s="127"/>
      <c r="AC363" s="127"/>
      <c r="AD363" s="129"/>
    </row>
    <row r="364" spans="1:30">
      <c r="A364" s="135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  <c r="AA364" s="127"/>
      <c r="AB364" s="127"/>
      <c r="AC364" s="127"/>
      <c r="AD364" s="129"/>
    </row>
    <row r="365" spans="1:30">
      <c r="A365" s="135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  <c r="AA365" s="127"/>
      <c r="AB365" s="127"/>
      <c r="AC365" s="127"/>
      <c r="AD365" s="129"/>
    </row>
    <row r="366" spans="1:30">
      <c r="A366" s="135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  <c r="AA366" s="127"/>
      <c r="AB366" s="127"/>
      <c r="AC366" s="127"/>
      <c r="AD366" s="129"/>
    </row>
    <row r="367" spans="1:30">
      <c r="A367" s="135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  <c r="AA367" s="127"/>
      <c r="AB367" s="127"/>
      <c r="AC367" s="127"/>
      <c r="AD367" s="129"/>
    </row>
    <row r="368" spans="1:30">
      <c r="A368" s="135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  <c r="AA368" s="127"/>
      <c r="AB368" s="127"/>
      <c r="AC368" s="127"/>
      <c r="AD368" s="129"/>
    </row>
    <row r="369" spans="1:30">
      <c r="A369" s="135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  <c r="AA369" s="127"/>
      <c r="AB369" s="127"/>
      <c r="AC369" s="127"/>
      <c r="AD369" s="129"/>
    </row>
    <row r="370" spans="1:30">
      <c r="A370" s="135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  <c r="AA370" s="127"/>
      <c r="AB370" s="127"/>
      <c r="AC370" s="127"/>
      <c r="AD370" s="129"/>
    </row>
    <row r="371" spans="1:30">
      <c r="A371" s="135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  <c r="AA371" s="127"/>
      <c r="AB371" s="127"/>
      <c r="AC371" s="127"/>
      <c r="AD371" s="129"/>
    </row>
    <row r="372" spans="1:30">
      <c r="A372" s="135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  <c r="AA372" s="127"/>
      <c r="AB372" s="127"/>
      <c r="AC372" s="127"/>
      <c r="AD372" s="129"/>
    </row>
    <row r="373" spans="1:30">
      <c r="A373" s="135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  <c r="AA373" s="127"/>
      <c r="AB373" s="127"/>
      <c r="AC373" s="127"/>
      <c r="AD373" s="129"/>
    </row>
    <row r="374" spans="1:30">
      <c r="A374" s="135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  <c r="AA374" s="127"/>
      <c r="AB374" s="127"/>
      <c r="AC374" s="127"/>
      <c r="AD374" s="129"/>
    </row>
    <row r="375" spans="1:30">
      <c r="A375" s="135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  <c r="AA375" s="127"/>
      <c r="AB375" s="127"/>
      <c r="AC375" s="127"/>
      <c r="AD375" s="129"/>
    </row>
    <row r="376" spans="1:30">
      <c r="A376" s="135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  <c r="AA376" s="127"/>
      <c r="AB376" s="127"/>
      <c r="AC376" s="127"/>
      <c r="AD376" s="129"/>
    </row>
    <row r="377" spans="1:30">
      <c r="A377" s="135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  <c r="AA377" s="127"/>
      <c r="AB377" s="127"/>
      <c r="AC377" s="127"/>
      <c r="AD377" s="129"/>
    </row>
    <row r="378" spans="1:30">
      <c r="A378" s="135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  <c r="AA378" s="127"/>
      <c r="AB378" s="127"/>
      <c r="AC378" s="127"/>
      <c r="AD378" s="129"/>
    </row>
    <row r="379" spans="1:30">
      <c r="A379" s="135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  <c r="AA379" s="127"/>
      <c r="AB379" s="127"/>
      <c r="AC379" s="127"/>
      <c r="AD379" s="129"/>
    </row>
    <row r="380" spans="1:30">
      <c r="A380" s="135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  <c r="AA380" s="127"/>
      <c r="AB380" s="127"/>
      <c r="AC380" s="127"/>
      <c r="AD380" s="129"/>
    </row>
    <row r="381" spans="1:30">
      <c r="A381" s="135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  <c r="AA381" s="127"/>
      <c r="AB381" s="127"/>
      <c r="AC381" s="127"/>
      <c r="AD381" s="129"/>
    </row>
    <row r="382" spans="1:30">
      <c r="A382" s="135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  <c r="AA382" s="127"/>
      <c r="AB382" s="127"/>
      <c r="AC382" s="127"/>
      <c r="AD382" s="129"/>
    </row>
    <row r="383" spans="1:30">
      <c r="A383" s="135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  <c r="AA383" s="127"/>
      <c r="AB383" s="127"/>
      <c r="AC383" s="127"/>
      <c r="AD383" s="129"/>
    </row>
    <row r="384" spans="1:30">
      <c r="A384" s="135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  <c r="AA384" s="127"/>
      <c r="AB384" s="127"/>
      <c r="AC384" s="127"/>
      <c r="AD384" s="129"/>
    </row>
    <row r="385" spans="1:30">
      <c r="A385" s="135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  <c r="AA385" s="127"/>
      <c r="AB385" s="127"/>
      <c r="AC385" s="127"/>
      <c r="AD385" s="129"/>
    </row>
    <row r="386" spans="1:30">
      <c r="A386" s="135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  <c r="AA386" s="127"/>
      <c r="AB386" s="127"/>
      <c r="AC386" s="127"/>
      <c r="AD386" s="129"/>
    </row>
    <row r="387" spans="1:30">
      <c r="A387" s="135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  <c r="AA387" s="127"/>
      <c r="AB387" s="127"/>
      <c r="AC387" s="127"/>
      <c r="AD387" s="129"/>
    </row>
    <row r="388" spans="1:30">
      <c r="A388" s="135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  <c r="AA388" s="127"/>
      <c r="AB388" s="127"/>
      <c r="AC388" s="127"/>
      <c r="AD388" s="129"/>
    </row>
    <row r="389" spans="1:30">
      <c r="A389" s="135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  <c r="AA389" s="127"/>
      <c r="AB389" s="127"/>
      <c r="AC389" s="127"/>
      <c r="AD389" s="129"/>
    </row>
    <row r="390" spans="1:30">
      <c r="A390" s="135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  <c r="AA390" s="127"/>
      <c r="AB390" s="127"/>
      <c r="AC390" s="127"/>
      <c r="AD390" s="129"/>
    </row>
    <row r="391" spans="1:30">
      <c r="A391" s="135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  <c r="AA391" s="127"/>
      <c r="AB391" s="127"/>
      <c r="AC391" s="127"/>
      <c r="AD391" s="129"/>
    </row>
    <row r="392" spans="1:30">
      <c r="A392" s="135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  <c r="AA392" s="127"/>
      <c r="AB392" s="127"/>
      <c r="AC392" s="127"/>
      <c r="AD392" s="129"/>
    </row>
    <row r="393" spans="1:30">
      <c r="A393" s="135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  <c r="AA393" s="127"/>
      <c r="AB393" s="127"/>
      <c r="AC393" s="127"/>
      <c r="AD393" s="129"/>
    </row>
    <row r="394" spans="1:30">
      <c r="A394" s="135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  <c r="AA394" s="127"/>
      <c r="AB394" s="127"/>
      <c r="AC394" s="127"/>
      <c r="AD394" s="129"/>
    </row>
    <row r="395" spans="1:30">
      <c r="A395" s="135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  <c r="AA395" s="127"/>
      <c r="AB395" s="127"/>
      <c r="AC395" s="127"/>
      <c r="AD395" s="129"/>
    </row>
    <row r="396" spans="1:30">
      <c r="A396" s="135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  <c r="AA396" s="127"/>
      <c r="AB396" s="127"/>
      <c r="AC396" s="127"/>
      <c r="AD396" s="129"/>
    </row>
    <row r="397" spans="1:30">
      <c r="A397" s="135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  <c r="AA397" s="127"/>
      <c r="AB397" s="127"/>
      <c r="AC397" s="127"/>
      <c r="AD397" s="129"/>
    </row>
    <row r="398" spans="1:30">
      <c r="A398" s="135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  <c r="AA398" s="127"/>
      <c r="AB398" s="127"/>
      <c r="AC398" s="127"/>
      <c r="AD398" s="129"/>
    </row>
    <row r="399" spans="1:30">
      <c r="A399" s="135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  <c r="AA399" s="127"/>
      <c r="AB399" s="127"/>
      <c r="AC399" s="127"/>
      <c r="AD399" s="129"/>
    </row>
    <row r="400" spans="1:30">
      <c r="A400" s="135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  <c r="AA400" s="127"/>
      <c r="AB400" s="127"/>
      <c r="AC400" s="127"/>
      <c r="AD400" s="129"/>
    </row>
    <row r="401" spans="1:30">
      <c r="A401" s="135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  <c r="AA401" s="127"/>
      <c r="AB401" s="127"/>
      <c r="AC401" s="127"/>
      <c r="AD401" s="129"/>
    </row>
    <row r="402" spans="1:30">
      <c r="A402" s="135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  <c r="AA402" s="127"/>
      <c r="AB402" s="127"/>
      <c r="AC402" s="127"/>
      <c r="AD402" s="129"/>
    </row>
    <row r="403" spans="1:30">
      <c r="A403" s="135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  <c r="AA403" s="127"/>
      <c r="AB403" s="127"/>
      <c r="AC403" s="127"/>
      <c r="AD403" s="129"/>
    </row>
    <row r="404" spans="1:30">
      <c r="A404" s="135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  <c r="AA404" s="127"/>
      <c r="AB404" s="127"/>
      <c r="AC404" s="127"/>
      <c r="AD404" s="129"/>
    </row>
    <row r="405" spans="1:30">
      <c r="A405" s="135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  <c r="AA405" s="127"/>
      <c r="AB405" s="127"/>
      <c r="AC405" s="127"/>
      <c r="AD405" s="129"/>
    </row>
    <row r="406" spans="1:30">
      <c r="A406" s="135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  <c r="AA406" s="127"/>
      <c r="AB406" s="127"/>
      <c r="AC406" s="127"/>
      <c r="AD406" s="129"/>
    </row>
    <row r="407" spans="1:30">
      <c r="A407" s="135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  <c r="AA407" s="127"/>
      <c r="AB407" s="127"/>
      <c r="AC407" s="127"/>
      <c r="AD407" s="129"/>
    </row>
    <row r="408" spans="1:30">
      <c r="A408" s="135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  <c r="AA408" s="127"/>
      <c r="AB408" s="127"/>
      <c r="AC408" s="127"/>
      <c r="AD408" s="129"/>
    </row>
    <row r="409" spans="1:30">
      <c r="A409" s="135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  <c r="AA409" s="127"/>
      <c r="AB409" s="127"/>
      <c r="AC409" s="127"/>
      <c r="AD409" s="129"/>
    </row>
    <row r="410" spans="1:30">
      <c r="A410" s="135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  <c r="AA410" s="127"/>
      <c r="AB410" s="127"/>
      <c r="AC410" s="127"/>
      <c r="AD410" s="129"/>
    </row>
    <row r="411" spans="1:30">
      <c r="A411" s="135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  <c r="AA411" s="127"/>
      <c r="AB411" s="127"/>
      <c r="AC411" s="127"/>
      <c r="AD411" s="129"/>
    </row>
    <row r="412" spans="1:30">
      <c r="A412" s="135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  <c r="AA412" s="127"/>
      <c r="AB412" s="127"/>
      <c r="AC412" s="127"/>
      <c r="AD412" s="129"/>
    </row>
    <row r="413" spans="1:30">
      <c r="A413" s="135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  <c r="AA413" s="127"/>
      <c r="AB413" s="127"/>
      <c r="AC413" s="127"/>
      <c r="AD413" s="129"/>
    </row>
    <row r="414" spans="1:30">
      <c r="A414" s="135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  <c r="AA414" s="127"/>
      <c r="AB414" s="127"/>
      <c r="AC414" s="127"/>
      <c r="AD414" s="129"/>
    </row>
    <row r="415" spans="1:30">
      <c r="A415" s="135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  <c r="AA415" s="127"/>
      <c r="AB415" s="127"/>
      <c r="AC415" s="127"/>
      <c r="AD415" s="129"/>
    </row>
    <row r="416" spans="1:30">
      <c r="A416" s="135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  <c r="AA416" s="127"/>
      <c r="AB416" s="127"/>
      <c r="AC416" s="127"/>
      <c r="AD416" s="129"/>
    </row>
    <row r="417" spans="1:30">
      <c r="A417" s="135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  <c r="AA417" s="127"/>
      <c r="AB417" s="127"/>
      <c r="AC417" s="127"/>
      <c r="AD417" s="129"/>
    </row>
    <row r="418" spans="1:30">
      <c r="A418" s="135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  <c r="AA418" s="127"/>
      <c r="AB418" s="127"/>
      <c r="AC418" s="127"/>
      <c r="AD418" s="129"/>
    </row>
    <row r="419" spans="1:30">
      <c r="A419" s="135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  <c r="AA419" s="127"/>
      <c r="AB419" s="127"/>
      <c r="AC419" s="127"/>
      <c r="AD419" s="129"/>
    </row>
    <row r="420" spans="1:30">
      <c r="A420" s="135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  <c r="AA420" s="127"/>
      <c r="AB420" s="127"/>
      <c r="AC420" s="127"/>
      <c r="AD420" s="129"/>
    </row>
    <row r="421" spans="1:30">
      <c r="A421" s="135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  <c r="AA421" s="127"/>
      <c r="AB421" s="127"/>
      <c r="AC421" s="127"/>
      <c r="AD421" s="129"/>
    </row>
    <row r="422" spans="1:30">
      <c r="A422" s="135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  <c r="AA422" s="127"/>
      <c r="AB422" s="127"/>
      <c r="AC422" s="127"/>
      <c r="AD422" s="129"/>
    </row>
    <row r="423" spans="1:30">
      <c r="A423" s="135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  <c r="AA423" s="127"/>
      <c r="AB423" s="127"/>
      <c r="AC423" s="127"/>
      <c r="AD423" s="129"/>
    </row>
    <row r="424" spans="1:30">
      <c r="A424" s="135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  <c r="AA424" s="127"/>
      <c r="AB424" s="127"/>
      <c r="AC424" s="127"/>
      <c r="AD424" s="129"/>
    </row>
    <row r="425" spans="1:30">
      <c r="A425" s="135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  <c r="AA425" s="127"/>
      <c r="AB425" s="127"/>
      <c r="AC425" s="127"/>
      <c r="AD425" s="129"/>
    </row>
    <row r="426" spans="1:30">
      <c r="A426" s="135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  <c r="AA426" s="127"/>
      <c r="AB426" s="127"/>
      <c r="AC426" s="127"/>
      <c r="AD426" s="129"/>
    </row>
    <row r="427" spans="1:30">
      <c r="A427" s="135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  <c r="AA427" s="127"/>
      <c r="AB427" s="127"/>
      <c r="AC427" s="127"/>
      <c r="AD427" s="129"/>
    </row>
    <row r="428" spans="1:30">
      <c r="A428" s="135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  <c r="AA428" s="127"/>
      <c r="AB428" s="127"/>
      <c r="AC428" s="127"/>
      <c r="AD428" s="129"/>
    </row>
    <row r="429" spans="1:30">
      <c r="A429" s="135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  <c r="AA429" s="127"/>
      <c r="AB429" s="127"/>
      <c r="AC429" s="127"/>
      <c r="AD429" s="129"/>
    </row>
    <row r="430" spans="1:30">
      <c r="A430" s="135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  <c r="AA430" s="127"/>
      <c r="AB430" s="127"/>
      <c r="AC430" s="127"/>
      <c r="AD430" s="129"/>
    </row>
    <row r="431" spans="1:30">
      <c r="A431" s="135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  <c r="AA431" s="127"/>
      <c r="AB431" s="127"/>
      <c r="AC431" s="127"/>
      <c r="AD431" s="129"/>
    </row>
    <row r="432" spans="1:30">
      <c r="A432" s="135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  <c r="AA432" s="127"/>
      <c r="AB432" s="127"/>
      <c r="AC432" s="127"/>
      <c r="AD432" s="129"/>
    </row>
    <row r="433" spans="1:30">
      <c r="A433" s="135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  <c r="AA433" s="127"/>
      <c r="AB433" s="127"/>
      <c r="AC433" s="127"/>
      <c r="AD433" s="129"/>
    </row>
    <row r="434" spans="1:30">
      <c r="A434" s="135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  <c r="AA434" s="127"/>
      <c r="AB434" s="127"/>
      <c r="AC434" s="127"/>
      <c r="AD434" s="129"/>
    </row>
    <row r="435" spans="1:30">
      <c r="A435" s="135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  <c r="AA435" s="127"/>
      <c r="AB435" s="127"/>
      <c r="AC435" s="127"/>
      <c r="AD435" s="129"/>
    </row>
    <row r="436" spans="1:30">
      <c r="A436" s="135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  <c r="AA436" s="127"/>
      <c r="AB436" s="127"/>
      <c r="AC436" s="127"/>
      <c r="AD436" s="129"/>
    </row>
    <row r="437" spans="1:30">
      <c r="A437" s="135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  <c r="AA437" s="127"/>
      <c r="AB437" s="127"/>
      <c r="AC437" s="127"/>
      <c r="AD437" s="129"/>
    </row>
    <row r="438" spans="1:30">
      <c r="A438" s="135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  <c r="AA438" s="127"/>
      <c r="AB438" s="127"/>
      <c r="AC438" s="127"/>
      <c r="AD438" s="129"/>
    </row>
    <row r="439" spans="1:30">
      <c r="A439" s="135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  <c r="AA439" s="127"/>
      <c r="AB439" s="127"/>
      <c r="AC439" s="127"/>
      <c r="AD439" s="129"/>
    </row>
    <row r="440" spans="1:30">
      <c r="A440" s="135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  <c r="AA440" s="127"/>
      <c r="AB440" s="127"/>
      <c r="AC440" s="127"/>
      <c r="AD440" s="129"/>
    </row>
    <row r="441" spans="1:30">
      <c r="A441" s="135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  <c r="AA441" s="127"/>
      <c r="AB441" s="127"/>
      <c r="AC441" s="127"/>
      <c r="AD441" s="129"/>
    </row>
    <row r="442" spans="1:30">
      <c r="A442" s="135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  <c r="AA442" s="127"/>
      <c r="AB442" s="127"/>
      <c r="AC442" s="127"/>
      <c r="AD442" s="129"/>
    </row>
    <row r="443" spans="1:30">
      <c r="A443" s="135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  <c r="AA443" s="127"/>
      <c r="AB443" s="127"/>
      <c r="AC443" s="127"/>
      <c r="AD443" s="129"/>
    </row>
    <row r="444" spans="1:30">
      <c r="A444" s="135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  <c r="AA444" s="127"/>
      <c r="AB444" s="127"/>
      <c r="AC444" s="127"/>
      <c r="AD444" s="129"/>
    </row>
    <row r="445" spans="1:30">
      <c r="A445" s="135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  <c r="AA445" s="127"/>
      <c r="AB445" s="127"/>
      <c r="AC445" s="127"/>
      <c r="AD445" s="129"/>
    </row>
    <row r="446" spans="1:30">
      <c r="A446" s="135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  <c r="AA446" s="127"/>
      <c r="AB446" s="127"/>
      <c r="AC446" s="127"/>
      <c r="AD446" s="129"/>
    </row>
    <row r="447" spans="1:30">
      <c r="A447" s="135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  <c r="AA447" s="127"/>
      <c r="AB447" s="127"/>
      <c r="AC447" s="127"/>
      <c r="AD447" s="129"/>
    </row>
    <row r="448" spans="1:30">
      <c r="A448" s="135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  <c r="AA448" s="127"/>
      <c r="AB448" s="127"/>
      <c r="AC448" s="127"/>
      <c r="AD448" s="129"/>
    </row>
    <row r="449" spans="1:30">
      <c r="A449" s="135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  <c r="AA449" s="127"/>
      <c r="AB449" s="127"/>
      <c r="AC449" s="127"/>
      <c r="AD449" s="129"/>
    </row>
    <row r="450" spans="1:30">
      <c r="A450" s="135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  <c r="AA450" s="127"/>
      <c r="AB450" s="127"/>
      <c r="AC450" s="127"/>
      <c r="AD450" s="129"/>
    </row>
    <row r="451" spans="1:30">
      <c r="A451" s="135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  <c r="AA451" s="127"/>
      <c r="AB451" s="127"/>
      <c r="AC451" s="127"/>
      <c r="AD451" s="129"/>
    </row>
    <row r="452" spans="1:30">
      <c r="A452" s="135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  <c r="AA452" s="127"/>
      <c r="AB452" s="127"/>
      <c r="AC452" s="127"/>
      <c r="AD452" s="129"/>
    </row>
    <row r="453" spans="1:30">
      <c r="A453" s="135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  <c r="AA453" s="127"/>
      <c r="AB453" s="127"/>
      <c r="AC453" s="127"/>
      <c r="AD453" s="129"/>
    </row>
    <row r="454" spans="1:30">
      <c r="A454" s="135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  <c r="AA454" s="127"/>
      <c r="AB454" s="127"/>
      <c r="AC454" s="127"/>
      <c r="AD454" s="129"/>
    </row>
    <row r="455" spans="1:30">
      <c r="A455" s="135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  <c r="AA455" s="127"/>
      <c r="AB455" s="127"/>
      <c r="AC455" s="127"/>
      <c r="AD455" s="129"/>
    </row>
    <row r="456" spans="1:30">
      <c r="A456" s="135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  <c r="AA456" s="127"/>
      <c r="AB456" s="127"/>
      <c r="AC456" s="127"/>
      <c r="AD456" s="129"/>
    </row>
    <row r="457" spans="1:30">
      <c r="A457" s="135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  <c r="AA457" s="127"/>
      <c r="AB457" s="127"/>
      <c r="AC457" s="127"/>
      <c r="AD457" s="129"/>
    </row>
    <row r="458" spans="1:30">
      <c r="A458" s="135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  <c r="AA458" s="127"/>
      <c r="AB458" s="127"/>
      <c r="AC458" s="127"/>
      <c r="AD458" s="129"/>
    </row>
    <row r="459" spans="1:30">
      <c r="A459" s="135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  <c r="AA459" s="127"/>
      <c r="AB459" s="127"/>
      <c r="AC459" s="127"/>
      <c r="AD459" s="129"/>
    </row>
    <row r="460" spans="1:30">
      <c r="A460" s="135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  <c r="AA460" s="127"/>
      <c r="AB460" s="127"/>
      <c r="AC460" s="127"/>
      <c r="AD460" s="129"/>
    </row>
    <row r="461" spans="1:30">
      <c r="A461" s="135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  <c r="AA461" s="127"/>
      <c r="AB461" s="127"/>
      <c r="AC461" s="127"/>
      <c r="AD461" s="129"/>
    </row>
    <row r="462" spans="1:30">
      <c r="A462" s="135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  <c r="AA462" s="127"/>
      <c r="AB462" s="127"/>
      <c r="AC462" s="127"/>
      <c r="AD462" s="129"/>
    </row>
    <row r="463" spans="1:30">
      <c r="A463" s="135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  <c r="AA463" s="127"/>
      <c r="AB463" s="127"/>
      <c r="AC463" s="127"/>
      <c r="AD463" s="129"/>
    </row>
    <row r="464" spans="1:30">
      <c r="A464" s="135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  <c r="AA464" s="127"/>
      <c r="AB464" s="127"/>
      <c r="AC464" s="127"/>
      <c r="AD464" s="129"/>
    </row>
    <row r="465" spans="1:30">
      <c r="A465" s="135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  <c r="AA465" s="127"/>
      <c r="AB465" s="127"/>
      <c r="AC465" s="127"/>
      <c r="AD465" s="129"/>
    </row>
    <row r="466" spans="1:30">
      <c r="A466" s="135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  <c r="AA466" s="127"/>
      <c r="AB466" s="127"/>
      <c r="AC466" s="127"/>
      <c r="AD466" s="129"/>
    </row>
    <row r="467" spans="1:30">
      <c r="A467" s="135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  <c r="AA467" s="127"/>
      <c r="AB467" s="127"/>
      <c r="AC467" s="127"/>
      <c r="AD467" s="129"/>
    </row>
    <row r="468" spans="1:30">
      <c r="A468" s="135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  <c r="AA468" s="127"/>
      <c r="AB468" s="127"/>
      <c r="AC468" s="127"/>
      <c r="AD468" s="129"/>
    </row>
    <row r="469" spans="1:30">
      <c r="A469" s="135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  <c r="AA469" s="127"/>
      <c r="AB469" s="127"/>
      <c r="AC469" s="127"/>
      <c r="AD469" s="129"/>
    </row>
    <row r="470" spans="1:30">
      <c r="A470" s="135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  <c r="AA470" s="127"/>
      <c r="AB470" s="127"/>
      <c r="AC470" s="127"/>
      <c r="AD470" s="129"/>
    </row>
    <row r="471" spans="1:30">
      <c r="A471" s="135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  <c r="AA471" s="127"/>
      <c r="AB471" s="127"/>
      <c r="AC471" s="127"/>
      <c r="AD471" s="129"/>
    </row>
    <row r="472" spans="1:30">
      <c r="A472" s="135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  <c r="AA472" s="127"/>
      <c r="AB472" s="127"/>
      <c r="AC472" s="127"/>
      <c r="AD472" s="129"/>
    </row>
    <row r="473" spans="1:30">
      <c r="A473" s="135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  <c r="AA473" s="127"/>
      <c r="AB473" s="127"/>
      <c r="AC473" s="127"/>
      <c r="AD473" s="129"/>
    </row>
    <row r="474" spans="1:30">
      <c r="A474" s="135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  <c r="AA474" s="127"/>
      <c r="AB474" s="127"/>
      <c r="AC474" s="127"/>
      <c r="AD474" s="129"/>
    </row>
    <row r="475" spans="1:30">
      <c r="A475" s="135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  <c r="AA475" s="127"/>
      <c r="AB475" s="127"/>
      <c r="AC475" s="127"/>
      <c r="AD475" s="129"/>
    </row>
    <row r="476" spans="1:30">
      <c r="A476" s="135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  <c r="AA476" s="127"/>
      <c r="AB476" s="127"/>
      <c r="AC476" s="127"/>
      <c r="AD476" s="129"/>
    </row>
    <row r="477" spans="1:30">
      <c r="A477" s="135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  <c r="AA477" s="127"/>
      <c r="AB477" s="127"/>
      <c r="AC477" s="127"/>
      <c r="AD477" s="129"/>
    </row>
    <row r="478" spans="1:30">
      <c r="A478" s="135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  <c r="AA478" s="127"/>
      <c r="AB478" s="127"/>
      <c r="AC478" s="127"/>
      <c r="AD478" s="129"/>
    </row>
    <row r="479" spans="1:30">
      <c r="A479" s="135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  <c r="AA479" s="127"/>
      <c r="AB479" s="127"/>
      <c r="AC479" s="127"/>
      <c r="AD479" s="129"/>
    </row>
    <row r="480" spans="1:30">
      <c r="A480" s="135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  <c r="AA480" s="127"/>
      <c r="AB480" s="127"/>
      <c r="AC480" s="127"/>
      <c r="AD480" s="129"/>
    </row>
    <row r="481" spans="1:30">
      <c r="A481" s="135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  <c r="AA481" s="127"/>
      <c r="AB481" s="127"/>
      <c r="AC481" s="127"/>
      <c r="AD481" s="129"/>
    </row>
    <row r="482" spans="1:30">
      <c r="A482" s="135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  <c r="AA482" s="127"/>
      <c r="AB482" s="127"/>
      <c r="AC482" s="127"/>
      <c r="AD482" s="129"/>
    </row>
    <row r="483" spans="1:30">
      <c r="A483" s="135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  <c r="AA483" s="127"/>
      <c r="AB483" s="127"/>
      <c r="AC483" s="127"/>
      <c r="AD483" s="129"/>
    </row>
    <row r="484" spans="1:30">
      <c r="A484" s="135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  <c r="AA484" s="127"/>
      <c r="AB484" s="127"/>
      <c r="AC484" s="127"/>
      <c r="AD484" s="129"/>
    </row>
    <row r="485" spans="1:30">
      <c r="A485" s="135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  <c r="AA485" s="127"/>
      <c r="AB485" s="127"/>
      <c r="AC485" s="127"/>
      <c r="AD485" s="129"/>
    </row>
    <row r="486" spans="1:30">
      <c r="A486" s="135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  <c r="AA486" s="127"/>
      <c r="AB486" s="127"/>
      <c r="AC486" s="127"/>
      <c r="AD486" s="129"/>
    </row>
    <row r="487" spans="1:30">
      <c r="A487" s="135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  <c r="AA487" s="127"/>
      <c r="AB487" s="127"/>
      <c r="AC487" s="127"/>
      <c r="AD487" s="129"/>
    </row>
    <row r="488" spans="1:30">
      <c r="A488" s="135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  <c r="AA488" s="127"/>
      <c r="AB488" s="127"/>
      <c r="AC488" s="127"/>
      <c r="AD488" s="129"/>
    </row>
    <row r="489" spans="1:30">
      <c r="A489" s="135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  <c r="AA489" s="127"/>
      <c r="AB489" s="127"/>
      <c r="AC489" s="127"/>
      <c r="AD489" s="129"/>
    </row>
    <row r="490" spans="1:30">
      <c r="A490" s="135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  <c r="AA490" s="127"/>
      <c r="AB490" s="127"/>
      <c r="AC490" s="127"/>
      <c r="AD490" s="129"/>
    </row>
    <row r="491" spans="1:30">
      <c r="A491" s="135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  <c r="AA491" s="127"/>
      <c r="AB491" s="127"/>
      <c r="AC491" s="127"/>
      <c r="AD491" s="129"/>
    </row>
    <row r="492" spans="1:30">
      <c r="A492" s="135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  <c r="AA492" s="127"/>
      <c r="AB492" s="127"/>
      <c r="AC492" s="127"/>
      <c r="AD492" s="129"/>
    </row>
    <row r="493" spans="1:30">
      <c r="A493" s="135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  <c r="AA493" s="127"/>
      <c r="AB493" s="127"/>
      <c r="AC493" s="127"/>
      <c r="AD493" s="129"/>
    </row>
    <row r="494" spans="1:30">
      <c r="A494" s="135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  <c r="AA494" s="127"/>
      <c r="AB494" s="127"/>
      <c r="AC494" s="127"/>
      <c r="AD494" s="129"/>
    </row>
    <row r="495" spans="1:30">
      <c r="A495" s="135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  <c r="AA495" s="127"/>
      <c r="AB495" s="127"/>
      <c r="AC495" s="127"/>
      <c r="AD495" s="129"/>
    </row>
    <row r="496" spans="1:30">
      <c r="A496" s="135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  <c r="AA496" s="127"/>
      <c r="AB496" s="127"/>
      <c r="AC496" s="127"/>
      <c r="AD496" s="129"/>
    </row>
    <row r="497" spans="1:30">
      <c r="A497" s="135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  <c r="AA497" s="127"/>
      <c r="AB497" s="127"/>
      <c r="AC497" s="127"/>
      <c r="AD497" s="129"/>
    </row>
    <row r="498" spans="1:30">
      <c r="A498" s="135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  <c r="AA498" s="127"/>
      <c r="AB498" s="127"/>
      <c r="AC498" s="127"/>
      <c r="AD498" s="129"/>
    </row>
    <row r="499" spans="1:30">
      <c r="A499" s="135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  <c r="AA499" s="127"/>
      <c r="AB499" s="127"/>
      <c r="AC499" s="127"/>
      <c r="AD499" s="129"/>
    </row>
    <row r="500" spans="1:30">
      <c r="A500" s="135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  <c r="AA500" s="127"/>
      <c r="AB500" s="127"/>
      <c r="AC500" s="127"/>
      <c r="AD500" s="129"/>
    </row>
    <row r="501" spans="1:30">
      <c r="A501" s="135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  <c r="AA501" s="127"/>
      <c r="AB501" s="127"/>
      <c r="AC501" s="127"/>
      <c r="AD501" s="129"/>
    </row>
    <row r="502" spans="1:30">
      <c r="A502" s="135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  <c r="AA502" s="127"/>
      <c r="AB502" s="127"/>
      <c r="AC502" s="127"/>
      <c r="AD502" s="129"/>
    </row>
    <row r="503" spans="1:30">
      <c r="A503" s="135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  <c r="AA503" s="127"/>
      <c r="AB503" s="127"/>
      <c r="AC503" s="127"/>
      <c r="AD503" s="129"/>
    </row>
    <row r="504" spans="1:30">
      <c r="A504" s="135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  <c r="AA504" s="127"/>
      <c r="AB504" s="127"/>
      <c r="AC504" s="127"/>
      <c r="AD504" s="129"/>
    </row>
    <row r="505" spans="1:30">
      <c r="A505" s="135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  <c r="AA505" s="127"/>
      <c r="AB505" s="127"/>
      <c r="AC505" s="127"/>
      <c r="AD505" s="129"/>
    </row>
    <row r="506" spans="1:30">
      <c r="A506" s="135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  <c r="AA506" s="127"/>
      <c r="AB506" s="127"/>
      <c r="AC506" s="127"/>
      <c r="AD506" s="129"/>
    </row>
    <row r="507" spans="1:30">
      <c r="A507" s="135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  <c r="AA507" s="127"/>
      <c r="AB507" s="127"/>
      <c r="AC507" s="127"/>
      <c r="AD507" s="129"/>
    </row>
    <row r="508" spans="1:30">
      <c r="A508" s="135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  <c r="AA508" s="127"/>
      <c r="AB508" s="127"/>
      <c r="AC508" s="127"/>
      <c r="AD508" s="129"/>
    </row>
    <row r="509" spans="1:30">
      <c r="A509" s="135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  <c r="AA509" s="127"/>
      <c r="AB509" s="127"/>
      <c r="AC509" s="127"/>
      <c r="AD509" s="129"/>
    </row>
    <row r="510" spans="1:30">
      <c r="A510" s="135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  <c r="AA510" s="127"/>
      <c r="AB510" s="127"/>
      <c r="AC510" s="127"/>
      <c r="AD510" s="129"/>
    </row>
    <row r="511" spans="1:30">
      <c r="A511" s="135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  <c r="AA511" s="127"/>
      <c r="AB511" s="127"/>
      <c r="AC511" s="127"/>
      <c r="AD511" s="129"/>
    </row>
    <row r="512" spans="1:30">
      <c r="A512" s="135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  <c r="AA512" s="127"/>
      <c r="AB512" s="127"/>
      <c r="AC512" s="127"/>
      <c r="AD512" s="129"/>
    </row>
    <row r="513" spans="1:30">
      <c r="A513" s="135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  <c r="AA513" s="127"/>
      <c r="AB513" s="127"/>
      <c r="AC513" s="127"/>
      <c r="AD513" s="129"/>
    </row>
    <row r="514" spans="1:30">
      <c r="A514" s="135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  <c r="AA514" s="127"/>
      <c r="AB514" s="127"/>
      <c r="AC514" s="127"/>
      <c r="AD514" s="129"/>
    </row>
    <row r="515" spans="1:30">
      <c r="A515" s="135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  <c r="AA515" s="127"/>
      <c r="AB515" s="127"/>
      <c r="AC515" s="127"/>
      <c r="AD515" s="129"/>
    </row>
    <row r="516" spans="1:30">
      <c r="A516" s="135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  <c r="AA516" s="127"/>
      <c r="AB516" s="127"/>
      <c r="AC516" s="127"/>
      <c r="AD516" s="129"/>
    </row>
    <row r="517" spans="1:30">
      <c r="A517" s="135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  <c r="AA517" s="127"/>
      <c r="AB517" s="127"/>
      <c r="AC517" s="127"/>
      <c r="AD517" s="129"/>
    </row>
    <row r="518" spans="1:30">
      <c r="A518" s="135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  <c r="AA518" s="127"/>
      <c r="AB518" s="127"/>
      <c r="AC518" s="127"/>
      <c r="AD518" s="129"/>
    </row>
    <row r="519" spans="1:30">
      <c r="A519" s="135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  <c r="AA519" s="127"/>
      <c r="AB519" s="127"/>
      <c r="AC519" s="127"/>
      <c r="AD519" s="129"/>
    </row>
    <row r="520" spans="1:30">
      <c r="A520" s="135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  <c r="AA520" s="127"/>
      <c r="AB520" s="127"/>
      <c r="AC520" s="127"/>
      <c r="AD520" s="129"/>
    </row>
    <row r="521" spans="1:30">
      <c r="A521" s="135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  <c r="AA521" s="127"/>
      <c r="AB521" s="127"/>
      <c r="AC521" s="127"/>
      <c r="AD521" s="129"/>
    </row>
    <row r="522" spans="1:30">
      <c r="A522" s="135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  <c r="AA522" s="127"/>
      <c r="AB522" s="127"/>
      <c r="AC522" s="127"/>
      <c r="AD522" s="129"/>
    </row>
    <row r="523" spans="1:30">
      <c r="A523" s="135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  <c r="AA523" s="127"/>
      <c r="AB523" s="127"/>
      <c r="AC523" s="127"/>
      <c r="AD523" s="129"/>
    </row>
    <row r="524" spans="1:30">
      <c r="A524" s="135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  <c r="AA524" s="127"/>
      <c r="AB524" s="127"/>
      <c r="AC524" s="127"/>
      <c r="AD524" s="129"/>
    </row>
    <row r="525" spans="1:30">
      <c r="A525" s="135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  <c r="AA525" s="127"/>
      <c r="AB525" s="127"/>
      <c r="AC525" s="127"/>
      <c r="AD525" s="129"/>
    </row>
    <row r="526" spans="1:30">
      <c r="A526" s="135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  <c r="AA526" s="127"/>
      <c r="AB526" s="127"/>
      <c r="AC526" s="127"/>
      <c r="AD526" s="129"/>
    </row>
    <row r="527" spans="1:30">
      <c r="A527" s="135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  <c r="AA527" s="127"/>
      <c r="AB527" s="127"/>
      <c r="AC527" s="127"/>
      <c r="AD527" s="129"/>
    </row>
    <row r="528" spans="1:30">
      <c r="A528" s="135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  <c r="AA528" s="127"/>
      <c r="AB528" s="127"/>
      <c r="AC528" s="127"/>
      <c r="AD528" s="129"/>
    </row>
    <row r="529" spans="1:30">
      <c r="A529" s="135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  <c r="AA529" s="127"/>
      <c r="AB529" s="127"/>
      <c r="AC529" s="127"/>
      <c r="AD529" s="129"/>
    </row>
    <row r="530" spans="1:30">
      <c r="A530" s="135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  <c r="AA530" s="127"/>
      <c r="AB530" s="127"/>
      <c r="AC530" s="127"/>
      <c r="AD530" s="129"/>
    </row>
    <row r="531" spans="1:30">
      <c r="A531" s="135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  <c r="AA531" s="127"/>
      <c r="AB531" s="127"/>
      <c r="AC531" s="127"/>
      <c r="AD531" s="129"/>
    </row>
    <row r="532" spans="1:30">
      <c r="A532" s="135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  <c r="AA532" s="127"/>
      <c r="AB532" s="127"/>
      <c r="AC532" s="127"/>
      <c r="AD532" s="129"/>
    </row>
    <row r="533" spans="1:30">
      <c r="A533" s="135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  <c r="AA533" s="127"/>
      <c r="AB533" s="127"/>
      <c r="AC533" s="127"/>
      <c r="AD533" s="129"/>
    </row>
    <row r="534" spans="1:30">
      <c r="A534" s="135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  <c r="AA534" s="127"/>
      <c r="AB534" s="127"/>
      <c r="AC534" s="127"/>
      <c r="AD534" s="129"/>
    </row>
    <row r="535" spans="1:30">
      <c r="A535" s="135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  <c r="AA535" s="127"/>
      <c r="AB535" s="127"/>
      <c r="AC535" s="127"/>
      <c r="AD535" s="129"/>
    </row>
    <row r="536" spans="1:30">
      <c r="A536" s="135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  <c r="AA536" s="127"/>
      <c r="AB536" s="127"/>
      <c r="AC536" s="127"/>
      <c r="AD536" s="129"/>
    </row>
    <row r="537" spans="1:30">
      <c r="A537" s="135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  <c r="AA537" s="127"/>
      <c r="AB537" s="127"/>
      <c r="AC537" s="127"/>
      <c r="AD537" s="129"/>
    </row>
    <row r="538" spans="1:30">
      <c r="A538" s="135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  <c r="AA538" s="127"/>
      <c r="AB538" s="127"/>
      <c r="AC538" s="127"/>
      <c r="AD538" s="129"/>
    </row>
    <row r="539" spans="1:30">
      <c r="A539" s="135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  <c r="AA539" s="127"/>
      <c r="AB539" s="127"/>
      <c r="AC539" s="127"/>
      <c r="AD539" s="129"/>
    </row>
    <row r="540" spans="1:30">
      <c r="A540" s="135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  <c r="AA540" s="127"/>
      <c r="AB540" s="127"/>
      <c r="AC540" s="127"/>
      <c r="AD540" s="129"/>
    </row>
    <row r="541" spans="1:30">
      <c r="A541" s="135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  <c r="AA541" s="127"/>
      <c r="AB541" s="127"/>
      <c r="AC541" s="127"/>
      <c r="AD541" s="129"/>
    </row>
    <row r="542" spans="1:30">
      <c r="A542" s="135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  <c r="AA542" s="127"/>
      <c r="AB542" s="127"/>
      <c r="AC542" s="127"/>
      <c r="AD542" s="129"/>
    </row>
    <row r="543" spans="1:30">
      <c r="A543" s="135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  <c r="AA543" s="127"/>
      <c r="AB543" s="127"/>
      <c r="AC543" s="127"/>
      <c r="AD543" s="129"/>
    </row>
    <row r="544" spans="1:30">
      <c r="A544" s="135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  <c r="AA544" s="127"/>
      <c r="AB544" s="127"/>
      <c r="AC544" s="127"/>
      <c r="AD544" s="129"/>
    </row>
    <row r="545" spans="1:30">
      <c r="A545" s="135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  <c r="AA545" s="127"/>
      <c r="AB545" s="127"/>
      <c r="AC545" s="127"/>
      <c r="AD545" s="129"/>
    </row>
    <row r="546" spans="1:30">
      <c r="A546" s="135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  <c r="AA546" s="127"/>
      <c r="AB546" s="127"/>
      <c r="AC546" s="127"/>
      <c r="AD546" s="129"/>
    </row>
    <row r="547" spans="1:30">
      <c r="A547" s="135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  <c r="AA547" s="127"/>
      <c r="AB547" s="127"/>
      <c r="AC547" s="127"/>
      <c r="AD547" s="129"/>
    </row>
    <row r="548" spans="1:30">
      <c r="A548" s="135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  <c r="AA548" s="127"/>
      <c r="AB548" s="127"/>
      <c r="AC548" s="127"/>
      <c r="AD548" s="129"/>
    </row>
    <row r="549" spans="1:30">
      <c r="A549" s="135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  <c r="AA549" s="127"/>
      <c r="AB549" s="127"/>
      <c r="AC549" s="127"/>
      <c r="AD549" s="129"/>
    </row>
    <row r="550" spans="1:30">
      <c r="A550" s="135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  <c r="AA550" s="127"/>
      <c r="AB550" s="127"/>
      <c r="AC550" s="127"/>
      <c r="AD550" s="129"/>
    </row>
    <row r="551" spans="1:30">
      <c r="A551" s="135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  <c r="AA551" s="127"/>
      <c r="AB551" s="127"/>
      <c r="AC551" s="127"/>
      <c r="AD551" s="129"/>
    </row>
    <row r="552" spans="1:30">
      <c r="A552" s="135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  <c r="AA552" s="127"/>
      <c r="AB552" s="127"/>
      <c r="AC552" s="127"/>
      <c r="AD552" s="129"/>
    </row>
    <row r="553" spans="1:30">
      <c r="A553" s="135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  <c r="AA553" s="127"/>
      <c r="AB553" s="127"/>
      <c r="AC553" s="127"/>
      <c r="AD553" s="129"/>
    </row>
    <row r="554" spans="1:30">
      <c r="A554" s="135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  <c r="AA554" s="127"/>
      <c r="AB554" s="127"/>
      <c r="AC554" s="127"/>
      <c r="AD554" s="129"/>
    </row>
    <row r="555" spans="1:30">
      <c r="A555" s="135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  <c r="AA555" s="127"/>
      <c r="AB555" s="127"/>
      <c r="AC555" s="127"/>
      <c r="AD555" s="129"/>
    </row>
    <row r="556" spans="1:30">
      <c r="A556" s="135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  <c r="AA556" s="127"/>
      <c r="AB556" s="127"/>
      <c r="AC556" s="127"/>
      <c r="AD556" s="129"/>
    </row>
    <row r="557" spans="1:30">
      <c r="A557" s="135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  <c r="AA557" s="127"/>
      <c r="AB557" s="127"/>
      <c r="AC557" s="127"/>
      <c r="AD557" s="129"/>
    </row>
    <row r="558" spans="1:30">
      <c r="A558" s="135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  <c r="AA558" s="127"/>
      <c r="AB558" s="127"/>
      <c r="AC558" s="127"/>
      <c r="AD558" s="129"/>
    </row>
    <row r="559" spans="1:30">
      <c r="A559" s="135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  <c r="AA559" s="127"/>
      <c r="AB559" s="127"/>
      <c r="AC559" s="127"/>
      <c r="AD559" s="129"/>
    </row>
    <row r="560" spans="1:30">
      <c r="A560" s="135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  <c r="AA560" s="127"/>
      <c r="AB560" s="127"/>
      <c r="AC560" s="127"/>
      <c r="AD560" s="129"/>
    </row>
    <row r="561" spans="1:30">
      <c r="A561" s="135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  <c r="AA561" s="127"/>
      <c r="AB561" s="127"/>
      <c r="AC561" s="127"/>
      <c r="AD561" s="129"/>
    </row>
    <row r="562" spans="1:30">
      <c r="A562" s="135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  <c r="AA562" s="127"/>
      <c r="AB562" s="127"/>
      <c r="AC562" s="127"/>
      <c r="AD562" s="129"/>
    </row>
    <row r="563" spans="1:30">
      <c r="A563" s="135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  <c r="AA563" s="127"/>
      <c r="AB563" s="127"/>
      <c r="AC563" s="127"/>
      <c r="AD563" s="129"/>
    </row>
    <row r="564" spans="1:30">
      <c r="A564" s="135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  <c r="AA564" s="127"/>
      <c r="AB564" s="127"/>
      <c r="AC564" s="127"/>
      <c r="AD564" s="129"/>
    </row>
    <row r="565" spans="1:30">
      <c r="A565" s="135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  <c r="AA565" s="127"/>
      <c r="AB565" s="127"/>
      <c r="AC565" s="127"/>
      <c r="AD565" s="129"/>
    </row>
    <row r="566" spans="1:30">
      <c r="A566" s="135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  <c r="AA566" s="127"/>
      <c r="AB566" s="127"/>
      <c r="AC566" s="127"/>
      <c r="AD566" s="129"/>
    </row>
    <row r="567" spans="1:30">
      <c r="A567" s="135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  <c r="AA567" s="127"/>
      <c r="AB567" s="127"/>
      <c r="AC567" s="127"/>
      <c r="AD567" s="129"/>
    </row>
    <row r="568" spans="1:30">
      <c r="A568" s="135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  <c r="AA568" s="127"/>
      <c r="AB568" s="127"/>
      <c r="AC568" s="127"/>
      <c r="AD568" s="129"/>
    </row>
    <row r="569" spans="1:30">
      <c r="A569" s="135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  <c r="AA569" s="127"/>
      <c r="AB569" s="127"/>
      <c r="AC569" s="127"/>
      <c r="AD569" s="129"/>
    </row>
    <row r="570" spans="1:30">
      <c r="A570" s="135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  <c r="AA570" s="127"/>
      <c r="AB570" s="127"/>
      <c r="AC570" s="127"/>
      <c r="AD570" s="129"/>
    </row>
    <row r="571" spans="1:30">
      <c r="A571" s="135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  <c r="AA571" s="127"/>
      <c r="AB571" s="127"/>
      <c r="AC571" s="127"/>
      <c r="AD571" s="129"/>
    </row>
    <row r="572" spans="1:30">
      <c r="A572" s="135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  <c r="AA572" s="127"/>
      <c r="AB572" s="127"/>
      <c r="AC572" s="127"/>
      <c r="AD572" s="129"/>
    </row>
    <row r="573" spans="1:30">
      <c r="A573" s="135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  <c r="AA573" s="127"/>
      <c r="AB573" s="127"/>
      <c r="AC573" s="127"/>
      <c r="AD573" s="129"/>
    </row>
    <row r="574" spans="1:30">
      <c r="A574" s="135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  <c r="AA574" s="127"/>
      <c r="AB574" s="127"/>
      <c r="AC574" s="127"/>
      <c r="AD574" s="129"/>
    </row>
    <row r="575" spans="1:30">
      <c r="A575" s="135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  <c r="AA575" s="127"/>
      <c r="AB575" s="127"/>
      <c r="AC575" s="127"/>
      <c r="AD575" s="129"/>
    </row>
    <row r="576" spans="1:30">
      <c r="A576" s="135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  <c r="AA576" s="127"/>
      <c r="AB576" s="127"/>
      <c r="AC576" s="127"/>
      <c r="AD576" s="129"/>
    </row>
    <row r="577" spans="1:30">
      <c r="A577" s="135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  <c r="AA577" s="127"/>
      <c r="AB577" s="127"/>
      <c r="AC577" s="127"/>
      <c r="AD577" s="129"/>
    </row>
    <row r="578" spans="1:30">
      <c r="A578" s="135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  <c r="AA578" s="127"/>
      <c r="AB578" s="127"/>
      <c r="AC578" s="127"/>
      <c r="AD578" s="129"/>
    </row>
    <row r="579" spans="1:30">
      <c r="A579" s="135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  <c r="AA579" s="127"/>
      <c r="AB579" s="127"/>
      <c r="AC579" s="127"/>
      <c r="AD579" s="129"/>
    </row>
    <row r="580" spans="1:30">
      <c r="A580" s="135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  <c r="AA580" s="127"/>
      <c r="AB580" s="127"/>
      <c r="AC580" s="127"/>
      <c r="AD580" s="129"/>
    </row>
    <row r="581" spans="1:30">
      <c r="A581" s="135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  <c r="AA581" s="127"/>
      <c r="AB581" s="127"/>
      <c r="AC581" s="127"/>
      <c r="AD581" s="129"/>
    </row>
    <row r="582" spans="1:30">
      <c r="A582" s="135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  <c r="AA582" s="127"/>
      <c r="AB582" s="127"/>
      <c r="AC582" s="127"/>
      <c r="AD582" s="129"/>
    </row>
    <row r="583" spans="1:30">
      <c r="A583" s="135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  <c r="AA583" s="127"/>
      <c r="AB583" s="127"/>
      <c r="AC583" s="127"/>
      <c r="AD583" s="129"/>
    </row>
    <row r="584" spans="1:30">
      <c r="A584" s="135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  <c r="AA584" s="127"/>
      <c r="AB584" s="127"/>
      <c r="AC584" s="127"/>
      <c r="AD584" s="129"/>
    </row>
    <row r="585" spans="1:30">
      <c r="A585" s="135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  <c r="AA585" s="127"/>
      <c r="AB585" s="127"/>
      <c r="AC585" s="127"/>
      <c r="AD585" s="129"/>
    </row>
    <row r="586" spans="1:30">
      <c r="A586" s="135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  <c r="AA586" s="127"/>
      <c r="AB586" s="127"/>
      <c r="AC586" s="127"/>
      <c r="AD586" s="129"/>
    </row>
    <row r="587" spans="1:30">
      <c r="A587" s="135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  <c r="AA587" s="127"/>
      <c r="AB587" s="127"/>
      <c r="AC587" s="127"/>
      <c r="AD587" s="129"/>
    </row>
    <row r="588" spans="1:30">
      <c r="A588" s="135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  <c r="AA588" s="127"/>
      <c r="AB588" s="127"/>
      <c r="AC588" s="127"/>
      <c r="AD588" s="129"/>
    </row>
    <row r="589" spans="1:30">
      <c r="A589" s="135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  <c r="AA589" s="127"/>
      <c r="AB589" s="127"/>
      <c r="AC589" s="127"/>
      <c r="AD589" s="129"/>
    </row>
    <row r="590" spans="1:30">
      <c r="A590" s="135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  <c r="AA590" s="127"/>
      <c r="AB590" s="127"/>
      <c r="AC590" s="127"/>
      <c r="AD590" s="129"/>
    </row>
    <row r="591" spans="1:30">
      <c r="A591" s="135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  <c r="AA591" s="127"/>
      <c r="AB591" s="127"/>
      <c r="AC591" s="127"/>
      <c r="AD591" s="129"/>
    </row>
    <row r="592" spans="1:30">
      <c r="A592" s="135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  <c r="AA592" s="127"/>
      <c r="AB592" s="127"/>
      <c r="AC592" s="127"/>
      <c r="AD592" s="129"/>
    </row>
    <row r="593" spans="1:30">
      <c r="A593" s="135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  <c r="AA593" s="127"/>
      <c r="AB593" s="127"/>
      <c r="AC593" s="127"/>
      <c r="AD593" s="129"/>
    </row>
    <row r="594" spans="1:30">
      <c r="A594" s="135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  <c r="AA594" s="127"/>
      <c r="AB594" s="127"/>
      <c r="AC594" s="127"/>
      <c r="AD594" s="129"/>
    </row>
    <row r="595" spans="1:30">
      <c r="A595" s="135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  <c r="AA595" s="127"/>
      <c r="AB595" s="127"/>
      <c r="AC595" s="127"/>
      <c r="AD595" s="129"/>
    </row>
    <row r="596" spans="1:30">
      <c r="A596" s="135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  <c r="AA596" s="127"/>
      <c r="AB596" s="127"/>
      <c r="AC596" s="127"/>
      <c r="AD596" s="129"/>
    </row>
    <row r="597" spans="1:30">
      <c r="A597" s="135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  <c r="AA597" s="127"/>
      <c r="AB597" s="127"/>
      <c r="AC597" s="127"/>
      <c r="AD597" s="129"/>
    </row>
    <row r="598" spans="1:30">
      <c r="A598" s="135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  <c r="AA598" s="127"/>
      <c r="AB598" s="127"/>
      <c r="AC598" s="127"/>
      <c r="AD598" s="129"/>
    </row>
    <row r="599" spans="1:30">
      <c r="A599" s="135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  <c r="AA599" s="127"/>
      <c r="AB599" s="127"/>
      <c r="AC599" s="127"/>
      <c r="AD599" s="129"/>
    </row>
    <row r="600" spans="1:30">
      <c r="A600" s="135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  <c r="AA600" s="127"/>
      <c r="AB600" s="127"/>
      <c r="AC600" s="127"/>
      <c r="AD600" s="129"/>
    </row>
    <row r="601" spans="1:30">
      <c r="A601" s="135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  <c r="AA601" s="127"/>
      <c r="AB601" s="127"/>
      <c r="AC601" s="127"/>
      <c r="AD601" s="129"/>
    </row>
    <row r="602" spans="1:30">
      <c r="A602" s="135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  <c r="AA602" s="127"/>
      <c r="AB602" s="127"/>
      <c r="AC602" s="127"/>
      <c r="AD602" s="129"/>
    </row>
    <row r="603" spans="1:30">
      <c r="A603" s="135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  <c r="AA603" s="127"/>
      <c r="AB603" s="127"/>
      <c r="AC603" s="127"/>
      <c r="AD603" s="129"/>
    </row>
    <row r="604" spans="1:30">
      <c r="A604" s="135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  <c r="AA604" s="127"/>
      <c r="AB604" s="127"/>
      <c r="AC604" s="127"/>
      <c r="AD604" s="129"/>
    </row>
    <row r="605" spans="1:30">
      <c r="A605" s="135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  <c r="AA605" s="127"/>
      <c r="AB605" s="127"/>
      <c r="AC605" s="127"/>
      <c r="AD605" s="129"/>
    </row>
    <row r="606" spans="1:30">
      <c r="A606" s="135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  <c r="AA606" s="127"/>
      <c r="AB606" s="127"/>
      <c r="AC606" s="127"/>
      <c r="AD606" s="129"/>
    </row>
    <row r="607" spans="1:30">
      <c r="A607" s="135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  <c r="AA607" s="127"/>
      <c r="AB607" s="127"/>
      <c r="AC607" s="127"/>
      <c r="AD607" s="129"/>
    </row>
    <row r="608" spans="1:30">
      <c r="A608" s="135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  <c r="AA608" s="127"/>
      <c r="AB608" s="127"/>
      <c r="AC608" s="127"/>
      <c r="AD608" s="129"/>
    </row>
    <row r="609" spans="1:30">
      <c r="A609" s="135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  <c r="AA609" s="127"/>
      <c r="AB609" s="127"/>
      <c r="AC609" s="127"/>
      <c r="AD609" s="129"/>
    </row>
    <row r="610" spans="1:30">
      <c r="A610" s="135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  <c r="AA610" s="127"/>
      <c r="AB610" s="127"/>
      <c r="AC610" s="127"/>
      <c r="AD610" s="129"/>
    </row>
    <row r="611" spans="1:30">
      <c r="A611" s="135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  <c r="AA611" s="127"/>
      <c r="AB611" s="127"/>
      <c r="AC611" s="127"/>
      <c r="AD611" s="129"/>
    </row>
    <row r="612" spans="1:30">
      <c r="A612" s="135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  <c r="AA612" s="127"/>
      <c r="AB612" s="127"/>
      <c r="AC612" s="127"/>
      <c r="AD612" s="129"/>
    </row>
    <row r="613" spans="1:30">
      <c r="A613" s="135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  <c r="AA613" s="127"/>
      <c r="AB613" s="127"/>
      <c r="AC613" s="127"/>
      <c r="AD613" s="129"/>
    </row>
    <row r="614" spans="1:30">
      <c r="A614" s="135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  <c r="AA614" s="127"/>
      <c r="AB614" s="127"/>
      <c r="AC614" s="127"/>
      <c r="AD614" s="129"/>
    </row>
    <row r="615" spans="1:30">
      <c r="A615" s="135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  <c r="AA615" s="127"/>
      <c r="AB615" s="127"/>
      <c r="AC615" s="127"/>
      <c r="AD615" s="129"/>
    </row>
    <row r="616" spans="1:30">
      <c r="A616" s="135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  <c r="AA616" s="127"/>
      <c r="AB616" s="127"/>
      <c r="AC616" s="127"/>
      <c r="AD616" s="129"/>
    </row>
    <row r="617" spans="1:30">
      <c r="A617" s="135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  <c r="AA617" s="127"/>
      <c r="AB617" s="127"/>
      <c r="AC617" s="127"/>
      <c r="AD617" s="129"/>
    </row>
    <row r="618" spans="1:30">
      <c r="A618" s="135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  <c r="AA618" s="127"/>
      <c r="AB618" s="127"/>
      <c r="AC618" s="127"/>
      <c r="AD618" s="129"/>
    </row>
    <row r="619" spans="1:30">
      <c r="A619" s="135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  <c r="AA619" s="127"/>
      <c r="AB619" s="127"/>
      <c r="AC619" s="127"/>
      <c r="AD619" s="129"/>
    </row>
    <row r="620" spans="1:30">
      <c r="A620" s="135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  <c r="AA620" s="127"/>
      <c r="AB620" s="127"/>
      <c r="AC620" s="127"/>
      <c r="AD620" s="129"/>
    </row>
    <row r="621" spans="1:30">
      <c r="A621" s="135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  <c r="AA621" s="127"/>
      <c r="AB621" s="127"/>
      <c r="AC621" s="127"/>
      <c r="AD621" s="129"/>
    </row>
    <row r="622" spans="1:30">
      <c r="A622" s="135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  <c r="AA622" s="127"/>
      <c r="AB622" s="127"/>
      <c r="AC622" s="127"/>
      <c r="AD622" s="129"/>
    </row>
    <row r="623" spans="1:30">
      <c r="A623" s="135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  <c r="AA623" s="127"/>
      <c r="AB623" s="127"/>
      <c r="AC623" s="127"/>
      <c r="AD623" s="129"/>
    </row>
    <row r="624" spans="1:30">
      <c r="A624" s="135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  <c r="AA624" s="127"/>
      <c r="AB624" s="127"/>
      <c r="AC624" s="127"/>
      <c r="AD624" s="129"/>
    </row>
    <row r="625" spans="1:30">
      <c r="A625" s="135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  <c r="AA625" s="127"/>
      <c r="AB625" s="127"/>
      <c r="AC625" s="127"/>
      <c r="AD625" s="129"/>
    </row>
    <row r="626" spans="1:30">
      <c r="A626" s="135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  <c r="AA626" s="127"/>
      <c r="AB626" s="127"/>
      <c r="AC626" s="127"/>
      <c r="AD626" s="129"/>
    </row>
    <row r="627" spans="1:30">
      <c r="A627" s="135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  <c r="AA627" s="127"/>
      <c r="AB627" s="127"/>
      <c r="AC627" s="127"/>
      <c r="AD627" s="129"/>
    </row>
    <row r="628" spans="1:30">
      <c r="A628" s="135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  <c r="AA628" s="127"/>
      <c r="AB628" s="127"/>
      <c r="AC628" s="127"/>
      <c r="AD628" s="129"/>
    </row>
    <row r="629" spans="1:30">
      <c r="A629" s="135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  <c r="AA629" s="127"/>
      <c r="AB629" s="127"/>
      <c r="AC629" s="127"/>
      <c r="AD629" s="129"/>
    </row>
    <row r="630" spans="1:30">
      <c r="A630" s="135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  <c r="AA630" s="127"/>
      <c r="AB630" s="127"/>
      <c r="AC630" s="127"/>
      <c r="AD630" s="129"/>
    </row>
    <row r="631" spans="1:30">
      <c r="A631" s="135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  <c r="AA631" s="127"/>
      <c r="AB631" s="127"/>
      <c r="AC631" s="127"/>
      <c r="AD631" s="129"/>
    </row>
    <row r="632" spans="1:30">
      <c r="A632" s="135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  <c r="AA632" s="127"/>
      <c r="AB632" s="127"/>
      <c r="AC632" s="127"/>
      <c r="AD632" s="129"/>
    </row>
    <row r="633" spans="1:30">
      <c r="A633" s="135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  <c r="AA633" s="127"/>
      <c r="AB633" s="127"/>
      <c r="AC633" s="127"/>
      <c r="AD633" s="129"/>
    </row>
    <row r="634" spans="1:30">
      <c r="A634" s="135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  <c r="AA634" s="127"/>
      <c r="AB634" s="127"/>
      <c r="AC634" s="127"/>
      <c r="AD634" s="129"/>
    </row>
    <row r="635" spans="1:30">
      <c r="A635" s="135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  <c r="AA635" s="127"/>
      <c r="AB635" s="127"/>
      <c r="AC635" s="127"/>
      <c r="AD635" s="129"/>
    </row>
    <row r="636" spans="1:30">
      <c r="A636" s="135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  <c r="AA636" s="127"/>
      <c r="AB636" s="127"/>
      <c r="AC636" s="127"/>
      <c r="AD636" s="129"/>
    </row>
    <row r="637" spans="1:30">
      <c r="A637" s="135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  <c r="AA637" s="127"/>
      <c r="AB637" s="127"/>
      <c r="AC637" s="127"/>
      <c r="AD637" s="129"/>
    </row>
    <row r="638" spans="1:30">
      <c r="A638" s="135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  <c r="AA638" s="127"/>
      <c r="AB638" s="127"/>
      <c r="AC638" s="127"/>
      <c r="AD638" s="129"/>
    </row>
    <row r="639" spans="1:30">
      <c r="A639" s="135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  <c r="AA639" s="127"/>
      <c r="AB639" s="127"/>
      <c r="AC639" s="127"/>
      <c r="AD639" s="129"/>
    </row>
    <row r="640" spans="1:30">
      <c r="A640" s="135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  <c r="AA640" s="127"/>
      <c r="AB640" s="127"/>
      <c r="AC640" s="127"/>
      <c r="AD640" s="129"/>
    </row>
    <row r="641" spans="1:30">
      <c r="A641" s="135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  <c r="AA641" s="127"/>
      <c r="AB641" s="127"/>
      <c r="AC641" s="127"/>
      <c r="AD641" s="129"/>
    </row>
    <row r="642" spans="1:30">
      <c r="A642" s="135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  <c r="AA642" s="127"/>
      <c r="AB642" s="127"/>
      <c r="AC642" s="127"/>
      <c r="AD642" s="129"/>
    </row>
    <row r="643" spans="1:30">
      <c r="A643" s="135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  <c r="AA643" s="127"/>
      <c r="AB643" s="127"/>
      <c r="AC643" s="127"/>
      <c r="AD643" s="129"/>
    </row>
    <row r="644" spans="1:30">
      <c r="A644" s="135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  <c r="AA644" s="127"/>
      <c r="AB644" s="127"/>
      <c r="AC644" s="127"/>
      <c r="AD644" s="129"/>
    </row>
    <row r="645" spans="1:30">
      <c r="A645" s="135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  <c r="AA645" s="127"/>
      <c r="AB645" s="127"/>
      <c r="AC645" s="127"/>
      <c r="AD645" s="129"/>
    </row>
    <row r="646" spans="1:30">
      <c r="A646" s="135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  <c r="AA646" s="127"/>
      <c r="AB646" s="127"/>
      <c r="AC646" s="127"/>
      <c r="AD646" s="129"/>
    </row>
    <row r="647" spans="1:30">
      <c r="A647" s="135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  <c r="AA647" s="127"/>
      <c r="AB647" s="127"/>
      <c r="AC647" s="127"/>
      <c r="AD647" s="129"/>
    </row>
    <row r="648" spans="1:30">
      <c r="A648" s="135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  <c r="AA648" s="127"/>
      <c r="AB648" s="127"/>
      <c r="AC648" s="127"/>
      <c r="AD648" s="129"/>
    </row>
    <row r="649" spans="1:30">
      <c r="A649" s="135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  <c r="AA649" s="127"/>
      <c r="AB649" s="127"/>
      <c r="AC649" s="127"/>
      <c r="AD649" s="129"/>
    </row>
    <row r="650" spans="1:30">
      <c r="A650" s="135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  <c r="AA650" s="127"/>
      <c r="AB650" s="127"/>
      <c r="AC650" s="127"/>
      <c r="AD650" s="129"/>
    </row>
    <row r="651" spans="1:30">
      <c r="A651" s="135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  <c r="AA651" s="127"/>
      <c r="AB651" s="127"/>
      <c r="AC651" s="127"/>
      <c r="AD651" s="129"/>
    </row>
    <row r="652" spans="1:30">
      <c r="A652" s="135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  <c r="AA652" s="127"/>
      <c r="AB652" s="127"/>
      <c r="AC652" s="127"/>
      <c r="AD652" s="129"/>
    </row>
    <row r="653" spans="1:30">
      <c r="A653" s="135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  <c r="AA653" s="127"/>
      <c r="AB653" s="127"/>
      <c r="AC653" s="127"/>
      <c r="AD653" s="129"/>
    </row>
    <row r="654" spans="1:30">
      <c r="A654" s="135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  <c r="AA654" s="127"/>
      <c r="AB654" s="127"/>
      <c r="AC654" s="127"/>
      <c r="AD654" s="129"/>
    </row>
    <row r="655" spans="1:30">
      <c r="A655" s="135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  <c r="AA655" s="127"/>
      <c r="AB655" s="127"/>
      <c r="AC655" s="127"/>
      <c r="AD655" s="129"/>
    </row>
    <row r="656" spans="1:30">
      <c r="A656" s="135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  <c r="AA656" s="127"/>
      <c r="AB656" s="127"/>
      <c r="AC656" s="127"/>
      <c r="AD656" s="129"/>
    </row>
    <row r="657" spans="1:30">
      <c r="A657" s="135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  <c r="AA657" s="127"/>
      <c r="AB657" s="127"/>
      <c r="AC657" s="127"/>
      <c r="AD657" s="129"/>
    </row>
    <row r="658" spans="1:30">
      <c r="A658" s="135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  <c r="AA658" s="127"/>
      <c r="AB658" s="127"/>
      <c r="AC658" s="127"/>
      <c r="AD658" s="129"/>
    </row>
    <row r="659" spans="1:30">
      <c r="A659" s="135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  <c r="AA659" s="127"/>
      <c r="AB659" s="127"/>
      <c r="AC659" s="127"/>
      <c r="AD659" s="129"/>
    </row>
    <row r="660" spans="1:30">
      <c r="A660" s="135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  <c r="AA660" s="127"/>
      <c r="AB660" s="127"/>
      <c r="AC660" s="127"/>
      <c r="AD660" s="129"/>
    </row>
    <row r="661" spans="1:30">
      <c r="A661" s="135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  <c r="AA661" s="127"/>
      <c r="AB661" s="127"/>
      <c r="AC661" s="127"/>
      <c r="AD661" s="129"/>
    </row>
    <row r="662" spans="1:30">
      <c r="A662" s="135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  <c r="AA662" s="127"/>
      <c r="AB662" s="127"/>
      <c r="AC662" s="127"/>
      <c r="AD662" s="129"/>
    </row>
    <row r="663" spans="1:30">
      <c r="A663" s="135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  <c r="AA663" s="127"/>
      <c r="AB663" s="127"/>
      <c r="AC663" s="127"/>
      <c r="AD663" s="129"/>
    </row>
    <row r="664" spans="1:30">
      <c r="A664" s="135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  <c r="AA664" s="127"/>
      <c r="AB664" s="127"/>
      <c r="AC664" s="127"/>
      <c r="AD664" s="129"/>
    </row>
    <row r="665" spans="1:30">
      <c r="A665" s="135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  <c r="AA665" s="127"/>
      <c r="AB665" s="127"/>
      <c r="AC665" s="127"/>
      <c r="AD665" s="129"/>
    </row>
    <row r="666" spans="1:30">
      <c r="A666" s="135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  <c r="AA666" s="127"/>
      <c r="AB666" s="127"/>
      <c r="AC666" s="127"/>
      <c r="AD666" s="129"/>
    </row>
    <row r="667" spans="1:30">
      <c r="A667" s="135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  <c r="AA667" s="127"/>
      <c r="AB667" s="127"/>
      <c r="AC667" s="127"/>
      <c r="AD667" s="129"/>
    </row>
    <row r="668" spans="1:30">
      <c r="A668" s="135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  <c r="AA668" s="127"/>
      <c r="AB668" s="127"/>
      <c r="AC668" s="127"/>
      <c r="AD668" s="129"/>
    </row>
    <row r="669" spans="1:30">
      <c r="A669" s="135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  <c r="AA669" s="127"/>
      <c r="AB669" s="127"/>
      <c r="AC669" s="127"/>
      <c r="AD669" s="129"/>
    </row>
    <row r="670" spans="1:30">
      <c r="A670" s="135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  <c r="AA670" s="127"/>
      <c r="AB670" s="127"/>
      <c r="AC670" s="127"/>
      <c r="AD670" s="129"/>
    </row>
    <row r="671" spans="1:30">
      <c r="A671" s="135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  <c r="AA671" s="127"/>
      <c r="AB671" s="127"/>
      <c r="AC671" s="127"/>
      <c r="AD671" s="129"/>
    </row>
    <row r="672" spans="1:30">
      <c r="A672" s="135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  <c r="AA672" s="127"/>
      <c r="AB672" s="127"/>
      <c r="AC672" s="127"/>
      <c r="AD672" s="129"/>
    </row>
    <row r="673" spans="1:30">
      <c r="A673" s="135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  <c r="AA673" s="127"/>
      <c r="AB673" s="127"/>
      <c r="AC673" s="127"/>
      <c r="AD673" s="129"/>
    </row>
    <row r="674" spans="1:30">
      <c r="A674" s="135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  <c r="AA674" s="127"/>
      <c r="AB674" s="127"/>
      <c r="AC674" s="127"/>
      <c r="AD674" s="129"/>
    </row>
    <row r="675" spans="1:30">
      <c r="A675" s="135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  <c r="AA675" s="127"/>
      <c r="AB675" s="127"/>
      <c r="AC675" s="127"/>
      <c r="AD675" s="129"/>
    </row>
    <row r="676" spans="1:30">
      <c r="A676" s="135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  <c r="AA676" s="127"/>
      <c r="AB676" s="127"/>
      <c r="AC676" s="127"/>
      <c r="AD676" s="129"/>
    </row>
    <row r="677" spans="1:30">
      <c r="A677" s="135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  <c r="AA677" s="127"/>
      <c r="AB677" s="127"/>
      <c r="AC677" s="127"/>
      <c r="AD677" s="129"/>
    </row>
    <row r="678" spans="1:30">
      <c r="A678" s="135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  <c r="AA678" s="127"/>
      <c r="AB678" s="127"/>
      <c r="AC678" s="127"/>
      <c r="AD678" s="129"/>
    </row>
    <row r="679" spans="1:30">
      <c r="A679" s="135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  <c r="AA679" s="127"/>
      <c r="AB679" s="127"/>
      <c r="AC679" s="127"/>
      <c r="AD679" s="129"/>
    </row>
    <row r="680" spans="1:30">
      <c r="A680" s="135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  <c r="AA680" s="127"/>
      <c r="AB680" s="127"/>
      <c r="AC680" s="127"/>
      <c r="AD680" s="129"/>
    </row>
    <row r="681" spans="1:30">
      <c r="A681" s="135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  <c r="AA681" s="127"/>
      <c r="AB681" s="127"/>
      <c r="AC681" s="127"/>
      <c r="AD681" s="129"/>
    </row>
    <row r="682" spans="1:30">
      <c r="A682" s="135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  <c r="AA682" s="127"/>
      <c r="AB682" s="127"/>
      <c r="AC682" s="127"/>
      <c r="AD682" s="129"/>
    </row>
    <row r="683" spans="1:30">
      <c r="A683" s="135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  <c r="AA683" s="127"/>
      <c r="AB683" s="127"/>
      <c r="AC683" s="127"/>
      <c r="AD683" s="129"/>
    </row>
    <row r="684" spans="1:30">
      <c r="A684" s="135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  <c r="AA684" s="127"/>
      <c r="AB684" s="127"/>
      <c r="AC684" s="127"/>
      <c r="AD684" s="129"/>
    </row>
    <row r="685" spans="1:30">
      <c r="A685" s="135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  <c r="AA685" s="127"/>
      <c r="AB685" s="127"/>
      <c r="AC685" s="127"/>
      <c r="AD685" s="129"/>
    </row>
    <row r="686" spans="1:30">
      <c r="A686" s="135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  <c r="AA686" s="127"/>
      <c r="AB686" s="127"/>
      <c r="AC686" s="127"/>
      <c r="AD686" s="129"/>
    </row>
    <row r="687" spans="1:30">
      <c r="A687" s="135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  <c r="AA687" s="127"/>
      <c r="AB687" s="127"/>
      <c r="AC687" s="127"/>
      <c r="AD687" s="129"/>
    </row>
    <row r="688" spans="1:30">
      <c r="A688" s="135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  <c r="AA688" s="127"/>
      <c r="AB688" s="127"/>
      <c r="AC688" s="127"/>
      <c r="AD688" s="129"/>
    </row>
    <row r="689" spans="1:30">
      <c r="A689" s="135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  <c r="AA689" s="127"/>
      <c r="AB689" s="127"/>
      <c r="AC689" s="127"/>
      <c r="AD689" s="129"/>
    </row>
    <row r="690" spans="1:30">
      <c r="A690" s="135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  <c r="AA690" s="127"/>
      <c r="AB690" s="127"/>
      <c r="AC690" s="127"/>
      <c r="AD690" s="129"/>
    </row>
    <row r="691" spans="1:30">
      <c r="A691" s="135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  <c r="AA691" s="127"/>
      <c r="AB691" s="127"/>
      <c r="AC691" s="127"/>
      <c r="AD691" s="129"/>
    </row>
    <row r="692" spans="1:30">
      <c r="A692" s="135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  <c r="AA692" s="127"/>
      <c r="AB692" s="127"/>
      <c r="AC692" s="127"/>
      <c r="AD692" s="129"/>
    </row>
    <row r="693" spans="1:30">
      <c r="A693" s="135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  <c r="AA693" s="127"/>
      <c r="AB693" s="127"/>
      <c r="AC693" s="127"/>
      <c r="AD693" s="129"/>
    </row>
    <row r="694" spans="1:30">
      <c r="A694" s="135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  <c r="AA694" s="127"/>
      <c r="AB694" s="127"/>
      <c r="AC694" s="127"/>
      <c r="AD694" s="129"/>
    </row>
    <row r="695" spans="1:30">
      <c r="A695" s="135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  <c r="AA695" s="127"/>
      <c r="AB695" s="127"/>
      <c r="AC695" s="127"/>
      <c r="AD695" s="129"/>
    </row>
    <row r="696" spans="1:30">
      <c r="A696" s="135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  <c r="AA696" s="127"/>
      <c r="AB696" s="127"/>
      <c r="AC696" s="127"/>
      <c r="AD696" s="129"/>
    </row>
    <row r="697" spans="1:30">
      <c r="A697" s="135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  <c r="AA697" s="127"/>
      <c r="AB697" s="127"/>
      <c r="AC697" s="127"/>
      <c r="AD697" s="129"/>
    </row>
    <row r="698" spans="1:30">
      <c r="A698" s="135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  <c r="AA698" s="127"/>
      <c r="AB698" s="127"/>
      <c r="AC698" s="127"/>
      <c r="AD698" s="129"/>
    </row>
    <row r="699" spans="1:30">
      <c r="A699" s="135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  <c r="AA699" s="127"/>
      <c r="AB699" s="127"/>
      <c r="AC699" s="127"/>
      <c r="AD699" s="129"/>
    </row>
    <row r="700" spans="1:30">
      <c r="A700" s="135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  <c r="AA700" s="127"/>
      <c r="AB700" s="127"/>
      <c r="AC700" s="127"/>
      <c r="AD700" s="129"/>
    </row>
    <row r="701" spans="1:30">
      <c r="A701" s="135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  <c r="AA701" s="127"/>
      <c r="AB701" s="127"/>
      <c r="AC701" s="127"/>
      <c r="AD701" s="129"/>
    </row>
    <row r="702" spans="1:30">
      <c r="A702" s="135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  <c r="AA702" s="127"/>
      <c r="AB702" s="127"/>
      <c r="AC702" s="127"/>
      <c r="AD702" s="129"/>
    </row>
    <row r="703" spans="1:30">
      <c r="A703" s="135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  <c r="AA703" s="127"/>
      <c r="AB703" s="127"/>
      <c r="AC703" s="127"/>
      <c r="AD703" s="129"/>
    </row>
    <row r="704" spans="1:30">
      <c r="A704" s="135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  <c r="AA704" s="127"/>
      <c r="AB704" s="127"/>
      <c r="AC704" s="127"/>
      <c r="AD704" s="129"/>
    </row>
    <row r="705" spans="1:30">
      <c r="A705" s="135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  <c r="AA705" s="127"/>
      <c r="AB705" s="127"/>
      <c r="AC705" s="127"/>
      <c r="AD705" s="129"/>
    </row>
    <row r="706" spans="1:30">
      <c r="A706" s="135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  <c r="AA706" s="127"/>
      <c r="AB706" s="127"/>
      <c r="AC706" s="127"/>
      <c r="AD706" s="129"/>
    </row>
    <row r="707" spans="1:30">
      <c r="A707" s="135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  <c r="AA707" s="127"/>
      <c r="AB707" s="127"/>
      <c r="AC707" s="127"/>
      <c r="AD707" s="129"/>
    </row>
    <row r="708" spans="1:30">
      <c r="A708" s="135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  <c r="AA708" s="127"/>
      <c r="AB708" s="127"/>
      <c r="AC708" s="127"/>
      <c r="AD708" s="129"/>
    </row>
    <row r="709" spans="1:30">
      <c r="A709" s="135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  <c r="AA709" s="127"/>
      <c r="AB709" s="127"/>
      <c r="AC709" s="127"/>
      <c r="AD709" s="129"/>
    </row>
    <row r="710" spans="1:30">
      <c r="A710" s="135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  <c r="AA710" s="127"/>
      <c r="AB710" s="127"/>
      <c r="AC710" s="127"/>
      <c r="AD710" s="129"/>
    </row>
    <row r="711" spans="1:30">
      <c r="A711" s="135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  <c r="AA711" s="127"/>
      <c r="AB711" s="127"/>
      <c r="AC711" s="127"/>
      <c r="AD711" s="129"/>
    </row>
    <row r="712" spans="1:30">
      <c r="A712" s="135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  <c r="AA712" s="127"/>
      <c r="AB712" s="127"/>
      <c r="AC712" s="127"/>
      <c r="AD712" s="129"/>
    </row>
    <row r="713" spans="1:30">
      <c r="A713" s="135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  <c r="AA713" s="127"/>
      <c r="AB713" s="127"/>
      <c r="AC713" s="127"/>
      <c r="AD713" s="129"/>
    </row>
    <row r="714" spans="1:30">
      <c r="A714" s="135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  <c r="AA714" s="127"/>
      <c r="AB714" s="127"/>
      <c r="AC714" s="127"/>
      <c r="AD714" s="129"/>
    </row>
    <row r="715" spans="1:30">
      <c r="A715" s="135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  <c r="AA715" s="127"/>
      <c r="AB715" s="127"/>
      <c r="AC715" s="127"/>
      <c r="AD715" s="129"/>
    </row>
    <row r="716" spans="1:30">
      <c r="A716" s="135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  <c r="AA716" s="127"/>
      <c r="AB716" s="127"/>
      <c r="AC716" s="127"/>
      <c r="AD716" s="129"/>
    </row>
    <row r="717" spans="1:30">
      <c r="A717" s="135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  <c r="AA717" s="127"/>
      <c r="AB717" s="127"/>
      <c r="AC717" s="127"/>
      <c r="AD717" s="129"/>
    </row>
    <row r="718" spans="1:30">
      <c r="A718" s="135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  <c r="AA718" s="127"/>
      <c r="AB718" s="127"/>
      <c r="AC718" s="127"/>
      <c r="AD718" s="129"/>
    </row>
    <row r="719" spans="1:30">
      <c r="A719" s="135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  <c r="AA719" s="127"/>
      <c r="AB719" s="127"/>
      <c r="AC719" s="127"/>
      <c r="AD719" s="129"/>
    </row>
    <row r="720" spans="1:30">
      <c r="A720" s="135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  <c r="AA720" s="127"/>
      <c r="AB720" s="127"/>
      <c r="AC720" s="127"/>
      <c r="AD720" s="129"/>
    </row>
    <row r="721" spans="1:30">
      <c r="A721" s="135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  <c r="AA721" s="127"/>
      <c r="AB721" s="127"/>
      <c r="AC721" s="127"/>
      <c r="AD721" s="129"/>
    </row>
    <row r="722" spans="1:30">
      <c r="A722" s="135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  <c r="AA722" s="127"/>
      <c r="AB722" s="127"/>
      <c r="AC722" s="127"/>
      <c r="AD722" s="129"/>
    </row>
    <row r="723" spans="1:30">
      <c r="A723" s="135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  <c r="AA723" s="127"/>
      <c r="AB723" s="127"/>
      <c r="AC723" s="127"/>
      <c r="AD723" s="129"/>
    </row>
    <row r="724" spans="1:30">
      <c r="A724" s="135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  <c r="AA724" s="127"/>
      <c r="AB724" s="127"/>
      <c r="AC724" s="127"/>
      <c r="AD724" s="129"/>
    </row>
    <row r="725" spans="1:30">
      <c r="A725" s="135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  <c r="AA725" s="127"/>
      <c r="AB725" s="127"/>
      <c r="AC725" s="127"/>
      <c r="AD725" s="129"/>
    </row>
    <row r="726" spans="1:30">
      <c r="A726" s="135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  <c r="AA726" s="127"/>
      <c r="AB726" s="127"/>
      <c r="AC726" s="127"/>
      <c r="AD726" s="129"/>
    </row>
    <row r="727" spans="1:30">
      <c r="A727" s="135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  <c r="AA727" s="127"/>
      <c r="AB727" s="127"/>
      <c r="AC727" s="127"/>
      <c r="AD727" s="129"/>
    </row>
    <row r="728" spans="1:30">
      <c r="A728" s="135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  <c r="AA728" s="127"/>
      <c r="AB728" s="127"/>
      <c r="AC728" s="127"/>
      <c r="AD728" s="129"/>
    </row>
    <row r="729" spans="1:30">
      <c r="A729" s="135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  <c r="AA729" s="127"/>
      <c r="AB729" s="127"/>
      <c r="AC729" s="127"/>
      <c r="AD729" s="129"/>
    </row>
    <row r="730" spans="1:30">
      <c r="A730" s="135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  <c r="AA730" s="127"/>
      <c r="AB730" s="127"/>
      <c r="AC730" s="127"/>
      <c r="AD730" s="129"/>
    </row>
    <row r="731" spans="1:30">
      <c r="A731" s="135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  <c r="AA731" s="127"/>
      <c r="AB731" s="127"/>
      <c r="AC731" s="127"/>
      <c r="AD731" s="129"/>
    </row>
    <row r="732" spans="1:30">
      <c r="A732" s="135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  <c r="AA732" s="127"/>
      <c r="AB732" s="127"/>
      <c r="AC732" s="127"/>
      <c r="AD732" s="129"/>
    </row>
    <row r="733" spans="1:30">
      <c r="A733" s="135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  <c r="AA733" s="127"/>
      <c r="AB733" s="127"/>
      <c r="AC733" s="127"/>
      <c r="AD733" s="129"/>
    </row>
    <row r="734" spans="1:30">
      <c r="A734" s="135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  <c r="AA734" s="127"/>
      <c r="AB734" s="127"/>
      <c r="AC734" s="127"/>
      <c r="AD734" s="129"/>
    </row>
    <row r="735" spans="1:30">
      <c r="A735" s="135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  <c r="AA735" s="127"/>
      <c r="AB735" s="127"/>
      <c r="AC735" s="127"/>
      <c r="AD735" s="129"/>
    </row>
    <row r="736" spans="1:30">
      <c r="A736" s="135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  <c r="AA736" s="127"/>
      <c r="AB736" s="127"/>
      <c r="AC736" s="127"/>
      <c r="AD736" s="129"/>
    </row>
    <row r="737" spans="1:30">
      <c r="A737" s="135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  <c r="AA737" s="127"/>
      <c r="AB737" s="127"/>
      <c r="AC737" s="127"/>
      <c r="AD737" s="129"/>
    </row>
    <row r="738" spans="1:30">
      <c r="A738" s="135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  <c r="AA738" s="127"/>
      <c r="AB738" s="127"/>
      <c r="AC738" s="127"/>
      <c r="AD738" s="129"/>
    </row>
    <row r="739" spans="1:30">
      <c r="A739" s="135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  <c r="AA739" s="127"/>
      <c r="AB739" s="127"/>
      <c r="AC739" s="127"/>
      <c r="AD739" s="129"/>
    </row>
    <row r="740" spans="1:30">
      <c r="A740" s="135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  <c r="AA740" s="127"/>
      <c r="AB740" s="127"/>
      <c r="AC740" s="127"/>
      <c r="AD740" s="129"/>
    </row>
    <row r="741" spans="1:30">
      <c r="A741" s="135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  <c r="AA741" s="127"/>
      <c r="AB741" s="127"/>
      <c r="AC741" s="127"/>
      <c r="AD741" s="129"/>
    </row>
    <row r="742" spans="1:30">
      <c r="A742" s="135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  <c r="AA742" s="127"/>
      <c r="AB742" s="127"/>
      <c r="AC742" s="127"/>
      <c r="AD742" s="129"/>
    </row>
    <row r="743" spans="1:30">
      <c r="A743" s="135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  <c r="AA743" s="127"/>
      <c r="AB743" s="127"/>
      <c r="AC743" s="127"/>
      <c r="AD743" s="129"/>
    </row>
    <row r="744" spans="1:30">
      <c r="A744" s="135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  <c r="AA744" s="127"/>
      <c r="AB744" s="127"/>
      <c r="AC744" s="127"/>
      <c r="AD744" s="129"/>
    </row>
    <row r="745" spans="1:30">
      <c r="A745" s="135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  <c r="AA745" s="127"/>
      <c r="AB745" s="127"/>
      <c r="AC745" s="127"/>
      <c r="AD745" s="129"/>
    </row>
    <row r="746" spans="1:30">
      <c r="A746" s="135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  <c r="AA746" s="127"/>
      <c r="AB746" s="127"/>
      <c r="AC746" s="127"/>
      <c r="AD746" s="129"/>
    </row>
    <row r="747" spans="1:30">
      <c r="A747" s="135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  <c r="AA747" s="127"/>
      <c r="AB747" s="127"/>
      <c r="AC747" s="127"/>
      <c r="AD747" s="129"/>
    </row>
    <row r="748" spans="1:30">
      <c r="A748" s="135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  <c r="AA748" s="127"/>
      <c r="AB748" s="127"/>
      <c r="AC748" s="127"/>
      <c r="AD748" s="129"/>
    </row>
    <row r="749" spans="1:30">
      <c r="A749" s="135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  <c r="AA749" s="127"/>
      <c r="AB749" s="127"/>
      <c r="AC749" s="127"/>
      <c r="AD749" s="129"/>
    </row>
    <row r="750" spans="1:30">
      <c r="A750" s="135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  <c r="AA750" s="127"/>
      <c r="AB750" s="127"/>
      <c r="AC750" s="127"/>
      <c r="AD750" s="129"/>
    </row>
    <row r="751" spans="1:30">
      <c r="A751" s="135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  <c r="AA751" s="127"/>
      <c r="AB751" s="127"/>
      <c r="AC751" s="127"/>
      <c r="AD751" s="129"/>
    </row>
    <row r="752" spans="1:30">
      <c r="A752" s="135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  <c r="AA752" s="127"/>
      <c r="AB752" s="127"/>
      <c r="AC752" s="127"/>
      <c r="AD752" s="129"/>
    </row>
    <row r="753" spans="1:30">
      <c r="A753" s="135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  <c r="AA753" s="127"/>
      <c r="AB753" s="127"/>
      <c r="AC753" s="127"/>
      <c r="AD753" s="129"/>
    </row>
    <row r="754" spans="1:30">
      <c r="A754" s="135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  <c r="AA754" s="127"/>
      <c r="AB754" s="127"/>
      <c r="AC754" s="127"/>
      <c r="AD754" s="129"/>
    </row>
    <row r="755" spans="1:30">
      <c r="A755" s="135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  <c r="AA755" s="127"/>
      <c r="AB755" s="127"/>
      <c r="AC755" s="127"/>
      <c r="AD755" s="129"/>
    </row>
    <row r="756" spans="1:30">
      <c r="A756" s="135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  <c r="AA756" s="127"/>
      <c r="AB756" s="127"/>
      <c r="AC756" s="127"/>
      <c r="AD756" s="129"/>
    </row>
    <row r="757" spans="1:30">
      <c r="A757" s="135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  <c r="AA757" s="127"/>
      <c r="AB757" s="127"/>
      <c r="AC757" s="127"/>
      <c r="AD757" s="129"/>
    </row>
    <row r="758" spans="1:30">
      <c r="A758" s="135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  <c r="AA758" s="127"/>
      <c r="AB758" s="127"/>
      <c r="AC758" s="127"/>
      <c r="AD758" s="129"/>
    </row>
    <row r="759" spans="1:30">
      <c r="A759" s="135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  <c r="AA759" s="127"/>
      <c r="AB759" s="127"/>
      <c r="AC759" s="127"/>
      <c r="AD759" s="129"/>
    </row>
    <row r="760" spans="1:30">
      <c r="A760" s="135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  <c r="AA760" s="127"/>
      <c r="AB760" s="127"/>
      <c r="AC760" s="127"/>
      <c r="AD760" s="129"/>
    </row>
    <row r="761" spans="1:30">
      <c r="A761" s="135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  <c r="AA761" s="127"/>
      <c r="AB761" s="127"/>
      <c r="AC761" s="127"/>
      <c r="AD761" s="129"/>
    </row>
    <row r="762" spans="1:30">
      <c r="A762" s="135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  <c r="AA762" s="127"/>
      <c r="AB762" s="127"/>
      <c r="AC762" s="127"/>
      <c r="AD762" s="129"/>
    </row>
    <row r="763" spans="1:30">
      <c r="A763" s="135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  <c r="AA763" s="127"/>
      <c r="AB763" s="127"/>
      <c r="AC763" s="127"/>
      <c r="AD763" s="129"/>
    </row>
    <row r="764" spans="1:30">
      <c r="A764" s="135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  <c r="AA764" s="127"/>
      <c r="AB764" s="127"/>
      <c r="AC764" s="127"/>
      <c r="AD764" s="129"/>
    </row>
    <row r="765" spans="1:30">
      <c r="A765" s="135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  <c r="AA765" s="127"/>
      <c r="AB765" s="127"/>
      <c r="AC765" s="127"/>
      <c r="AD765" s="129"/>
    </row>
    <row r="766" spans="1:30">
      <c r="A766" s="135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  <c r="AA766" s="127"/>
      <c r="AB766" s="127"/>
      <c r="AC766" s="127"/>
      <c r="AD766" s="129"/>
    </row>
    <row r="767" spans="1:30">
      <c r="A767" s="135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  <c r="AA767" s="127"/>
      <c r="AB767" s="127"/>
      <c r="AC767" s="127"/>
      <c r="AD767" s="129"/>
    </row>
    <row r="768" spans="1:30">
      <c r="A768" s="135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  <c r="AA768" s="127"/>
      <c r="AB768" s="127"/>
      <c r="AC768" s="127"/>
      <c r="AD768" s="129"/>
    </row>
    <row r="769" spans="1:30">
      <c r="A769" s="135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  <c r="AA769" s="127"/>
      <c r="AB769" s="127"/>
      <c r="AC769" s="127"/>
      <c r="AD769" s="129"/>
    </row>
    <row r="770" spans="1:30">
      <c r="A770" s="135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  <c r="AA770" s="127"/>
      <c r="AB770" s="127"/>
      <c r="AC770" s="127"/>
      <c r="AD770" s="129"/>
    </row>
    <row r="771" spans="1:30">
      <c r="A771" s="135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  <c r="AA771" s="127"/>
      <c r="AB771" s="127"/>
      <c r="AC771" s="127"/>
      <c r="AD771" s="129"/>
    </row>
    <row r="772" spans="1:30">
      <c r="A772" s="135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  <c r="AA772" s="127"/>
      <c r="AB772" s="127"/>
      <c r="AC772" s="127"/>
      <c r="AD772" s="129"/>
    </row>
    <row r="773" spans="1:30">
      <c r="A773" s="135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  <c r="AA773" s="127"/>
      <c r="AB773" s="127"/>
      <c r="AC773" s="127"/>
      <c r="AD773" s="129"/>
    </row>
    <row r="774" spans="1:30">
      <c r="A774" s="135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  <c r="AA774" s="127"/>
      <c r="AB774" s="127"/>
      <c r="AC774" s="127"/>
      <c r="AD774" s="129"/>
    </row>
    <row r="775" spans="1:30">
      <c r="A775" s="135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  <c r="AA775" s="127"/>
      <c r="AB775" s="127"/>
      <c r="AC775" s="127"/>
      <c r="AD775" s="129"/>
    </row>
    <row r="776" spans="1:30">
      <c r="A776" s="135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  <c r="AA776" s="127"/>
      <c r="AB776" s="127"/>
      <c r="AC776" s="127"/>
      <c r="AD776" s="129"/>
    </row>
    <row r="777" spans="1:30">
      <c r="A777" s="135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  <c r="AA777" s="127"/>
      <c r="AB777" s="127"/>
      <c r="AC777" s="127"/>
      <c r="AD777" s="129"/>
    </row>
    <row r="778" spans="1:30">
      <c r="A778" s="135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  <c r="AA778" s="127"/>
      <c r="AB778" s="127"/>
      <c r="AC778" s="127"/>
      <c r="AD778" s="129"/>
    </row>
    <row r="779" spans="1:30">
      <c r="A779" s="135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  <c r="AA779" s="127"/>
      <c r="AB779" s="127"/>
      <c r="AC779" s="127"/>
      <c r="AD779" s="129"/>
    </row>
    <row r="780" spans="1:30">
      <c r="A780" s="135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  <c r="AA780" s="127"/>
      <c r="AB780" s="127"/>
      <c r="AC780" s="127"/>
      <c r="AD780" s="129"/>
    </row>
    <row r="781" spans="1:30">
      <c r="A781" s="135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  <c r="AA781" s="127"/>
      <c r="AB781" s="127"/>
      <c r="AC781" s="127"/>
      <c r="AD781" s="129"/>
    </row>
    <row r="782" spans="1:30">
      <c r="A782" s="135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  <c r="AA782" s="127"/>
      <c r="AB782" s="127"/>
      <c r="AC782" s="127"/>
      <c r="AD782" s="129"/>
    </row>
    <row r="783" spans="1:30">
      <c r="A783" s="135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  <c r="AA783" s="127"/>
      <c r="AB783" s="127"/>
      <c r="AC783" s="127"/>
      <c r="AD783" s="129"/>
    </row>
    <row r="784" spans="1:30">
      <c r="A784" s="135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  <c r="AA784" s="127"/>
      <c r="AB784" s="127"/>
      <c r="AC784" s="127"/>
      <c r="AD784" s="129"/>
    </row>
    <row r="785" spans="1:30">
      <c r="A785" s="135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  <c r="AA785" s="127"/>
      <c r="AB785" s="127"/>
      <c r="AC785" s="127"/>
      <c r="AD785" s="129"/>
    </row>
    <row r="786" spans="1:30">
      <c r="A786" s="135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  <c r="AA786" s="127"/>
      <c r="AB786" s="127"/>
      <c r="AC786" s="127"/>
      <c r="AD786" s="129"/>
    </row>
    <row r="787" spans="1:30">
      <c r="A787" s="135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  <c r="AA787" s="127"/>
      <c r="AB787" s="127"/>
      <c r="AC787" s="127"/>
      <c r="AD787" s="129"/>
    </row>
    <row r="788" spans="1:30">
      <c r="A788" s="135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  <c r="AA788" s="127"/>
      <c r="AB788" s="127"/>
      <c r="AC788" s="127"/>
      <c r="AD788" s="129"/>
    </row>
    <row r="789" spans="1:30">
      <c r="A789" s="135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  <c r="AA789" s="127"/>
      <c r="AB789" s="127"/>
      <c r="AC789" s="127"/>
      <c r="AD789" s="129"/>
    </row>
    <row r="790" spans="1:30">
      <c r="A790" s="135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  <c r="AA790" s="127"/>
      <c r="AB790" s="127"/>
      <c r="AC790" s="127"/>
      <c r="AD790" s="129"/>
    </row>
    <row r="791" spans="1:30">
      <c r="A791" s="135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  <c r="AA791" s="127"/>
      <c r="AB791" s="127"/>
      <c r="AC791" s="127"/>
      <c r="AD791" s="129"/>
    </row>
    <row r="792" spans="1:30">
      <c r="A792" s="135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  <c r="AA792" s="127"/>
      <c r="AB792" s="127"/>
      <c r="AC792" s="127"/>
      <c r="AD792" s="129"/>
    </row>
    <row r="793" spans="1:30">
      <c r="A793" s="135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  <c r="AA793" s="127"/>
      <c r="AB793" s="127"/>
      <c r="AC793" s="127"/>
      <c r="AD793" s="129"/>
    </row>
    <row r="794" spans="1:30">
      <c r="A794" s="135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  <c r="AA794" s="127"/>
      <c r="AB794" s="127"/>
      <c r="AC794" s="127"/>
      <c r="AD794" s="129"/>
    </row>
    <row r="795" spans="1:30">
      <c r="A795" s="135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  <c r="AA795" s="127"/>
      <c r="AB795" s="127"/>
      <c r="AC795" s="127"/>
      <c r="AD795" s="129"/>
    </row>
    <row r="796" spans="1:30">
      <c r="A796" s="135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  <c r="AA796" s="127"/>
      <c r="AB796" s="127"/>
      <c r="AC796" s="127"/>
      <c r="AD796" s="129"/>
    </row>
    <row r="797" spans="1:30">
      <c r="A797" s="135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  <c r="AA797" s="127"/>
      <c r="AB797" s="127"/>
      <c r="AC797" s="127"/>
      <c r="AD797" s="129"/>
    </row>
    <row r="798" spans="1:30">
      <c r="A798" s="135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  <c r="AA798" s="127"/>
      <c r="AB798" s="127"/>
      <c r="AC798" s="127"/>
      <c r="AD798" s="129"/>
    </row>
    <row r="799" spans="1:30">
      <c r="A799" s="135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  <c r="AA799" s="127"/>
      <c r="AB799" s="127"/>
      <c r="AC799" s="127"/>
      <c r="AD799" s="129"/>
    </row>
    <row r="800" spans="1:30">
      <c r="A800" s="135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  <c r="AA800" s="127"/>
      <c r="AB800" s="127"/>
      <c r="AC800" s="127"/>
      <c r="AD800" s="129"/>
    </row>
    <row r="801" spans="1:30">
      <c r="A801" s="135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  <c r="AA801" s="127"/>
      <c r="AB801" s="127"/>
      <c r="AC801" s="127"/>
      <c r="AD801" s="129"/>
    </row>
    <row r="802" spans="1:30">
      <c r="A802" s="135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  <c r="AA802" s="127"/>
      <c r="AB802" s="127"/>
      <c r="AC802" s="127"/>
      <c r="AD802" s="129"/>
    </row>
    <row r="803" spans="1:30">
      <c r="A803" s="135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  <c r="AA803" s="127"/>
      <c r="AB803" s="127"/>
      <c r="AC803" s="127"/>
      <c r="AD803" s="129"/>
    </row>
    <row r="804" spans="1:30">
      <c r="A804" s="135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  <c r="AA804" s="127"/>
      <c r="AB804" s="127"/>
      <c r="AC804" s="127"/>
      <c r="AD804" s="129"/>
    </row>
    <row r="805" spans="1:30">
      <c r="A805" s="135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  <c r="AA805" s="127"/>
      <c r="AB805" s="127"/>
      <c r="AC805" s="127"/>
      <c r="AD805" s="129"/>
    </row>
    <row r="806" spans="1:30">
      <c r="A806" s="135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  <c r="AA806" s="127"/>
      <c r="AB806" s="127"/>
      <c r="AC806" s="127"/>
      <c r="AD806" s="129"/>
    </row>
    <row r="807" spans="1:30">
      <c r="A807" s="135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  <c r="AA807" s="127"/>
      <c r="AB807" s="127"/>
      <c r="AC807" s="127"/>
      <c r="AD807" s="129"/>
    </row>
    <row r="808" spans="1:30">
      <c r="A808" s="135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  <c r="AA808" s="127"/>
      <c r="AB808" s="127"/>
      <c r="AC808" s="127"/>
      <c r="AD808" s="129"/>
    </row>
    <row r="809" spans="1:30">
      <c r="A809" s="135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  <c r="AA809" s="127"/>
      <c r="AB809" s="127"/>
      <c r="AC809" s="127"/>
      <c r="AD809" s="129"/>
    </row>
    <row r="810" spans="1:30">
      <c r="A810" s="135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  <c r="AA810" s="127"/>
      <c r="AB810" s="127"/>
      <c r="AC810" s="127"/>
      <c r="AD810" s="129"/>
    </row>
    <row r="811" spans="1:30">
      <c r="A811" s="135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  <c r="AA811" s="127"/>
      <c r="AB811" s="127"/>
      <c r="AC811" s="127"/>
      <c r="AD811" s="129"/>
    </row>
    <row r="812" spans="1:30">
      <c r="A812" s="135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  <c r="AA812" s="127"/>
      <c r="AB812" s="127"/>
      <c r="AC812" s="127"/>
      <c r="AD812" s="129"/>
    </row>
    <row r="813" spans="1:30">
      <c r="A813" s="135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  <c r="AA813" s="127"/>
      <c r="AB813" s="127"/>
      <c r="AC813" s="127"/>
      <c r="AD813" s="129"/>
    </row>
    <row r="814" spans="1:30">
      <c r="A814" s="135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  <c r="AA814" s="127"/>
      <c r="AB814" s="127"/>
      <c r="AC814" s="127"/>
      <c r="AD814" s="129"/>
    </row>
    <row r="815" spans="1:30">
      <c r="A815" s="135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  <c r="AA815" s="127"/>
      <c r="AB815" s="127"/>
      <c r="AC815" s="127"/>
      <c r="AD815" s="129"/>
    </row>
    <row r="816" spans="1:30">
      <c r="A816" s="135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  <c r="AA816" s="127"/>
      <c r="AB816" s="127"/>
      <c r="AC816" s="127"/>
      <c r="AD816" s="129"/>
    </row>
    <row r="817" spans="1:30">
      <c r="A817" s="135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  <c r="AA817" s="127"/>
      <c r="AB817" s="127"/>
      <c r="AC817" s="127"/>
      <c r="AD817" s="129"/>
    </row>
    <row r="818" spans="1:30">
      <c r="A818" s="135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  <c r="AA818" s="127"/>
      <c r="AB818" s="127"/>
      <c r="AC818" s="127"/>
      <c r="AD818" s="129"/>
    </row>
    <row r="819" spans="1:30">
      <c r="A819" s="135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  <c r="AA819" s="127"/>
      <c r="AB819" s="127"/>
      <c r="AC819" s="127"/>
      <c r="AD819" s="129"/>
    </row>
    <row r="820" spans="1:30">
      <c r="A820" s="135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  <c r="AA820" s="127"/>
      <c r="AB820" s="127"/>
      <c r="AC820" s="127"/>
      <c r="AD820" s="129"/>
    </row>
    <row r="821" spans="1:30">
      <c r="A821" s="135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  <c r="AA821" s="127"/>
      <c r="AB821" s="127"/>
      <c r="AC821" s="127"/>
      <c r="AD821" s="129"/>
    </row>
    <row r="822" spans="1:30">
      <c r="A822" s="135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  <c r="AA822" s="127"/>
      <c r="AB822" s="127"/>
      <c r="AC822" s="127"/>
      <c r="AD822" s="129"/>
    </row>
    <row r="823" spans="1:30">
      <c r="A823" s="135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  <c r="AA823" s="127"/>
      <c r="AB823" s="127"/>
      <c r="AC823" s="127"/>
      <c r="AD823" s="129"/>
    </row>
    <row r="824" spans="1:30">
      <c r="A824" s="135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  <c r="AA824" s="127"/>
      <c r="AB824" s="127"/>
      <c r="AC824" s="127"/>
      <c r="AD824" s="129"/>
    </row>
    <row r="825" spans="1:30">
      <c r="A825" s="135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  <c r="AA825" s="127"/>
      <c r="AB825" s="127"/>
      <c r="AC825" s="127"/>
      <c r="AD825" s="129"/>
    </row>
    <row r="826" spans="1:30">
      <c r="A826" s="135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  <c r="AA826" s="127"/>
      <c r="AB826" s="127"/>
      <c r="AC826" s="127"/>
      <c r="AD826" s="129"/>
    </row>
    <row r="827" spans="1:30">
      <c r="A827" s="135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  <c r="AA827" s="127"/>
      <c r="AB827" s="127"/>
      <c r="AC827" s="127"/>
      <c r="AD827" s="129"/>
    </row>
    <row r="828" spans="1:30">
      <c r="A828" s="135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  <c r="AA828" s="127"/>
      <c r="AB828" s="127"/>
      <c r="AC828" s="127"/>
      <c r="AD828" s="129"/>
    </row>
    <row r="829" spans="1:30">
      <c r="A829" s="135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  <c r="AA829" s="127"/>
      <c r="AB829" s="127"/>
      <c r="AC829" s="127"/>
      <c r="AD829" s="129"/>
    </row>
    <row r="830" spans="1:30">
      <c r="A830" s="135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  <c r="AA830" s="127"/>
      <c r="AB830" s="127"/>
      <c r="AC830" s="127"/>
      <c r="AD830" s="129"/>
    </row>
    <row r="831" spans="1:30">
      <c r="A831" s="135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  <c r="AA831" s="127"/>
      <c r="AB831" s="127"/>
      <c r="AC831" s="127"/>
      <c r="AD831" s="129"/>
    </row>
    <row r="832" spans="1:30">
      <c r="A832" s="135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  <c r="AA832" s="127"/>
      <c r="AB832" s="127"/>
      <c r="AC832" s="127"/>
      <c r="AD832" s="129"/>
    </row>
    <row r="833" spans="1:30">
      <c r="A833" s="135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  <c r="AA833" s="127"/>
      <c r="AB833" s="127"/>
      <c r="AC833" s="127"/>
      <c r="AD833" s="129"/>
    </row>
    <row r="834" spans="1:30">
      <c r="A834" s="135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  <c r="AA834" s="127"/>
      <c r="AB834" s="127"/>
      <c r="AC834" s="127"/>
      <c r="AD834" s="129"/>
    </row>
    <row r="835" spans="1:30">
      <c r="A835" s="135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  <c r="AA835" s="127"/>
      <c r="AB835" s="127"/>
      <c r="AC835" s="127"/>
      <c r="AD835" s="129"/>
    </row>
    <row r="836" spans="1:30">
      <c r="A836" s="135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  <c r="AA836" s="127"/>
      <c r="AB836" s="127"/>
      <c r="AC836" s="127"/>
      <c r="AD836" s="129"/>
    </row>
    <row r="837" spans="1:30">
      <c r="A837" s="135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  <c r="AA837" s="127"/>
      <c r="AB837" s="127"/>
      <c r="AC837" s="127"/>
      <c r="AD837" s="129"/>
    </row>
    <row r="838" spans="1:30">
      <c r="A838" s="135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  <c r="AA838" s="127"/>
      <c r="AB838" s="127"/>
      <c r="AC838" s="127"/>
      <c r="AD838" s="129"/>
    </row>
    <row r="839" spans="1:30">
      <c r="A839" s="135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  <c r="AA839" s="127"/>
      <c r="AB839" s="127"/>
      <c r="AC839" s="127"/>
      <c r="AD839" s="129"/>
    </row>
    <row r="840" spans="1:30">
      <c r="A840" s="135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  <c r="AA840" s="127"/>
      <c r="AB840" s="127"/>
      <c r="AC840" s="127"/>
      <c r="AD840" s="129"/>
    </row>
    <row r="841" spans="1:30">
      <c r="A841" s="135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  <c r="AA841" s="127"/>
      <c r="AB841" s="127"/>
      <c r="AC841" s="127"/>
      <c r="AD841" s="129"/>
    </row>
    <row r="842" spans="1:30">
      <c r="A842" s="135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  <c r="AA842" s="127"/>
      <c r="AB842" s="127"/>
      <c r="AC842" s="127"/>
      <c r="AD842" s="129"/>
    </row>
    <row r="843" spans="1:30">
      <c r="A843" s="135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  <c r="AA843" s="127"/>
      <c r="AB843" s="127"/>
      <c r="AC843" s="127"/>
      <c r="AD843" s="129"/>
    </row>
    <row r="844" spans="1:30">
      <c r="A844" s="135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  <c r="AA844" s="127"/>
      <c r="AB844" s="127"/>
      <c r="AC844" s="127"/>
      <c r="AD844" s="129"/>
    </row>
    <row r="845" spans="1:30">
      <c r="A845" s="135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  <c r="AA845" s="127"/>
      <c r="AB845" s="127"/>
      <c r="AC845" s="127"/>
      <c r="AD845" s="129"/>
    </row>
    <row r="846" spans="1:30">
      <c r="A846" s="135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  <c r="AA846" s="127"/>
      <c r="AB846" s="127"/>
      <c r="AC846" s="127"/>
      <c r="AD846" s="129"/>
    </row>
    <row r="847" spans="1:30">
      <c r="A847" s="135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  <c r="AA847" s="127"/>
      <c r="AB847" s="127"/>
      <c r="AC847" s="127"/>
      <c r="AD847" s="129"/>
    </row>
    <row r="848" spans="1:30">
      <c r="A848" s="135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  <c r="AA848" s="127"/>
      <c r="AB848" s="127"/>
      <c r="AC848" s="127"/>
      <c r="AD848" s="129"/>
    </row>
    <row r="849" spans="1:30">
      <c r="A849" s="135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  <c r="AA849" s="127"/>
      <c r="AB849" s="127"/>
      <c r="AC849" s="127"/>
      <c r="AD849" s="129"/>
    </row>
    <row r="850" spans="1:30">
      <c r="A850" s="135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  <c r="AA850" s="127"/>
      <c r="AB850" s="127"/>
      <c r="AC850" s="127"/>
      <c r="AD850" s="129"/>
    </row>
    <row r="851" spans="1:30">
      <c r="A851" s="135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  <c r="AA851" s="127"/>
      <c r="AB851" s="127"/>
      <c r="AC851" s="127"/>
      <c r="AD851" s="129"/>
    </row>
    <row r="852" spans="1:30">
      <c r="A852" s="135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  <c r="AA852" s="127"/>
      <c r="AB852" s="127"/>
      <c r="AC852" s="127"/>
      <c r="AD852" s="129"/>
    </row>
    <row r="853" spans="1:30">
      <c r="A853" s="135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  <c r="AA853" s="127"/>
      <c r="AB853" s="127"/>
      <c r="AC853" s="127"/>
      <c r="AD853" s="129"/>
    </row>
    <row r="854" spans="1:30">
      <c r="A854" s="135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  <c r="AA854" s="127"/>
      <c r="AB854" s="127"/>
      <c r="AC854" s="127"/>
      <c r="AD854" s="129"/>
    </row>
    <row r="855" spans="1:30">
      <c r="A855" s="135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  <c r="AA855" s="127"/>
      <c r="AB855" s="127"/>
      <c r="AC855" s="127"/>
      <c r="AD855" s="129"/>
    </row>
    <row r="856" spans="1:30">
      <c r="A856" s="135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  <c r="AA856" s="127"/>
      <c r="AB856" s="127"/>
      <c r="AC856" s="127"/>
      <c r="AD856" s="129"/>
    </row>
    <row r="857" spans="1:30">
      <c r="A857" s="135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  <c r="AA857" s="127"/>
      <c r="AB857" s="127"/>
      <c r="AC857" s="127"/>
      <c r="AD857" s="129"/>
    </row>
    <row r="858" spans="1:30">
      <c r="A858" s="135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  <c r="AA858" s="127"/>
      <c r="AB858" s="127"/>
      <c r="AC858" s="127"/>
      <c r="AD858" s="129"/>
    </row>
    <row r="859" spans="1:30">
      <c r="A859" s="135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  <c r="AA859" s="127"/>
      <c r="AB859" s="127"/>
      <c r="AC859" s="127"/>
      <c r="AD859" s="129"/>
    </row>
    <row r="860" spans="1:30">
      <c r="A860" s="135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  <c r="AA860" s="127"/>
      <c r="AB860" s="127"/>
      <c r="AC860" s="127"/>
      <c r="AD860" s="129"/>
    </row>
    <row r="861" spans="1:30">
      <c r="A861" s="135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  <c r="AA861" s="127"/>
      <c r="AB861" s="127"/>
      <c r="AC861" s="127"/>
      <c r="AD861" s="129"/>
    </row>
    <row r="862" spans="1:30">
      <c r="A862" s="135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  <c r="AA862" s="127"/>
      <c r="AB862" s="127"/>
      <c r="AC862" s="127"/>
      <c r="AD862" s="129"/>
    </row>
    <row r="863" spans="1:30">
      <c r="A863" s="135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  <c r="AA863" s="127"/>
      <c r="AB863" s="127"/>
      <c r="AC863" s="127"/>
      <c r="AD863" s="129"/>
    </row>
    <row r="864" spans="1:30">
      <c r="A864" s="135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  <c r="AA864" s="127"/>
      <c r="AB864" s="127"/>
      <c r="AC864" s="127"/>
      <c r="AD864" s="129"/>
    </row>
    <row r="865" spans="1:30">
      <c r="A865" s="135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  <c r="AA865" s="127"/>
      <c r="AB865" s="127"/>
      <c r="AC865" s="127"/>
      <c r="AD865" s="129"/>
    </row>
    <row r="866" spans="1:30">
      <c r="A866" s="135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  <c r="AA866" s="127"/>
      <c r="AB866" s="127"/>
      <c r="AC866" s="127"/>
      <c r="AD866" s="129"/>
    </row>
    <row r="867" spans="1:30">
      <c r="A867" s="135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  <c r="AA867" s="127"/>
      <c r="AB867" s="127"/>
      <c r="AC867" s="127"/>
      <c r="AD867" s="129"/>
    </row>
    <row r="868" spans="1:30">
      <c r="A868" s="135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  <c r="AA868" s="127"/>
      <c r="AB868" s="127"/>
      <c r="AC868" s="127"/>
      <c r="AD868" s="129"/>
    </row>
    <row r="869" spans="1:30">
      <c r="A869" s="135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  <c r="AA869" s="127"/>
      <c r="AB869" s="127"/>
      <c r="AC869" s="127"/>
      <c r="AD869" s="129"/>
    </row>
    <row r="870" spans="1:30">
      <c r="A870" s="135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  <c r="AA870" s="127"/>
      <c r="AB870" s="127"/>
      <c r="AC870" s="127"/>
      <c r="AD870" s="129"/>
    </row>
    <row r="871" spans="1:30">
      <c r="A871" s="135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  <c r="AA871" s="127"/>
      <c r="AB871" s="127"/>
      <c r="AC871" s="127"/>
      <c r="AD871" s="129"/>
    </row>
    <row r="872" spans="1:30">
      <c r="A872" s="135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  <c r="AA872" s="127"/>
      <c r="AB872" s="127"/>
      <c r="AC872" s="127"/>
      <c r="AD872" s="129"/>
    </row>
    <row r="873" spans="1:30">
      <c r="A873" s="135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  <c r="AA873" s="127"/>
      <c r="AB873" s="127"/>
      <c r="AC873" s="127"/>
      <c r="AD873" s="129"/>
    </row>
    <row r="874" spans="1:30">
      <c r="A874" s="135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  <c r="AA874" s="127"/>
      <c r="AB874" s="127"/>
      <c r="AC874" s="127"/>
      <c r="AD874" s="129"/>
    </row>
    <row r="875" spans="1:30">
      <c r="A875" s="135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  <c r="AA875" s="127"/>
      <c r="AB875" s="127"/>
      <c r="AC875" s="127"/>
      <c r="AD875" s="129"/>
    </row>
    <row r="876" spans="1:30">
      <c r="A876" s="135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  <c r="AA876" s="127"/>
      <c r="AB876" s="127"/>
      <c r="AC876" s="127"/>
      <c r="AD876" s="129"/>
    </row>
    <row r="877" spans="1:30">
      <c r="A877" s="135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  <c r="AA877" s="127"/>
      <c r="AB877" s="127"/>
      <c r="AC877" s="127"/>
      <c r="AD877" s="129"/>
    </row>
    <row r="878" spans="1:30">
      <c r="A878" s="135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  <c r="AA878" s="127"/>
      <c r="AB878" s="127"/>
      <c r="AC878" s="127"/>
      <c r="AD878" s="129"/>
    </row>
    <row r="879" spans="1:30">
      <c r="A879" s="135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  <c r="AA879" s="127"/>
      <c r="AB879" s="127"/>
      <c r="AC879" s="127"/>
      <c r="AD879" s="129"/>
    </row>
    <row r="880" spans="1:30">
      <c r="A880" s="135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  <c r="AA880" s="127"/>
      <c r="AB880" s="127"/>
      <c r="AC880" s="127"/>
      <c r="AD880" s="129"/>
    </row>
    <row r="881" spans="1:30">
      <c r="A881" s="135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  <c r="AA881" s="127"/>
      <c r="AB881" s="127"/>
      <c r="AC881" s="127"/>
      <c r="AD881" s="129"/>
    </row>
    <row r="882" spans="1:30">
      <c r="A882" s="135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  <c r="AA882" s="127"/>
      <c r="AB882" s="127"/>
      <c r="AC882" s="127"/>
      <c r="AD882" s="129"/>
    </row>
    <row r="883" spans="1:30">
      <c r="A883" s="135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  <c r="AA883" s="127"/>
      <c r="AB883" s="127"/>
      <c r="AC883" s="127"/>
      <c r="AD883" s="129"/>
    </row>
    <row r="884" spans="1:30">
      <c r="A884" s="135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  <c r="AA884" s="127"/>
      <c r="AB884" s="127"/>
      <c r="AC884" s="127"/>
      <c r="AD884" s="129"/>
    </row>
    <row r="885" spans="1:30">
      <c r="A885" s="135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  <c r="AA885" s="127"/>
      <c r="AB885" s="127"/>
      <c r="AC885" s="127"/>
      <c r="AD885" s="129"/>
    </row>
    <row r="886" spans="1:30">
      <c r="A886" s="135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  <c r="AA886" s="127"/>
      <c r="AB886" s="127"/>
      <c r="AC886" s="127"/>
      <c r="AD886" s="129"/>
    </row>
    <row r="887" spans="1:30">
      <c r="A887" s="135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  <c r="AA887" s="127"/>
      <c r="AB887" s="127"/>
      <c r="AC887" s="127"/>
      <c r="AD887" s="129"/>
    </row>
    <row r="888" spans="1:30">
      <c r="A888" s="135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  <c r="AA888" s="127"/>
      <c r="AB888" s="127"/>
      <c r="AC888" s="127"/>
      <c r="AD888" s="129"/>
    </row>
    <row r="889" spans="1:30">
      <c r="A889" s="135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  <c r="AA889" s="127"/>
      <c r="AB889" s="127"/>
      <c r="AC889" s="127"/>
      <c r="AD889" s="129"/>
    </row>
    <row r="890" spans="1:30">
      <c r="A890" s="135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  <c r="AA890" s="127"/>
      <c r="AB890" s="127"/>
      <c r="AC890" s="127"/>
      <c r="AD890" s="129"/>
    </row>
    <row r="891" spans="1:30">
      <c r="A891" s="135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  <c r="AA891" s="127"/>
      <c r="AB891" s="127"/>
      <c r="AC891" s="127"/>
      <c r="AD891" s="129"/>
    </row>
    <row r="892" spans="1:30">
      <c r="A892" s="135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  <c r="AA892" s="127"/>
      <c r="AB892" s="127"/>
      <c r="AC892" s="127"/>
      <c r="AD892" s="129"/>
    </row>
    <row r="893" spans="1:30">
      <c r="A893" s="135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  <c r="AA893" s="127"/>
      <c r="AB893" s="127"/>
      <c r="AC893" s="127"/>
      <c r="AD893" s="129"/>
    </row>
    <row r="894" spans="1:30">
      <c r="A894" s="135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  <c r="AA894" s="127"/>
      <c r="AB894" s="127"/>
      <c r="AC894" s="127"/>
      <c r="AD894" s="129"/>
    </row>
    <row r="895" spans="1:30">
      <c r="A895" s="135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  <c r="AA895" s="127"/>
      <c r="AB895" s="127"/>
      <c r="AC895" s="127"/>
      <c r="AD895" s="129"/>
    </row>
    <row r="896" spans="1:30">
      <c r="A896" s="135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  <c r="AA896" s="127"/>
      <c r="AB896" s="127"/>
      <c r="AC896" s="127"/>
      <c r="AD896" s="129"/>
    </row>
    <row r="897" spans="1:30">
      <c r="A897" s="135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  <c r="AA897" s="127"/>
      <c r="AB897" s="127"/>
      <c r="AC897" s="127"/>
      <c r="AD897" s="129"/>
    </row>
    <row r="898" spans="1:30">
      <c r="A898" s="135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  <c r="AA898" s="127"/>
      <c r="AB898" s="127"/>
      <c r="AC898" s="127"/>
      <c r="AD898" s="129"/>
    </row>
    <row r="899" spans="1:30">
      <c r="A899" s="135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  <c r="AA899" s="127"/>
      <c r="AB899" s="127"/>
      <c r="AC899" s="127"/>
      <c r="AD899" s="129"/>
    </row>
    <row r="900" spans="1:30">
      <c r="A900" s="135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  <c r="AA900" s="127"/>
      <c r="AB900" s="127"/>
      <c r="AC900" s="127"/>
      <c r="AD900" s="129"/>
    </row>
    <row r="901" spans="1:30">
      <c r="A901" s="135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  <c r="AA901" s="127"/>
      <c r="AB901" s="127"/>
      <c r="AC901" s="127"/>
      <c r="AD901" s="129"/>
    </row>
    <row r="902" spans="1:30">
      <c r="A902" s="135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  <c r="AA902" s="127"/>
      <c r="AB902" s="127"/>
      <c r="AC902" s="127"/>
      <c r="AD902" s="129"/>
    </row>
    <row r="903" spans="1:30">
      <c r="A903" s="135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  <c r="AA903" s="127"/>
      <c r="AB903" s="127"/>
      <c r="AC903" s="127"/>
      <c r="AD903" s="129"/>
    </row>
    <row r="904" spans="1:30">
      <c r="A904" s="135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  <c r="AA904" s="127"/>
      <c r="AB904" s="127"/>
      <c r="AC904" s="127"/>
      <c r="AD904" s="129"/>
    </row>
    <row r="905" spans="1:30">
      <c r="A905" s="135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  <c r="AA905" s="127"/>
      <c r="AB905" s="127"/>
      <c r="AC905" s="127"/>
      <c r="AD905" s="129"/>
    </row>
    <row r="906" spans="1:30">
      <c r="A906" s="135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  <c r="AA906" s="127"/>
      <c r="AB906" s="127"/>
      <c r="AC906" s="127"/>
      <c r="AD906" s="129"/>
    </row>
    <row r="907" spans="1:30">
      <c r="A907" s="135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  <c r="AA907" s="127"/>
      <c r="AB907" s="127"/>
      <c r="AC907" s="127"/>
      <c r="AD907" s="129"/>
    </row>
    <row r="908" spans="1:30">
      <c r="A908" s="135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  <c r="AA908" s="127"/>
      <c r="AB908" s="127"/>
      <c r="AC908" s="127"/>
      <c r="AD908" s="129"/>
    </row>
    <row r="909" spans="1:30">
      <c r="A909" s="135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  <c r="AA909" s="127"/>
      <c r="AB909" s="127"/>
      <c r="AC909" s="127"/>
      <c r="AD909" s="129"/>
    </row>
    <row r="910" spans="1:30">
      <c r="A910" s="135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  <c r="AA910" s="127"/>
      <c r="AB910" s="127"/>
      <c r="AC910" s="127"/>
      <c r="AD910" s="129"/>
    </row>
    <row r="911" spans="1:30">
      <c r="A911" s="135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  <c r="AA911" s="127"/>
      <c r="AB911" s="127"/>
      <c r="AC911" s="127"/>
      <c r="AD911" s="129"/>
    </row>
    <row r="912" spans="1:30">
      <c r="A912" s="135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  <c r="AA912" s="127"/>
      <c r="AB912" s="127"/>
      <c r="AC912" s="127"/>
      <c r="AD912" s="129"/>
    </row>
    <row r="913" spans="1:30">
      <c r="A913" s="135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  <c r="AA913" s="127"/>
      <c r="AB913" s="127"/>
      <c r="AC913" s="127"/>
      <c r="AD913" s="129"/>
    </row>
    <row r="914" spans="1:30">
      <c r="A914" s="135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  <c r="AA914" s="127"/>
      <c r="AB914" s="127"/>
      <c r="AC914" s="127"/>
      <c r="AD914" s="129"/>
    </row>
    <row r="915" spans="1:30">
      <c r="A915" s="135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  <c r="AA915" s="127"/>
      <c r="AB915" s="127"/>
      <c r="AC915" s="127"/>
      <c r="AD915" s="129"/>
    </row>
    <row r="916" spans="1:30">
      <c r="A916" s="135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  <c r="AA916" s="127"/>
      <c r="AB916" s="127"/>
      <c r="AC916" s="127"/>
      <c r="AD916" s="129"/>
    </row>
    <row r="917" spans="1:30">
      <c r="A917" s="135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  <c r="AA917" s="127"/>
      <c r="AB917" s="127"/>
      <c r="AC917" s="127"/>
      <c r="AD917" s="129"/>
    </row>
    <row r="918" spans="1:30">
      <c r="A918" s="135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  <c r="AA918" s="127"/>
      <c r="AB918" s="127"/>
      <c r="AC918" s="127"/>
      <c r="AD918" s="129"/>
    </row>
    <row r="919" spans="1:30">
      <c r="A919" s="135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  <c r="AA919" s="127"/>
      <c r="AB919" s="127"/>
      <c r="AC919" s="127"/>
      <c r="AD919" s="129"/>
    </row>
    <row r="920" spans="1:30">
      <c r="A920" s="135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  <c r="AA920" s="127"/>
      <c r="AB920" s="127"/>
      <c r="AC920" s="127"/>
      <c r="AD920" s="129"/>
    </row>
    <row r="921" spans="1:30">
      <c r="A921" s="135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  <c r="AA921" s="127"/>
      <c r="AB921" s="127"/>
      <c r="AC921" s="127"/>
      <c r="AD921" s="129"/>
    </row>
    <row r="922" spans="1:30">
      <c r="A922" s="135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  <c r="AA922" s="127"/>
      <c r="AB922" s="127"/>
      <c r="AC922" s="127"/>
      <c r="AD922" s="129"/>
    </row>
    <row r="923" spans="1:30">
      <c r="A923" s="135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  <c r="AA923" s="127"/>
      <c r="AB923" s="127"/>
      <c r="AC923" s="127"/>
      <c r="AD923" s="129"/>
    </row>
    <row r="924" spans="1:30">
      <c r="A924" s="135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  <c r="AA924" s="127"/>
      <c r="AB924" s="127"/>
      <c r="AC924" s="127"/>
      <c r="AD924" s="129"/>
    </row>
    <row r="925" spans="1:30">
      <c r="A925" s="135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  <c r="AA925" s="127"/>
      <c r="AB925" s="127"/>
      <c r="AC925" s="127"/>
      <c r="AD925" s="129"/>
    </row>
    <row r="926" spans="1:30">
      <c r="A926" s="135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  <c r="AA926" s="127"/>
      <c r="AB926" s="127"/>
      <c r="AC926" s="127"/>
      <c r="AD926" s="129"/>
    </row>
    <row r="927" spans="1:30">
      <c r="A927" s="135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  <c r="AA927" s="127"/>
      <c r="AB927" s="127"/>
      <c r="AC927" s="127"/>
      <c r="AD927" s="129"/>
    </row>
    <row r="928" spans="1:30">
      <c r="A928" s="135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  <c r="AA928" s="127"/>
      <c r="AB928" s="127"/>
      <c r="AC928" s="127"/>
      <c r="AD928" s="129"/>
    </row>
    <row r="929" spans="1:30">
      <c r="A929" s="135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  <c r="AA929" s="127"/>
      <c r="AB929" s="127"/>
      <c r="AC929" s="127"/>
      <c r="AD929" s="129"/>
    </row>
    <row r="930" spans="1:30">
      <c r="A930" s="135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  <c r="AA930" s="127"/>
      <c r="AB930" s="127"/>
      <c r="AC930" s="127"/>
      <c r="AD930" s="129"/>
    </row>
    <row r="931" spans="1:30">
      <c r="A931" s="135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  <c r="AA931" s="127"/>
      <c r="AB931" s="127"/>
      <c r="AC931" s="127"/>
      <c r="AD931" s="129"/>
    </row>
    <row r="932" spans="1:30">
      <c r="A932" s="135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  <c r="AA932" s="127"/>
      <c r="AB932" s="127"/>
      <c r="AC932" s="127"/>
      <c r="AD932" s="129"/>
    </row>
    <row r="933" spans="1:30">
      <c r="A933" s="135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  <c r="AA933" s="127"/>
      <c r="AB933" s="127"/>
      <c r="AC933" s="127"/>
      <c r="AD933" s="129"/>
    </row>
    <row r="934" spans="1:30">
      <c r="A934" s="135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  <c r="AA934" s="127"/>
      <c r="AB934" s="127"/>
      <c r="AC934" s="127"/>
      <c r="AD934" s="129"/>
    </row>
    <row r="935" spans="1:30">
      <c r="A935" s="135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  <c r="AA935" s="127"/>
      <c r="AB935" s="127"/>
      <c r="AC935" s="127"/>
      <c r="AD935" s="129"/>
    </row>
    <row r="936" spans="1:30">
      <c r="A936" s="135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  <c r="AA936" s="127"/>
      <c r="AB936" s="127"/>
      <c r="AC936" s="127"/>
      <c r="AD936" s="129"/>
    </row>
    <row r="937" spans="1:30">
      <c r="A937" s="135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  <c r="AA937" s="127"/>
      <c r="AB937" s="127"/>
      <c r="AC937" s="127"/>
      <c r="AD937" s="129"/>
    </row>
    <row r="938" spans="1:30">
      <c r="A938" s="135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  <c r="AA938" s="127"/>
      <c r="AB938" s="127"/>
      <c r="AC938" s="127"/>
      <c r="AD938" s="129"/>
    </row>
    <row r="939" spans="1:30">
      <c r="A939" s="135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  <c r="AA939" s="127"/>
      <c r="AB939" s="127"/>
      <c r="AC939" s="127"/>
      <c r="AD939" s="129"/>
    </row>
    <row r="940" spans="1:30">
      <c r="A940" s="135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  <c r="AA940" s="127"/>
      <c r="AB940" s="127"/>
      <c r="AC940" s="127"/>
      <c r="AD940" s="129"/>
    </row>
    <row r="941" spans="1:30">
      <c r="A941" s="135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  <c r="AA941" s="127"/>
      <c r="AB941" s="127"/>
      <c r="AC941" s="127"/>
      <c r="AD941" s="129"/>
    </row>
    <row r="942" spans="1:30">
      <c r="A942" s="135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  <c r="AA942" s="127"/>
      <c r="AB942" s="127"/>
      <c r="AC942" s="127"/>
      <c r="AD942" s="129"/>
    </row>
    <row r="943" spans="1:30">
      <c r="A943" s="135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  <c r="AA943" s="127"/>
      <c r="AB943" s="127"/>
      <c r="AC943" s="127"/>
      <c r="AD943" s="129"/>
    </row>
    <row r="944" spans="1:30">
      <c r="A944" s="135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  <c r="AA944" s="127"/>
      <c r="AB944" s="127"/>
      <c r="AC944" s="127"/>
      <c r="AD944" s="129"/>
    </row>
    <row r="945" spans="1:30">
      <c r="A945" s="135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  <c r="AA945" s="127"/>
      <c r="AB945" s="127"/>
      <c r="AC945" s="127"/>
      <c r="AD945" s="129"/>
    </row>
    <row r="946" spans="1:30">
      <c r="A946" s="135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  <c r="AA946" s="127"/>
      <c r="AB946" s="127"/>
      <c r="AC946" s="127"/>
      <c r="AD946" s="129"/>
    </row>
    <row r="947" spans="1:30">
      <c r="A947" s="135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  <c r="AA947" s="127"/>
      <c r="AB947" s="127"/>
      <c r="AC947" s="127"/>
      <c r="AD947" s="129"/>
    </row>
    <row r="948" spans="1:30">
      <c r="A948" s="135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  <c r="AA948" s="127"/>
      <c r="AB948" s="127"/>
      <c r="AC948" s="127"/>
      <c r="AD948" s="129"/>
    </row>
    <row r="949" spans="1:30">
      <c r="A949" s="135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  <c r="AA949" s="127"/>
      <c r="AB949" s="127"/>
      <c r="AC949" s="127"/>
      <c r="AD949" s="129"/>
    </row>
    <row r="950" spans="1:30">
      <c r="A950" s="135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  <c r="AA950" s="127"/>
      <c r="AB950" s="127"/>
      <c r="AC950" s="127"/>
      <c r="AD950" s="129"/>
    </row>
    <row r="951" spans="1:30">
      <c r="A951" s="135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  <c r="AA951" s="127"/>
      <c r="AB951" s="127"/>
      <c r="AC951" s="127"/>
      <c r="AD951" s="129"/>
    </row>
    <row r="952" spans="1:30">
      <c r="A952" s="135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  <c r="AA952" s="127"/>
      <c r="AB952" s="127"/>
      <c r="AC952" s="127"/>
      <c r="AD952" s="129"/>
    </row>
    <row r="953" spans="1:30">
      <c r="A953" s="135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  <c r="AA953" s="127"/>
      <c r="AB953" s="127"/>
      <c r="AC953" s="127"/>
      <c r="AD953" s="129"/>
    </row>
    <row r="954" spans="1:30">
      <c r="A954" s="135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  <c r="AA954" s="127"/>
      <c r="AB954" s="127"/>
      <c r="AC954" s="127"/>
      <c r="AD954" s="129"/>
    </row>
    <row r="955" spans="1:30">
      <c r="A955" s="135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  <c r="AA955" s="127"/>
      <c r="AB955" s="127"/>
      <c r="AC955" s="127"/>
      <c r="AD955" s="129"/>
    </row>
    <row r="956" spans="1:30">
      <c r="A956" s="135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  <c r="AA956" s="127"/>
      <c r="AB956" s="127"/>
      <c r="AC956" s="127"/>
      <c r="AD956" s="129"/>
    </row>
    <row r="957" spans="1:30">
      <c r="A957" s="135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  <c r="AA957" s="127"/>
      <c r="AB957" s="127"/>
      <c r="AC957" s="127"/>
      <c r="AD957" s="129"/>
    </row>
    <row r="958" spans="1:30">
      <c r="A958" s="135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  <c r="AA958" s="127"/>
      <c r="AB958" s="127"/>
      <c r="AC958" s="127"/>
      <c r="AD958" s="129"/>
    </row>
    <row r="959" spans="1:30">
      <c r="A959" s="135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  <c r="AA959" s="127"/>
      <c r="AB959" s="127"/>
      <c r="AC959" s="127"/>
      <c r="AD959" s="129"/>
    </row>
    <row r="960" spans="1:30">
      <c r="A960" s="135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  <c r="AA960" s="127"/>
      <c r="AB960" s="127"/>
      <c r="AC960" s="127"/>
      <c r="AD960" s="129"/>
    </row>
    <row r="961" spans="1:30">
      <c r="A961" s="135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  <c r="AA961" s="127"/>
      <c r="AB961" s="127"/>
      <c r="AC961" s="127"/>
      <c r="AD961" s="129"/>
    </row>
    <row r="962" spans="1:30">
      <c r="A962" s="135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  <c r="AA962" s="127"/>
      <c r="AB962" s="127"/>
      <c r="AC962" s="127"/>
      <c r="AD962" s="129"/>
    </row>
    <row r="963" spans="1:30">
      <c r="A963" s="135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  <c r="AA963" s="127"/>
      <c r="AB963" s="127"/>
      <c r="AC963" s="127"/>
      <c r="AD963" s="129"/>
    </row>
    <row r="964" spans="1:30">
      <c r="A964" s="135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  <c r="AA964" s="127"/>
      <c r="AB964" s="127"/>
      <c r="AC964" s="127"/>
      <c r="AD964" s="129"/>
    </row>
    <row r="965" spans="1:30">
      <c r="A965" s="135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  <c r="AA965" s="127"/>
      <c r="AB965" s="127"/>
      <c r="AC965" s="127"/>
      <c r="AD965" s="129"/>
    </row>
    <row r="966" spans="1:30">
      <c r="A966" s="135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  <c r="AA966" s="127"/>
      <c r="AB966" s="127"/>
      <c r="AC966" s="127"/>
      <c r="AD966" s="129"/>
    </row>
    <row r="967" spans="1:30">
      <c r="A967" s="135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  <c r="AA967" s="127"/>
      <c r="AB967" s="127"/>
      <c r="AC967" s="127"/>
      <c r="AD967" s="129"/>
    </row>
    <row r="968" spans="1:30">
      <c r="A968" s="135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  <c r="AA968" s="127"/>
      <c r="AB968" s="127"/>
      <c r="AC968" s="127"/>
      <c r="AD968" s="129"/>
    </row>
    <row r="969" spans="1:30">
      <c r="A969" s="135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  <c r="AA969" s="127"/>
      <c r="AB969" s="127"/>
      <c r="AC969" s="127"/>
      <c r="AD969" s="129"/>
    </row>
    <row r="970" spans="1:30">
      <c r="A970" s="135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  <c r="AA970" s="127"/>
      <c r="AB970" s="127"/>
      <c r="AC970" s="127"/>
      <c r="AD970" s="129"/>
    </row>
    <row r="971" spans="1:30">
      <c r="A971" s="135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  <c r="AA971" s="127"/>
      <c r="AB971" s="127"/>
      <c r="AC971" s="127"/>
      <c r="AD971" s="129"/>
    </row>
    <row r="972" spans="1:30">
      <c r="A972" s="135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  <c r="AA972" s="127"/>
      <c r="AB972" s="127"/>
      <c r="AC972" s="127"/>
      <c r="AD972" s="129"/>
    </row>
    <row r="973" spans="1:30">
      <c r="A973" s="135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  <c r="AA973" s="127"/>
      <c r="AB973" s="127"/>
      <c r="AC973" s="127"/>
      <c r="AD973" s="129"/>
    </row>
    <row r="974" spans="1:30">
      <c r="A974" s="135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  <c r="AA974" s="127"/>
      <c r="AB974" s="127"/>
      <c r="AC974" s="127"/>
      <c r="AD974" s="129"/>
    </row>
    <row r="975" spans="1:30">
      <c r="A975" s="135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  <c r="AA975" s="127"/>
      <c r="AB975" s="127"/>
      <c r="AC975" s="127"/>
      <c r="AD975" s="129"/>
    </row>
    <row r="976" spans="1:30">
      <c r="A976" s="135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  <c r="AA976" s="127"/>
      <c r="AB976" s="127"/>
      <c r="AC976" s="127"/>
      <c r="AD976" s="129"/>
    </row>
    <row r="977" spans="1:30">
      <c r="A977" s="135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  <c r="AA977" s="127"/>
      <c r="AB977" s="127"/>
      <c r="AC977" s="127"/>
      <c r="AD977" s="129"/>
    </row>
    <row r="978" spans="1:30">
      <c r="A978" s="135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  <c r="AA978" s="127"/>
      <c r="AB978" s="127"/>
      <c r="AC978" s="127"/>
      <c r="AD978" s="129"/>
    </row>
    <row r="979" spans="1:30">
      <c r="A979" s="135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  <c r="AA979" s="127"/>
      <c r="AB979" s="127"/>
      <c r="AC979" s="127"/>
      <c r="AD979" s="129"/>
    </row>
    <row r="980" spans="1:30">
      <c r="A980" s="135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  <c r="AA980" s="127"/>
      <c r="AB980" s="127"/>
      <c r="AC980" s="127"/>
      <c r="AD980" s="129"/>
    </row>
    <row r="981" spans="1:30">
      <c r="A981" s="135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  <c r="AA981" s="127"/>
      <c r="AB981" s="127"/>
      <c r="AC981" s="127"/>
      <c r="AD981" s="129"/>
    </row>
    <row r="982" spans="1:30">
      <c r="A982" s="135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  <c r="AA982" s="127"/>
      <c r="AB982" s="127"/>
      <c r="AC982" s="127"/>
      <c r="AD982" s="129"/>
    </row>
    <row r="983" spans="1:30">
      <c r="A983" s="135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  <c r="AA983" s="127"/>
      <c r="AB983" s="127"/>
      <c r="AC983" s="127"/>
      <c r="AD983" s="129"/>
    </row>
    <row r="984" spans="1:30">
      <c r="A984" s="135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  <c r="AA984" s="127"/>
      <c r="AB984" s="127"/>
      <c r="AC984" s="127"/>
      <c r="AD984" s="129"/>
    </row>
    <row r="985" spans="1:30">
      <c r="A985" s="135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  <c r="AA985" s="127"/>
      <c r="AB985" s="127"/>
      <c r="AC985" s="127"/>
      <c r="AD985" s="129"/>
    </row>
    <row r="986" spans="1:30">
      <c r="A986" s="135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  <c r="AA986" s="127"/>
      <c r="AB986" s="127"/>
      <c r="AC986" s="127"/>
      <c r="AD986" s="129"/>
    </row>
    <row r="987" spans="1:30">
      <c r="A987" s="135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  <c r="AA987" s="127"/>
      <c r="AB987" s="127"/>
      <c r="AC987" s="127"/>
      <c r="AD987" s="129"/>
    </row>
    <row r="988" spans="1:30">
      <c r="A988" s="135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  <c r="AA988" s="127"/>
      <c r="AB988" s="127"/>
      <c r="AC988" s="127"/>
      <c r="AD988" s="129"/>
    </row>
    <row r="989" spans="1:30">
      <c r="A989" s="135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  <c r="AA989" s="127"/>
      <c r="AB989" s="127"/>
      <c r="AC989" s="127"/>
      <c r="AD989" s="129"/>
    </row>
    <row r="990" spans="1:30">
      <c r="A990" s="135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  <c r="AA990" s="127"/>
      <c r="AB990" s="127"/>
      <c r="AC990" s="127"/>
      <c r="AD990" s="129"/>
    </row>
    <row r="991" spans="1:30">
      <c r="A991" s="135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  <c r="AA991" s="127"/>
      <c r="AB991" s="127"/>
      <c r="AC991" s="127"/>
      <c r="AD991" s="129"/>
    </row>
    <row r="992" spans="1:30">
      <c r="A992" s="135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  <c r="AA992" s="127"/>
      <c r="AB992" s="127"/>
      <c r="AC992" s="127"/>
      <c r="AD992" s="129"/>
    </row>
    <row r="993" spans="1:30">
      <c r="A993" s="135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  <c r="AA993" s="127"/>
      <c r="AB993" s="127"/>
      <c r="AC993" s="127"/>
      <c r="AD993" s="129"/>
    </row>
    <row r="994" spans="1:30">
      <c r="A994" s="135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  <c r="AA994" s="127"/>
      <c r="AB994" s="127"/>
      <c r="AC994" s="127"/>
      <c r="AD994" s="129"/>
    </row>
    <row r="995" spans="1:30">
      <c r="A995" s="135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  <c r="AA995" s="127"/>
      <c r="AB995" s="127"/>
      <c r="AC995" s="127"/>
      <c r="AD995" s="129"/>
    </row>
    <row r="996" spans="1:30">
      <c r="A996" s="135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  <c r="AA996" s="127"/>
      <c r="AB996" s="127"/>
      <c r="AC996" s="127"/>
      <c r="AD996" s="129"/>
    </row>
    <row r="997" spans="1:30">
      <c r="A997" s="135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  <c r="AA997" s="127"/>
      <c r="AB997" s="127"/>
      <c r="AC997" s="127"/>
      <c r="AD997" s="129"/>
    </row>
    <row r="998" spans="1:30">
      <c r="A998" s="135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  <c r="AA998" s="127"/>
      <c r="AB998" s="127"/>
      <c r="AC998" s="127"/>
      <c r="AD998" s="129"/>
    </row>
    <row r="999" spans="1:30">
      <c r="A999" s="135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  <c r="AA999" s="127"/>
      <c r="AB999" s="127"/>
      <c r="AC999" s="127"/>
      <c r="AD999" s="129"/>
    </row>
    <row r="1000" spans="1:30">
      <c r="A1000" s="135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  <c r="AA1000" s="127"/>
      <c r="AB1000" s="127"/>
      <c r="AC1000" s="127"/>
      <c r="AD1000" s="129"/>
    </row>
    <row r="1001" spans="1:30">
      <c r="A1001" s="135"/>
      <c r="B1001" s="127"/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  <c r="O1001" s="127"/>
      <c r="P1001" s="127"/>
      <c r="Q1001" s="127"/>
      <c r="R1001" s="127"/>
      <c r="S1001" s="127"/>
      <c r="T1001" s="127"/>
      <c r="U1001" s="127"/>
      <c r="V1001" s="127"/>
      <c r="W1001" s="127"/>
      <c r="X1001" s="127"/>
      <c r="Y1001" s="127"/>
      <c r="Z1001" s="127"/>
      <c r="AA1001" s="127"/>
      <c r="AB1001" s="127"/>
      <c r="AC1001" s="127"/>
      <c r="AD1001" s="129"/>
    </row>
    <row r="1002" spans="1:30">
      <c r="A1002" s="135"/>
      <c r="B1002" s="127"/>
      <c r="C1002" s="127"/>
      <c r="D1002" s="127"/>
      <c r="E1002" s="127"/>
      <c r="F1002" s="127"/>
      <c r="G1002" s="127"/>
      <c r="H1002" s="127"/>
      <c r="I1002" s="127"/>
      <c r="J1002" s="127"/>
      <c r="K1002" s="127"/>
      <c r="L1002" s="127"/>
      <c r="M1002" s="127"/>
      <c r="N1002" s="127"/>
      <c r="O1002" s="127"/>
      <c r="P1002" s="127"/>
      <c r="Q1002" s="127"/>
      <c r="R1002" s="127"/>
      <c r="S1002" s="127"/>
      <c r="T1002" s="127"/>
      <c r="U1002" s="127"/>
      <c r="V1002" s="127"/>
      <c r="W1002" s="127"/>
      <c r="X1002" s="127"/>
      <c r="Y1002" s="127"/>
      <c r="Z1002" s="127"/>
      <c r="AA1002" s="127"/>
      <c r="AB1002" s="127"/>
      <c r="AC1002" s="127"/>
      <c r="AD1002" s="129"/>
    </row>
    <row r="1003" spans="1:30">
      <c r="A1003" s="135"/>
      <c r="B1003" s="127"/>
      <c r="C1003" s="127"/>
      <c r="D1003" s="127"/>
      <c r="E1003" s="127"/>
      <c r="F1003" s="127"/>
      <c r="G1003" s="127"/>
      <c r="H1003" s="127"/>
      <c r="I1003" s="127"/>
      <c r="J1003" s="127"/>
      <c r="K1003" s="127"/>
      <c r="L1003" s="127"/>
      <c r="M1003" s="127"/>
      <c r="N1003" s="127"/>
      <c r="O1003" s="127"/>
      <c r="P1003" s="127"/>
      <c r="Q1003" s="127"/>
      <c r="R1003" s="127"/>
      <c r="S1003" s="127"/>
      <c r="T1003" s="127"/>
      <c r="U1003" s="127"/>
      <c r="V1003" s="127"/>
      <c r="W1003" s="127"/>
      <c r="X1003" s="127"/>
      <c r="Y1003" s="127"/>
      <c r="Z1003" s="127"/>
      <c r="AA1003" s="127"/>
      <c r="AB1003" s="127"/>
      <c r="AC1003" s="127"/>
      <c r="AD1003" s="129"/>
    </row>
    <row r="1004" spans="1:30">
      <c r="A1004" s="135"/>
      <c r="B1004" s="127"/>
      <c r="C1004" s="127"/>
      <c r="D1004" s="127"/>
      <c r="E1004" s="127"/>
      <c r="F1004" s="127"/>
      <c r="G1004" s="127"/>
      <c r="H1004" s="127"/>
      <c r="I1004" s="127"/>
      <c r="J1004" s="127"/>
      <c r="K1004" s="127"/>
      <c r="L1004" s="127"/>
      <c r="M1004" s="127"/>
      <c r="N1004" s="127"/>
      <c r="O1004" s="127"/>
      <c r="P1004" s="127"/>
      <c r="Q1004" s="127"/>
      <c r="R1004" s="127"/>
      <c r="S1004" s="127"/>
      <c r="T1004" s="127"/>
      <c r="U1004" s="127"/>
      <c r="V1004" s="127"/>
      <c r="W1004" s="127"/>
      <c r="X1004" s="127"/>
      <c r="Y1004" s="127"/>
      <c r="Z1004" s="127"/>
      <c r="AA1004" s="127"/>
      <c r="AB1004" s="127"/>
      <c r="AC1004" s="127"/>
      <c r="AD1004" s="129"/>
    </row>
    <row r="1005" spans="1:30">
      <c r="A1005" s="135"/>
      <c r="B1005" s="127"/>
      <c r="C1005" s="127"/>
      <c r="D1005" s="127"/>
      <c r="E1005" s="127"/>
      <c r="F1005" s="127"/>
      <c r="G1005" s="127"/>
      <c r="H1005" s="127"/>
      <c r="I1005" s="127"/>
      <c r="J1005" s="127"/>
      <c r="K1005" s="127"/>
      <c r="L1005" s="127"/>
      <c r="M1005" s="127"/>
      <c r="N1005" s="127"/>
      <c r="O1005" s="127"/>
      <c r="P1005" s="127"/>
      <c r="Q1005" s="127"/>
      <c r="R1005" s="127"/>
      <c r="S1005" s="127"/>
      <c r="T1005" s="127"/>
      <c r="U1005" s="127"/>
      <c r="V1005" s="127"/>
      <c r="W1005" s="127"/>
      <c r="X1005" s="127"/>
      <c r="Y1005" s="127"/>
      <c r="Z1005" s="127"/>
      <c r="AA1005" s="127"/>
      <c r="AB1005" s="127"/>
      <c r="AC1005" s="127"/>
      <c r="AD1005" s="129"/>
    </row>
    <row r="1006" spans="1:30">
      <c r="A1006" s="135"/>
      <c r="B1006" s="127"/>
      <c r="C1006" s="127"/>
      <c r="D1006" s="127"/>
      <c r="E1006" s="127"/>
      <c r="F1006" s="127"/>
      <c r="G1006" s="127"/>
      <c r="H1006" s="127"/>
      <c r="I1006" s="127"/>
      <c r="J1006" s="127"/>
      <c r="K1006" s="127"/>
      <c r="L1006" s="127"/>
      <c r="M1006" s="127"/>
      <c r="N1006" s="127"/>
      <c r="O1006" s="127"/>
      <c r="P1006" s="127"/>
      <c r="Q1006" s="127"/>
      <c r="R1006" s="127"/>
      <c r="S1006" s="127"/>
      <c r="T1006" s="127"/>
      <c r="U1006" s="127"/>
      <c r="V1006" s="127"/>
      <c r="W1006" s="127"/>
      <c r="X1006" s="127"/>
      <c r="Y1006" s="127"/>
      <c r="Z1006" s="127"/>
      <c r="AA1006" s="127"/>
      <c r="AB1006" s="127"/>
      <c r="AC1006" s="127"/>
      <c r="AD1006" s="129"/>
    </row>
    <row r="1007" spans="1:30">
      <c r="A1007" s="135"/>
      <c r="B1007" s="127"/>
      <c r="C1007" s="127"/>
      <c r="D1007" s="127"/>
      <c r="E1007" s="127"/>
      <c r="F1007" s="127"/>
      <c r="G1007" s="127"/>
      <c r="H1007" s="127"/>
      <c r="I1007" s="127"/>
      <c r="J1007" s="127"/>
      <c r="K1007" s="127"/>
      <c r="L1007" s="127"/>
      <c r="M1007" s="127"/>
      <c r="N1007" s="127"/>
      <c r="O1007" s="127"/>
      <c r="P1007" s="127"/>
      <c r="Q1007" s="127"/>
      <c r="R1007" s="127"/>
      <c r="S1007" s="127"/>
      <c r="T1007" s="127"/>
      <c r="U1007" s="127"/>
      <c r="V1007" s="127"/>
      <c r="W1007" s="127"/>
      <c r="X1007" s="127"/>
      <c r="Y1007" s="127"/>
      <c r="Z1007" s="127"/>
      <c r="AA1007" s="127"/>
      <c r="AB1007" s="127"/>
      <c r="AC1007" s="127"/>
      <c r="AD1007" s="129"/>
    </row>
    <row r="1008" spans="1:30">
      <c r="A1008" s="135"/>
      <c r="B1008" s="127"/>
      <c r="C1008" s="127"/>
      <c r="D1008" s="127"/>
      <c r="E1008" s="127"/>
      <c r="F1008" s="127"/>
      <c r="G1008" s="127"/>
      <c r="H1008" s="127"/>
      <c r="I1008" s="127"/>
      <c r="J1008" s="127"/>
      <c r="K1008" s="127"/>
      <c r="L1008" s="127"/>
      <c r="M1008" s="127"/>
      <c r="N1008" s="127"/>
      <c r="O1008" s="127"/>
      <c r="P1008" s="127"/>
      <c r="Q1008" s="127"/>
      <c r="R1008" s="127"/>
      <c r="S1008" s="127"/>
      <c r="T1008" s="127"/>
      <c r="U1008" s="127"/>
      <c r="V1008" s="127"/>
      <c r="W1008" s="127"/>
      <c r="X1008" s="127"/>
      <c r="Y1008" s="127"/>
      <c r="Z1008" s="127"/>
      <c r="AA1008" s="127"/>
      <c r="AB1008" s="127"/>
      <c r="AC1008" s="127"/>
      <c r="AD1008" s="129"/>
    </row>
    <row r="1009" spans="1:30">
      <c r="A1009" s="135"/>
      <c r="B1009" s="127"/>
      <c r="C1009" s="127"/>
      <c r="D1009" s="127"/>
      <c r="E1009" s="127"/>
      <c r="F1009" s="127"/>
      <c r="G1009" s="127"/>
      <c r="H1009" s="127"/>
      <c r="I1009" s="127"/>
      <c r="J1009" s="127"/>
      <c r="K1009" s="127"/>
      <c r="L1009" s="127"/>
      <c r="M1009" s="127"/>
      <c r="N1009" s="127"/>
      <c r="O1009" s="127"/>
      <c r="P1009" s="127"/>
      <c r="Q1009" s="127"/>
      <c r="R1009" s="127"/>
      <c r="S1009" s="127"/>
      <c r="T1009" s="127"/>
      <c r="U1009" s="127"/>
      <c r="V1009" s="127"/>
      <c r="W1009" s="127"/>
      <c r="X1009" s="127"/>
      <c r="Y1009" s="127"/>
      <c r="Z1009" s="127"/>
      <c r="AA1009" s="127"/>
      <c r="AB1009" s="127"/>
      <c r="AC1009" s="127"/>
      <c r="AD1009" s="129"/>
    </row>
    <row r="1010" spans="1:30">
      <c r="A1010" s="136"/>
      <c r="B1010" s="137"/>
      <c r="C1010" s="137"/>
      <c r="D1010" s="137"/>
      <c r="E1010" s="137"/>
      <c r="F1010" s="137"/>
      <c r="G1010" s="137"/>
      <c r="H1010" s="137"/>
      <c r="I1010" s="137"/>
      <c r="J1010" s="137"/>
      <c r="K1010" s="137"/>
      <c r="L1010" s="137"/>
      <c r="M1010" s="137"/>
      <c r="N1010" s="137"/>
      <c r="O1010" s="137"/>
      <c r="P1010" s="137"/>
      <c r="Q1010" s="137"/>
      <c r="R1010" s="137"/>
      <c r="S1010" s="137"/>
      <c r="T1010" s="137"/>
      <c r="U1010" s="137"/>
      <c r="V1010" s="137"/>
      <c r="W1010" s="137"/>
      <c r="X1010" s="137"/>
      <c r="Y1010" s="137"/>
      <c r="Z1010" s="137"/>
      <c r="AA1010" s="137"/>
      <c r="AB1010" s="137"/>
      <c r="AC1010" s="137"/>
      <c r="AD1010" s="131"/>
    </row>
  </sheetData>
  <mergeCells count="12">
    <mergeCell ref="E1:G1"/>
    <mergeCell ref="H1:H2"/>
    <mergeCell ref="B24:B25"/>
    <mergeCell ref="A1:A2"/>
    <mergeCell ref="B1:B2"/>
    <mergeCell ref="C1:C2"/>
    <mergeCell ref="D1:D2"/>
    <mergeCell ref="A5:A7"/>
    <mergeCell ref="A9:A10"/>
    <mergeCell ref="A11:A15"/>
    <mergeCell ref="A16:A22"/>
    <mergeCell ref="A24:A25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Recruitment</vt:lpstr>
      <vt:lpstr>Dropdown</vt:lpstr>
      <vt:lpstr>Recruitment Funnel</vt:lpstr>
      <vt:lpstr>Cost Per Hire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Lapat Jitwongwai (Jitwongwai Lapat)</cp:lastModifiedBy>
  <cp:revision/>
  <dcterms:created xsi:type="dcterms:W3CDTF">2026-02-03T04:52:40Z</dcterms:created>
  <dcterms:modified xsi:type="dcterms:W3CDTF">2026-08-03T08:06:14Z</dcterms:modified>
  <cp:category/>
  <cp:contentStatus/>
</cp:coreProperties>
</file>