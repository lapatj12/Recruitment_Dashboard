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82" documentId="13_ncr:1_{AD74628D-BE06-4FC1-BE04-2187DD70E9AC}" xr6:coauthVersionLast="47" xr6:coauthVersionMax="47" xr10:uidLastSave="{96B4DF22-44EA-4328-AC9C-13F6A78B8555}"/>
  <bookViews>
    <workbookView xWindow="-108" yWindow="-108" windowWidth="23256" windowHeight="12456" activeTab="1" xr2:uid="{00000000-000D-0000-FFFF-FFFF00000000}"/>
  </bookViews>
  <sheets>
    <sheet name="Sheet1" sheetId="1" r:id="rId1"/>
    <sheet name="Satisfaction Scores Rate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<sst xmlns="http://schemas.openxmlformats.org/spreadsheetml/2006/main" count="90" uniqueCount="81">
  <si>
    <t>Id</t>
  </si>
  <si>
    <t>Start time</t>
  </si>
  <si>
    <t>Completion time</t>
  </si>
  <si>
    <t>Email</t>
  </si>
  <si>
    <t>Name</t>
  </si>
  <si>
    <t>ตำแหน่งที่สรรหา</t>
  </si>
  <si>
    <t>ด้านคุณภาพการสรรหา (โดย 1 หมายถึงไม่เห็นด้วย และ 4 เห็นด้วยมากที่สุด).2.1 ผู้สมัครที่ส่งให้พิจารณา มีคุณสมบัติตรงตามความต้องการ</t>
  </si>
  <si>
    <t>ด้านคุณภาพการสรรหา (โดย 1 หมายถึงไม่เห็นด้วย และ 4 เห็นด้วยมากที่สุด).2.2 ระยะเวลาในการสรรหาผู้สมัครเหมาะสม</t>
  </si>
  <si>
    <t>ด้านการบริการ (โดย 1 หมายถึงไม่เห็นด้วย และ 4 เห็นด้วยมากที่สุด).3.1 เจ้าหน้าที่สรรหาตอบสนองและแก้ไขต่อข้อเสนอแนะที่ได้รับเพื่อพัฒนาคุณภาพการสรรหา</t>
  </si>
  <si>
    <t>ด้านการบริการ (โดย 1 หมายถึงไม่เห็นด้วย และ 4 เห็นด้วยมากที่สุด).3.2 เจ้าหนาที่สรรหาติดตามและแจ้งสถานะการสรรหาอย่างสม่ำเสมอ</t>
  </si>
  <si>
    <t>เรื่องที่พี่ๆแนะนำให้ปรับปรุงเพื่อพัฒนาคุณภาพการสรรหาให้ดีขึ้น</t>
  </si>
  <si>
    <t>pongpat.d@kubota.com</t>
  </si>
  <si>
    <t>Pongpat Dontreesanoa</t>
  </si>
  <si>
    <t>Legal and Compliance</t>
  </si>
  <si>
    <t>น้องพนักงานสรรหามีความกระตือรือร้นสูง มีทักษะวิเคราะห์บุคคลหน้างานได้ดี มีการสื่อสารความคืบหน้าโดยตลอด</t>
  </si>
  <si>
    <t>อยากให้มีการประชาสัมพันธ์ตำแหน่งงานและข้อมูลองค์กรมากขึ้น เพื่อเป็นที่สนใจให้บุคคลภายนอก มาสมัครงานเยอะๆกว่านี้ จะได้มีตัวเลือกผู้สมัครงานเพิ่มขึ้น ยกตัวอย่างเช่น ปตท. Google Thailand เป็นต้น</t>
  </si>
  <si>
    <t>nataya.k@kubota.com</t>
  </si>
  <si>
    <t>Nataya Kittiwatanachot</t>
  </si>
  <si>
    <t>System Analyst</t>
  </si>
  <si>
    <t>ทีมงานส่งข้อมูลผู้สมัครมาให้เลือกตลอดๆและคอยทักมาอัปเดตเกี่ยวกับน้องๆผู้สมัครเสมอ</t>
  </si>
  <si>
    <t>อยากให้มีอัปเดตว่าลงประกาศไว้ทางช่องทางไหนบ้าง ลงเมื่อไหร่จะได้เข้าไปตรวจสอบได้ค่ะ</t>
  </si>
  <si>
    <t>jitree.k@kubota.com</t>
  </si>
  <si>
    <t>Jitree Kasemchainan</t>
  </si>
  <si>
    <t>Business System Analyst</t>
  </si>
  <si>
    <t>มีการแจ้งสถานะการสรรหา ทำให้ทราบความคืบหน้า</t>
  </si>
  <si>
    <t>แจ้งสถานะการสรรหาเป็นระยะๆ ตั้งแต่ที่ HR ได้รับเอกสารขอคนจากหน่วยงานจนจบกระบวนการ</t>
  </si>
  <si>
    <t>sasina.si@kubota.com</t>
  </si>
  <si>
    <t>Sasina Singngarm</t>
  </si>
  <si>
    <t>Credit Analyst</t>
  </si>
  <si>
    <t>น้องฟาง Support ดีมากกมากกก หาน้องมาให้สัมภาษณ์เรื่อยๆ เมื่อน้องสัมภาษณ์ไม่ผ่านก้จะรีบหารายถัดๆไปตลอดเลย</t>
  </si>
  <si>
    <t>ไม่มีจ้า</t>
  </si>
  <si>
    <t>romrawin.c@kubota.com</t>
  </si>
  <si>
    <t>Romrawin Chayalak</t>
  </si>
  <si>
    <t>ทีม HR มีความเข้าใจ requirement ของคุณสมบัติของพนักงานใหม่ที่ทีมต้องการ โดยมีความพยายามอย่างต่อเนื่องและตั้งใจสรรหาจนได้ candidate ตามคุณสมบัติที่ทีมกำหนด</t>
  </si>
  <si>
    <t>-</t>
  </si>
  <si>
    <t>nattine.l@kubota.com</t>
  </si>
  <si>
    <t>Nattine Laprattanavibul</t>
  </si>
  <si>
    <t>การสรรหา candidates ที่มี persona ตรงกับสเปกของหน่วยงานได้มากขึ้น</t>
  </si>
  <si>
    <t>การสรรหาจากมหาลัยชั้นนำ</t>
  </si>
  <si>
    <t>kampon.c@kubota.com</t>
  </si>
  <si>
    <t>Kampon Chanpinit</t>
  </si>
  <si>
    <t>Parts Supply Planning &amp; Management</t>
  </si>
  <si>
    <t xml:space="preserve">ครั้งนี้คัดเลือกคนมาสอบสัมภาษณ์ได้ดีมาก ตรงกับความต้องการของหน่วยงาน และการที่ได้บอกถึงลักษณะงานที่รับสมัครให้กับผู้เข้าสัมภาษณ์อย่างละเอียดก่อน เป็นสิ่งที่ได้เพราะผู้สัมภาษณ์จะได้พิจารณาตัดสินใจว่าตรงกับความต้องการของเค้าหรือไม่ที่อยากจะทำงานในตำแหน่งที่เราเชิญสัมภาษณ์ </t>
  </si>
  <si>
    <t xml:space="preserve">อาจจะต้องเตรียมรถส่งพนักงานไปขึ้นรถโดยสารหน้านิคมอุตสาหกรรม สำหรับน้องๆที่มาสัมภาษณ์ที่ไม่มีรถส่วนตัว หรือคนมารอรับ </t>
  </si>
  <si>
    <t>sirinun.y@kubota.com</t>
  </si>
  <si>
    <t>Sirinun Yantarakoses</t>
  </si>
  <si>
    <t>Service Business Intelligence</t>
  </si>
  <si>
    <t>สรรหาผู้สมัครได้มีคุณภาพ และมีปริมาณมากเพียงพอให้คัดเลือก</t>
  </si>
  <si>
    <t>การสรรหาภายใน อยากให้กำหนดเวลาและเวลาเริ่มงานได้ชัดเจนเหมือนสรรหาภายนอกค่ะ บางทีเคสต้องรอพนักงานมาเติมเต็มจากต้นสังกัดทำให้ระยะเวลายืดออกไปค่ะ</t>
  </si>
  <si>
    <t>piyapong.t@kubota.com</t>
  </si>
  <si>
    <t>Piyapong Tungsakulwijarn</t>
  </si>
  <si>
    <t>Service Business Intelligence Executive</t>
  </si>
  <si>
    <t>มีการติดตามและอัพเดทอย่างใกล้ชิด</t>
  </si>
  <si>
    <t>Software Developer</t>
  </si>
  <si>
    <t>กระบวนการสรรหาเร็วขึ้น</t>
  </si>
  <si>
    <t>แจ้งสถานะอย่างสม่ำเสมอ</t>
  </si>
  <si>
    <t>nisaras.y@kubota.com</t>
  </si>
  <si>
    <t>Nisaras Yimlamay</t>
  </si>
  <si>
    <t>Risk Management Officer</t>
  </si>
  <si>
    <t>การรับฟังความต้องการลูกค้าและจัดการได้ตามความต้องการ</t>
  </si>
  <si>
    <t xml:space="preserve">ถ้าพนักงานที่ลาออกไปแล้ว ควรกำหนด KPI ตั้งแต่พนักงานลากจนถึงเสนอขอนุมัติจาก President ด้วย 
ไม่ใช่วัดระยะเวลาเฉพาะหลังจากที่ President อนุมัติ 
</t>
  </si>
  <si>
    <t>naratip.p@kubota.com</t>
  </si>
  <si>
    <t>Naratip Panichpongpan</t>
  </si>
  <si>
    <t>Parts Localization &amp; Strategic</t>
  </si>
  <si>
    <t>รวดเร็ว</t>
  </si>
  <si>
    <t>ยังไม่มี</t>
  </si>
  <si>
    <t>วางแผนอะไหล่</t>
  </si>
  <si>
    <t>คัดเลือกคนมาเข้าสัมภาษณ์มีคุณภาพดีมาก</t>
  </si>
  <si>
    <t xml:space="preserve">น่าจะมีเงินช่วยเหลือค่าเดินทางให้กับน้องที่มาสัมภาษณ์ เพราะบริษัทเราอยู่ไกลและเดินทางมาลำบากถ้าไม่มีรถส่วนตัวมาเอง </t>
  </si>
  <si>
    <t>เรื่องที่พี่ๆประทับใจในกระบวนการสรรหา</t>
  </si>
  <si>
    <t>sopicha.p@kubota.com</t>
  </si>
  <si>
    <t>Sopicha Poonyathanyaroj</t>
  </si>
  <si>
    <t>marketing communication executive</t>
  </si>
  <si>
    <t>น้องๆ ที่เลือกมา ตรงตามคุณสมบัติอย่างน้อย 70-80% และใช้เวลาน้อยกว่าเดิม</t>
  </si>
  <si>
    <t>ไม่มีค่ะ ทำได้ดีแล้ว</t>
  </si>
  <si>
    <t>phennapa.b@kubota.com</t>
  </si>
  <si>
    <t>Phennapa Bongsinchai</t>
  </si>
  <si>
    <t>Communication Strategy</t>
  </si>
  <si>
    <t xml:space="preserve">มีการส่ง resume lot ใหม่ๆ มาให้หลังจากที่นัดวัน final interview แล้ว แสดงให้เห็นถึงความไม่หยุดที่จะหาโอกาสที่หาคนที่เหมาะสมมากที่สุด </t>
  </si>
  <si>
    <t>Satisfaction Score (%)</t>
  </si>
  <si>
    <t>Overall Satisfaction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</si>
</sst>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0" fillId="0" borderId="0" xfId="0" applyNumberFormat="1" applyAlignment="1">
      <alignment horizontal="left" wrapText="1"/>
    </xf>
    <xf numFmtId="0" fontId="0" fillId="0" borderId="0" xfId="0" applyNumberFormat="1" applyAlignment="1">
      <alignment horizontal="left"/>
    </xf>
    <xf numFmtId="1" fontId="0" fillId="0" borderId="0" xfId="0" quotePrefix="1" applyNumberFormat="1" applyAlignment="1">
      <alignment horizontal="left"/>
    </xf>
    <xf numFmtId="0" fontId="0" fillId="0" borderId="0" xfId="0" quotePrefix="1" applyNumberFormat="1" applyAlignment="1">
      <alignment horizontal="left"/>
    </xf>
  </cellXfs>
  <cellStyles count="1">
    <cellStyle name="Normal" xfId="0" builtinId="0"/>
  </cellStyles>
  <dxfs count="14"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L16" totalsRowShown="0" headerRowDxfId="13" dataDxfId="12">
  <autoFilter ref="A1:L16" xr:uid="{00000000-0009-0000-0100-000001000000}"/>
  <tableColumns count="12">
    <tableColumn id="1" xr3:uid="{00000000-0010-0000-0000-000001000000}" name="Id" dataDxfId="11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10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9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Email" dataDxfId="8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7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ตำแหน่งที่สรรหา" dataDxfId="5">
      <extLst>
        <ext xmlns:xlmsforms="http://schemas.microsoft.com/office/spreadsheetml/2023/msForms" uri="{FCC71383-01E1-4257-9335-427F07BE8D7F}">
          <xlmsforms:question id="r943fa200cb644d9a93bb4c3dd9510ab3"/>
        </ext>
      </extLst>
    </tableColumn>
    <tableColumn id="7" xr3:uid="{00000000-0010-0000-0000-000007000000}" name="ด้านคุณภาพการสรรหา (โดย 1 หมายถึงไม่เห็นด้วย และ 4 เห็นด้วยมากที่สุด).2.1 ผู้สมัครที่ส่งให้พิจารณา มีคุณสมบัติตรงตามความต้องการ" dataDxfId="3">
      <extLst>
        <ext xmlns:xlmsforms="http://schemas.microsoft.com/office/spreadsheetml/2023/msForms" uri="{FCC71383-01E1-4257-9335-427F07BE8D7F}">
          <xlmsforms:question id="re74f2ebbdf9b4eeb9db4fc47b976b8db"/>
        </ext>
      </extLst>
    </tableColumn>
    <tableColumn id="8" xr3:uid="{00000000-0010-0000-0000-000008000000}" name="ด้านคุณภาพการสรรหา (โดย 1 หมายถึงไม่เห็นด้วย และ 4 เห็นด้วยมากที่สุด).2.2 ระยะเวลาในการสรรหาผู้สมัครเหมาะสม" dataDxfId="2">
      <extLst>
        <ext xmlns:xlmsforms="http://schemas.microsoft.com/office/spreadsheetml/2023/msForms" uri="{FCC71383-01E1-4257-9335-427F07BE8D7F}">
          <xlmsforms:question id="r1be51d13fd48490e9b193451f33b6b3d"/>
        </ext>
      </extLst>
    </tableColumn>
    <tableColumn id="9" xr3:uid="{00000000-0010-0000-0000-000009000000}" name="ด้านการบริการ (โดย 1 หมายถึงไม่เห็นด้วย และ 4 เห็นด้วยมากที่สุด).3.1 เจ้าหน้าที่สรรหาตอบสนองและแก้ไขต่อข้อเสนอแนะที่ได้รับเพื่อพัฒนาคุณภาพการสรรหา" dataDxfId="1">
      <extLst>
        <ext xmlns:xlmsforms="http://schemas.microsoft.com/office/spreadsheetml/2023/msForms" uri="{FCC71383-01E1-4257-9335-427F07BE8D7F}">
          <xlmsforms:question id="rd1147432317742d6917b9b194be362a2"/>
        </ext>
      </extLst>
    </tableColumn>
    <tableColumn id="10" xr3:uid="{00000000-0010-0000-0000-00000A000000}" name="ด้านการบริการ (โดย 1 หมายถึงไม่เห็นด้วย และ 4 เห็นด้วยมากที่สุด).3.2 เจ้าหนาที่สรรหาติดตามและแจ้งสถานะการสรรหาอย่างสม่ำเสมอ" dataDxfId="0">
      <extLst>
        <ext xmlns:xlmsforms="http://schemas.microsoft.com/office/spreadsheetml/2023/msForms" uri="{FCC71383-01E1-4257-9335-427F07BE8D7F}">
          <xlmsforms:question id="r97210733f498417ca3b3519dd0ebc7fb"/>
        </ext>
      </extLst>
    </tableColumn>
    <tableColumn id="11" xr3:uid="{00000000-0010-0000-0000-00000B000000}" name="เรื่องที่พี่ๆประทับใจในกระบวนการสรรหา" dataDxfId="4">
      <extLst>
        <ext xmlns:xlmsforms="http://schemas.microsoft.com/office/spreadsheetml/2023/msForms" uri="{FCC71383-01E1-4257-9335-427F07BE8D7F}">
          <xlmsforms:question id="r84bddc4153d14a0fb33e41e887e8bd32"/>
        </ext>
      </extLst>
    </tableColumn>
    <tableColumn id="12" xr3:uid="{00000000-0010-0000-0000-00000C000000}" name="เรื่องที่พี่ๆแนะนำให้ปรับปรุงเพื่อพัฒนาคุณภาพการสรรหาให้ดีขึ้น" dataDxfId="6">
      <extLst>
        <ext xmlns:xlmsforms="http://schemas.microsoft.com/office/spreadsheetml/2023/msForms" uri="{FCC71383-01E1-4257-9335-427F07BE8D7F}">
          <xlmsforms:question id="r1bc7efa3e53144b2b07b664f53a0b2bd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zp3wzWXIQk-QHTLT2NP2D5hypM5lSwJOkKByoup55W5URTUySUVQWU5HTVpRQ01aNEZJVkpOQ040WS4u" isFormConnected="1" maxResponseId="15" latestEventMarker="14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r943fa200cb644d9a93bb4c3dd9510ab3</xlmsforms:syncedQuestionId>
        <xlmsforms:syncedQuestionId>re74f2ebbdf9b4eeb9db4fc47b976b8db</xlmsforms:syncedQuestionId>
        <xlmsforms:syncedQuestionId>r1be51d13fd48490e9b193451f33b6b3d</xlmsforms:syncedQuestionId>
        <xlmsforms:syncedQuestionId>rd1147432317742d6917b9b194be362a2</xlmsforms:syncedQuestionId>
        <xlmsforms:syncedQuestionId>r97210733f498417ca3b3519dd0ebc7fb</xlmsforms:syncedQuestionId>
        <xlmsforms:syncedQuestionId>r84bddc4153d14a0fb33e41e887e8bd32</xlmsforms:syncedQuestionId>
        <xlmsforms:syncedQuestionId>r1bc7efa3e53144b2b07b664f53a0b2bd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opLeftCell="F1" workbookViewId="0">
      <selection activeCell="H21" sqref="H21"/>
    </sheetView>
  </sheetViews>
  <sheetFormatPr defaultColWidth="8.69921875" defaultRowHeight="13.8" x14ac:dyDescent="0.25"/>
  <cols>
    <col min="1" max="10" width="20" style="1" bestFit="1" customWidth="1"/>
    <col min="11" max="11" width="100.09765625" style="1" bestFit="1" customWidth="1"/>
    <col min="12" max="12" width="180.19921875" style="1" bestFit="1" customWidth="1"/>
    <col min="13" max="16384" width="8.69921875" style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69</v>
      </c>
      <c r="L1" s="1" t="s">
        <v>10</v>
      </c>
    </row>
    <row r="2" spans="1:12" x14ac:dyDescent="0.25">
      <c r="A2" s="1">
        <v>1</v>
      </c>
      <c r="B2" s="2">
        <v>46111.507280092592</v>
      </c>
      <c r="C2" s="2">
        <v>46111.513668981483</v>
      </c>
      <c r="D2" s="1" t="s">
        <v>11</v>
      </c>
      <c r="E2" s="1" t="s">
        <v>12</v>
      </c>
      <c r="F2" s="1" t="s">
        <v>13</v>
      </c>
      <c r="G2" s="7">
        <v>2</v>
      </c>
      <c r="H2" s="7">
        <v>3</v>
      </c>
      <c r="I2" s="7">
        <v>4</v>
      </c>
      <c r="J2" s="7">
        <v>4</v>
      </c>
      <c r="K2" s="1" t="s">
        <v>14</v>
      </c>
      <c r="L2" s="1" t="s">
        <v>15</v>
      </c>
    </row>
    <row r="3" spans="1:12" x14ac:dyDescent="0.25">
      <c r="A3" s="1">
        <v>2</v>
      </c>
      <c r="B3" s="2">
        <v>46111.511400462965</v>
      </c>
      <c r="C3" s="2">
        <v>46111.560902777775</v>
      </c>
      <c r="D3" s="1" t="s">
        <v>16</v>
      </c>
      <c r="E3" s="1" t="s">
        <v>17</v>
      </c>
      <c r="F3" s="1" t="s">
        <v>18</v>
      </c>
      <c r="G3" s="7">
        <v>4</v>
      </c>
      <c r="H3" s="7">
        <v>4</v>
      </c>
      <c r="I3" s="7">
        <v>4</v>
      </c>
      <c r="J3" s="7">
        <v>4</v>
      </c>
      <c r="K3" s="1" t="s">
        <v>19</v>
      </c>
      <c r="L3" s="1" t="s">
        <v>20</v>
      </c>
    </row>
    <row r="4" spans="1:12" x14ac:dyDescent="0.25">
      <c r="A4" s="1">
        <v>3</v>
      </c>
      <c r="B4" s="2">
        <v>46112.652870370403</v>
      </c>
      <c r="C4" s="2">
        <v>46112.745127314804</v>
      </c>
      <c r="D4" s="3" t="s">
        <v>21</v>
      </c>
      <c r="E4" s="3" t="s">
        <v>22</v>
      </c>
      <c r="F4" s="3" t="s">
        <v>23</v>
      </c>
      <c r="G4" s="7">
        <v>4</v>
      </c>
      <c r="H4" s="7">
        <v>3</v>
      </c>
      <c r="I4" s="7">
        <v>4</v>
      </c>
      <c r="J4" s="7">
        <v>3</v>
      </c>
      <c r="K4" s="3" t="s">
        <v>24</v>
      </c>
      <c r="L4" s="3" t="s">
        <v>25</v>
      </c>
    </row>
    <row r="5" spans="1:12" x14ac:dyDescent="0.25">
      <c r="A5" s="1">
        <v>4</v>
      </c>
      <c r="B5" s="2">
        <v>46183.4079166667</v>
      </c>
      <c r="C5" s="2">
        <v>46183.408969907403</v>
      </c>
      <c r="D5" s="3" t="s">
        <v>26</v>
      </c>
      <c r="E5" s="3" t="s">
        <v>27</v>
      </c>
      <c r="F5" s="3" t="s">
        <v>28</v>
      </c>
      <c r="G5" s="8">
        <v>4</v>
      </c>
      <c r="H5" s="8">
        <v>4</v>
      </c>
      <c r="I5" s="8">
        <v>4</v>
      </c>
      <c r="J5" s="8">
        <v>4</v>
      </c>
      <c r="K5" s="3" t="s">
        <v>29</v>
      </c>
      <c r="L5" s="3" t="s">
        <v>30</v>
      </c>
    </row>
    <row r="6" spans="1:12" x14ac:dyDescent="0.25">
      <c r="A6" s="1">
        <v>5</v>
      </c>
      <c r="B6" s="2">
        <v>46183.416770833297</v>
      </c>
      <c r="C6" s="2">
        <v>46183.423206018502</v>
      </c>
      <c r="D6" s="3" t="s">
        <v>31</v>
      </c>
      <c r="E6" s="3" t="s">
        <v>32</v>
      </c>
      <c r="F6" s="3" t="s">
        <v>28</v>
      </c>
      <c r="G6" s="8">
        <v>4</v>
      </c>
      <c r="H6" s="8">
        <v>3</v>
      </c>
      <c r="I6" s="8">
        <v>4</v>
      </c>
      <c r="J6" s="8">
        <v>4</v>
      </c>
      <c r="K6" s="3" t="s">
        <v>33</v>
      </c>
      <c r="L6" s="4" t="s">
        <v>34</v>
      </c>
    </row>
    <row r="7" spans="1:12" x14ac:dyDescent="0.25">
      <c r="A7" s="1">
        <v>6</v>
      </c>
      <c r="B7" s="2">
        <v>46184.752442129597</v>
      </c>
      <c r="C7" s="2">
        <v>46184.754004629598</v>
      </c>
      <c r="D7" s="3" t="s">
        <v>35</v>
      </c>
      <c r="E7" s="3" t="s">
        <v>36</v>
      </c>
      <c r="F7" s="3" t="s">
        <v>28</v>
      </c>
      <c r="G7" s="8">
        <v>4</v>
      </c>
      <c r="H7" s="8">
        <v>3</v>
      </c>
      <c r="I7" s="8">
        <v>3</v>
      </c>
      <c r="J7" s="8">
        <v>4</v>
      </c>
      <c r="K7" s="3" t="s">
        <v>37</v>
      </c>
      <c r="L7" s="3" t="s">
        <v>38</v>
      </c>
    </row>
    <row r="8" spans="1:12" x14ac:dyDescent="0.25">
      <c r="A8" s="1">
        <v>7</v>
      </c>
      <c r="B8" s="2">
        <v>46190.3756712963</v>
      </c>
      <c r="C8" s="2">
        <v>46190.381412037001</v>
      </c>
      <c r="D8" s="3" t="s">
        <v>39</v>
      </c>
      <c r="E8" s="3" t="s">
        <v>40</v>
      </c>
      <c r="F8" s="3" t="s">
        <v>41</v>
      </c>
      <c r="G8" s="8">
        <v>4</v>
      </c>
      <c r="H8" s="8">
        <v>4</v>
      </c>
      <c r="I8" s="8">
        <v>4</v>
      </c>
      <c r="J8" s="8">
        <v>4</v>
      </c>
      <c r="K8" s="3" t="s">
        <v>42</v>
      </c>
      <c r="L8" s="3" t="s">
        <v>43</v>
      </c>
    </row>
    <row r="9" spans="1:12" x14ac:dyDescent="0.25">
      <c r="A9" s="1">
        <v>8</v>
      </c>
      <c r="B9" s="2">
        <v>46213.5304861111</v>
      </c>
      <c r="C9" s="2">
        <v>46213.546539351897</v>
      </c>
      <c r="D9" s="3" t="s">
        <v>44</v>
      </c>
      <c r="E9" s="3" t="s">
        <v>45</v>
      </c>
      <c r="F9" s="3" t="s">
        <v>46</v>
      </c>
      <c r="G9" s="8">
        <v>4</v>
      </c>
      <c r="H9" s="8">
        <v>3</v>
      </c>
      <c r="I9" s="8">
        <v>4</v>
      </c>
      <c r="J9" s="8">
        <v>4</v>
      </c>
      <c r="K9" s="3" t="s">
        <v>47</v>
      </c>
      <c r="L9" s="3" t="s">
        <v>48</v>
      </c>
    </row>
    <row r="10" spans="1:12" x14ac:dyDescent="0.25">
      <c r="A10" s="1">
        <v>9</v>
      </c>
      <c r="B10" s="2">
        <v>46216.473217592596</v>
      </c>
      <c r="C10" s="2">
        <v>46216.473749999997</v>
      </c>
      <c r="D10" s="3" t="s">
        <v>49</v>
      </c>
      <c r="E10" s="3" t="s">
        <v>50</v>
      </c>
      <c r="F10" s="3" t="s">
        <v>51</v>
      </c>
      <c r="G10" s="8">
        <v>4</v>
      </c>
      <c r="H10" s="8">
        <v>4</v>
      </c>
      <c r="I10" s="8">
        <v>4</v>
      </c>
      <c r="J10" s="8">
        <v>4</v>
      </c>
      <c r="K10" s="3" t="s">
        <v>52</v>
      </c>
      <c r="L10" s="4" t="s">
        <v>34</v>
      </c>
    </row>
    <row r="11" spans="1:12" x14ac:dyDescent="0.25">
      <c r="A11" s="1">
        <v>10</v>
      </c>
      <c r="B11" s="2">
        <v>46218.822881944398</v>
      </c>
      <c r="C11" s="2">
        <v>46218.824826388904</v>
      </c>
      <c r="D11" s="3" t="s">
        <v>21</v>
      </c>
      <c r="E11" s="3" t="s">
        <v>22</v>
      </c>
      <c r="F11" s="3" t="s">
        <v>53</v>
      </c>
      <c r="G11" s="8">
        <v>4</v>
      </c>
      <c r="H11" s="8">
        <v>4</v>
      </c>
      <c r="I11" s="8">
        <v>4</v>
      </c>
      <c r="J11" s="8">
        <v>3</v>
      </c>
      <c r="K11" s="3" t="s">
        <v>54</v>
      </c>
      <c r="L11" s="3" t="s">
        <v>55</v>
      </c>
    </row>
    <row r="12" spans="1:12" ht="41.4" x14ac:dyDescent="0.25">
      <c r="A12" s="1">
        <v>11</v>
      </c>
      <c r="B12" s="2">
        <v>46225.9445949074</v>
      </c>
      <c r="C12" s="2">
        <v>46225.946111111101</v>
      </c>
      <c r="D12" s="3" t="s">
        <v>56</v>
      </c>
      <c r="E12" s="3" t="s">
        <v>57</v>
      </c>
      <c r="F12" s="3" t="s">
        <v>58</v>
      </c>
      <c r="G12" s="8">
        <v>4</v>
      </c>
      <c r="H12" s="8">
        <v>1</v>
      </c>
      <c r="I12" s="8">
        <v>4</v>
      </c>
      <c r="J12" s="8">
        <v>4</v>
      </c>
      <c r="K12" s="3" t="s">
        <v>59</v>
      </c>
      <c r="L12" s="5" t="s">
        <v>60</v>
      </c>
    </row>
    <row r="13" spans="1:12" x14ac:dyDescent="0.25">
      <c r="A13" s="1">
        <v>12</v>
      </c>
      <c r="B13" s="2">
        <v>46251.371979166703</v>
      </c>
      <c r="C13" s="2">
        <v>46251.3733333333</v>
      </c>
      <c r="D13" s="3" t="s">
        <v>61</v>
      </c>
      <c r="E13" s="3" t="s">
        <v>62</v>
      </c>
      <c r="F13" s="3" t="s">
        <v>63</v>
      </c>
      <c r="G13" s="8">
        <v>3</v>
      </c>
      <c r="H13" s="8">
        <v>4</v>
      </c>
      <c r="I13" s="8">
        <v>4</v>
      </c>
      <c r="J13" s="8">
        <v>4</v>
      </c>
      <c r="K13" s="3" t="s">
        <v>64</v>
      </c>
      <c r="L13" s="3" t="s">
        <v>65</v>
      </c>
    </row>
    <row r="14" spans="1:12" x14ac:dyDescent="0.25">
      <c r="A14" s="1">
        <v>13</v>
      </c>
      <c r="B14" s="2">
        <v>46251.4061574074</v>
      </c>
      <c r="C14" s="2">
        <v>46251.409861111097</v>
      </c>
      <c r="D14" s="3" t="s">
        <v>39</v>
      </c>
      <c r="E14" s="3" t="s">
        <v>40</v>
      </c>
      <c r="F14" s="3" t="s">
        <v>66</v>
      </c>
      <c r="G14" s="8">
        <v>4</v>
      </c>
      <c r="H14" s="8">
        <v>4</v>
      </c>
      <c r="I14" s="8">
        <v>4</v>
      </c>
      <c r="J14" s="8">
        <v>4</v>
      </c>
      <c r="K14" s="3" t="s">
        <v>67</v>
      </c>
      <c r="L14" s="3" t="s">
        <v>68</v>
      </c>
    </row>
    <row r="15" spans="1:12" x14ac:dyDescent="0.25">
      <c r="A15" s="6">
        <v>14</v>
      </c>
      <c r="B15" s="2">
        <v>46267.4194907407</v>
      </c>
      <c r="C15" s="2">
        <v>46267.420416666697</v>
      </c>
      <c r="D15" s="3" t="s">
        <v>70</v>
      </c>
      <c r="E15" s="3" t="s">
        <v>71</v>
      </c>
      <c r="F15" s="3" t="s">
        <v>72</v>
      </c>
      <c r="G15" s="8">
        <v>3</v>
      </c>
      <c r="H15" s="8">
        <v>4</v>
      </c>
      <c r="I15" s="8">
        <v>3</v>
      </c>
      <c r="J15" s="8">
        <v>3</v>
      </c>
      <c r="K15" s="3" t="s">
        <v>73</v>
      </c>
      <c r="L15" s="3" t="s">
        <v>74</v>
      </c>
    </row>
    <row r="16" spans="1:12" x14ac:dyDescent="0.25">
      <c r="A16" s="6">
        <v>15</v>
      </c>
      <c r="B16" s="2">
        <v>46267.4686111111</v>
      </c>
      <c r="C16" s="2">
        <v>46267.503518518497</v>
      </c>
      <c r="D16" s="3" t="s">
        <v>75</v>
      </c>
      <c r="E16" s="3" t="s">
        <v>76</v>
      </c>
      <c r="F16" s="3" t="s">
        <v>77</v>
      </c>
      <c r="G16" s="8">
        <v>4</v>
      </c>
      <c r="H16" s="8">
        <v>4</v>
      </c>
      <c r="I16" s="8">
        <v>4</v>
      </c>
      <c r="J16" s="8">
        <v>4</v>
      </c>
      <c r="K16" s="3" t="s">
        <v>78</v>
      </c>
      <c r="L16" s="4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F2308-5976-4C00-8B09-15384BB07B9F}">
  <dimension ref="A1:D67"/>
  <sheetViews>
    <sheetView tabSelected="1" workbookViewId="0">
      <selection activeCell="E14" sqref="E14"/>
    </sheetView>
  </sheetViews>
  <sheetFormatPr defaultRowHeight="13.8" x14ac:dyDescent="0.25"/>
  <cols>
    <col min="2" max="2" width="18.796875" bestFit="1" customWidth="1"/>
    <col min="4" max="4" width="16" bestFit="1" customWidth="1"/>
  </cols>
  <sheetData>
    <row r="1" spans="1:4" x14ac:dyDescent="0.25">
      <c r="A1" t="s">
        <v>0</v>
      </c>
      <c r="B1" t="s">
        <v>79</v>
      </c>
    </row>
    <row r="2" spans="1:4" x14ac:dyDescent="0.25">
      <c r="A2">
        <v>1</v>
      </c>
      <c r="B2">
        <f>IF(Sheet1!A2="","",AVERAGE(Sheet1!G2:J2)/4*100)</f>
        <v>81.25</v>
      </c>
    </row>
    <row r="3" spans="1:4" x14ac:dyDescent="0.25">
      <c r="A3">
        <v>2</v>
      </c>
      <c r="B3">
        <f>IF(Sheet1!A3="","",AVERAGE(Sheet1!G3:J3)/4*100)</f>
        <v>100</v>
      </c>
    </row>
    <row r="4" spans="1:4" x14ac:dyDescent="0.25">
      <c r="A4">
        <v>3</v>
      </c>
      <c r="B4">
        <f>IF(Sheet1!A4="","",AVERAGE(Sheet1!G4:J4)/4*100)</f>
        <v>87.5</v>
      </c>
    </row>
    <row r="5" spans="1:4" x14ac:dyDescent="0.25">
      <c r="A5">
        <v>4</v>
      </c>
      <c r="B5">
        <f>IF(Sheet1!A5="","",AVERAGE(Sheet1!G5:J5)/4*100)</f>
        <v>100</v>
      </c>
      <c r="D5" t="s">
        <v>80</v>
      </c>
    </row>
    <row r="6" spans="1:4" x14ac:dyDescent="0.25">
      <c r="A6">
        <v>5</v>
      </c>
      <c r="B6">
        <f>IF(Sheet1!A6="","",AVERAGE(Sheet1!G6:J6)/4*100)</f>
        <v>93.75</v>
      </c>
      <c r="D6">
        <f>AVERAGE(B2:B500)</f>
        <v>92.916666666666671</v>
      </c>
    </row>
    <row r="7" spans="1:4" x14ac:dyDescent="0.25">
      <c r="A7">
        <v>6</v>
      </c>
      <c r="B7">
        <f>IF(Sheet1!A7="","",AVERAGE(Sheet1!G7:J7)/4*100)</f>
        <v>87.5</v>
      </c>
    </row>
    <row r="8" spans="1:4" x14ac:dyDescent="0.25">
      <c r="A8">
        <v>7</v>
      </c>
      <c r="B8">
        <f>IF(Sheet1!A8="","",AVERAGE(Sheet1!G8:J8)/4*100)</f>
        <v>100</v>
      </c>
    </row>
    <row r="9" spans="1:4" x14ac:dyDescent="0.25">
      <c r="A9">
        <v>8</v>
      </c>
      <c r="B9">
        <f>IF(Sheet1!A9="","",AVERAGE(Sheet1!G9:J9)/4*100)</f>
        <v>93.75</v>
      </c>
    </row>
    <row r="10" spans="1:4" x14ac:dyDescent="0.25">
      <c r="A10">
        <v>9</v>
      </c>
      <c r="B10">
        <f>IF(Sheet1!A10="","",AVERAGE(Sheet1!G10:J10)/4*100)</f>
        <v>100</v>
      </c>
    </row>
    <row r="11" spans="1:4" x14ac:dyDescent="0.25">
      <c r="A11">
        <v>10</v>
      </c>
      <c r="B11">
        <f>IF(Sheet1!A11="","",AVERAGE(Sheet1!G11:J11)/4*100)</f>
        <v>93.75</v>
      </c>
    </row>
    <row r="12" spans="1:4" x14ac:dyDescent="0.25">
      <c r="A12">
        <v>11</v>
      </c>
      <c r="B12">
        <f>IF(Sheet1!A12="","",AVERAGE(Sheet1!G12:J12)/4*100)</f>
        <v>81.25</v>
      </c>
    </row>
    <row r="13" spans="1:4" x14ac:dyDescent="0.25">
      <c r="A13">
        <v>12</v>
      </c>
      <c r="B13">
        <f>IF(Sheet1!A13="","",AVERAGE(Sheet1!G13:J13)/4*100)</f>
        <v>93.75</v>
      </c>
    </row>
    <row r="14" spans="1:4" x14ac:dyDescent="0.25">
      <c r="A14">
        <v>13</v>
      </c>
      <c r="B14">
        <f>IF(Sheet1!A14="","",AVERAGE(Sheet1!G14:J14)/4*100)</f>
        <v>100</v>
      </c>
    </row>
    <row r="15" spans="1:4" x14ac:dyDescent="0.25">
      <c r="A15">
        <v>14</v>
      </c>
      <c r="B15">
        <f>IF(Sheet1!A15="","",AVERAGE(Sheet1!G15:J15)/4*100)</f>
        <v>81.25</v>
      </c>
    </row>
    <row r="16" spans="1:4" x14ac:dyDescent="0.25">
      <c r="A16">
        <v>15</v>
      </c>
      <c r="B16">
        <f>IF(Sheet1!A16="","",AVERAGE(Sheet1!G16:J16)/4*100)</f>
        <v>100</v>
      </c>
    </row>
    <row r="17" spans="1:2" x14ac:dyDescent="0.25">
      <c r="A17">
        <v>16</v>
      </c>
      <c r="B17" t="str">
        <f>IF(Sheet1!A17="","",AVERAGE(Sheet1!G17:J17)/4*100)</f>
        <v/>
      </c>
    </row>
    <row r="18" spans="1:2" x14ac:dyDescent="0.25">
      <c r="A18">
        <v>17</v>
      </c>
      <c r="B18" t="str">
        <f>IF(Sheet1!A18="","",AVERAGE(Sheet1!G18:J18)/4*100)</f>
        <v/>
      </c>
    </row>
    <row r="19" spans="1:2" x14ac:dyDescent="0.25">
      <c r="A19">
        <v>18</v>
      </c>
      <c r="B19" t="str">
        <f>IF(Sheet1!A19="","",AVERAGE(Sheet1!G19:J19)/4*100)</f>
        <v/>
      </c>
    </row>
    <row r="20" spans="1:2" x14ac:dyDescent="0.25">
      <c r="A20">
        <v>19</v>
      </c>
      <c r="B20" t="str">
        <f>IF(Sheet1!A20="","",AVERAGE(Sheet1!G20:J20)/4*100)</f>
        <v/>
      </c>
    </row>
    <row r="21" spans="1:2" x14ac:dyDescent="0.25">
      <c r="A21">
        <v>20</v>
      </c>
      <c r="B21" t="str">
        <f>IF(Sheet1!A21="","",AVERAGE(Sheet1!G21:J21)/4*100)</f>
        <v/>
      </c>
    </row>
    <row r="22" spans="1:2" x14ac:dyDescent="0.25">
      <c r="A22">
        <v>21</v>
      </c>
      <c r="B22" t="str">
        <f>IF(Sheet1!A22="","",AVERAGE(Sheet1!G22:J22)/4*100)</f>
        <v/>
      </c>
    </row>
    <row r="23" spans="1:2" x14ac:dyDescent="0.25">
      <c r="A23">
        <v>22</v>
      </c>
      <c r="B23" t="str">
        <f>IF(Sheet1!A23="","",AVERAGE(Sheet1!G23:J23)/4*100)</f>
        <v/>
      </c>
    </row>
    <row r="24" spans="1:2" x14ac:dyDescent="0.25">
      <c r="A24">
        <v>23</v>
      </c>
      <c r="B24" t="str">
        <f>IF(Sheet1!A24="","",AVERAGE(Sheet1!G24:J24)/4*100)</f>
        <v/>
      </c>
    </row>
    <row r="25" spans="1:2" x14ac:dyDescent="0.25">
      <c r="A25">
        <v>24</v>
      </c>
      <c r="B25" t="str">
        <f>IF(Sheet1!A25="","",AVERAGE(Sheet1!G25:J25)/4*100)</f>
        <v/>
      </c>
    </row>
    <row r="26" spans="1:2" x14ac:dyDescent="0.25">
      <c r="B26" t="str">
        <f>IF(Sheet1!A26="","",AVERAGE(Sheet1!G26:J26)/4*100)</f>
        <v/>
      </c>
    </row>
    <row r="27" spans="1:2" x14ac:dyDescent="0.25">
      <c r="B27" t="str">
        <f>IF(Sheet1!A27="","",AVERAGE(Sheet1!G27:J27)/4*100)</f>
        <v/>
      </c>
    </row>
    <row r="28" spans="1:2" x14ac:dyDescent="0.25">
      <c r="B28" t="str">
        <f>IF(Sheet1!A28="","",AVERAGE(Sheet1!G28:J28)/4*100)</f>
        <v/>
      </c>
    </row>
    <row r="29" spans="1:2" x14ac:dyDescent="0.25">
      <c r="B29" t="str">
        <f>IF(Sheet1!A29="","",AVERAGE(Sheet1!G29:J29)/4*100)</f>
        <v/>
      </c>
    </row>
    <row r="30" spans="1:2" x14ac:dyDescent="0.25">
      <c r="B30" t="str">
        <f>IF(Sheet1!A30="","",AVERAGE(Sheet1!G30:J30)/4*100)</f>
        <v/>
      </c>
    </row>
    <row r="31" spans="1:2" x14ac:dyDescent="0.25">
      <c r="B31" t="str">
        <f>IF(Sheet1!A31="","",AVERAGE(Sheet1!G31:J31)/4*100)</f>
        <v/>
      </c>
    </row>
    <row r="32" spans="1:2" x14ac:dyDescent="0.25">
      <c r="B32" t="str">
        <f>IF(Sheet1!A32="","",AVERAGE(Sheet1!G32:J32)/4*100)</f>
        <v/>
      </c>
    </row>
    <row r="33" spans="2:2" x14ac:dyDescent="0.25">
      <c r="B33" t="str">
        <f>IF(Sheet1!A33="","",AVERAGE(Sheet1!G33:J33)/4*100)</f>
        <v/>
      </c>
    </row>
    <row r="34" spans="2:2" x14ac:dyDescent="0.25">
      <c r="B34" t="str">
        <f>IF(Sheet1!A34="","",AVERAGE(Sheet1!G34:J34)/4*100)</f>
        <v/>
      </c>
    </row>
    <row r="35" spans="2:2" x14ac:dyDescent="0.25">
      <c r="B35" t="str">
        <f>IF(Sheet1!A35="","",AVERAGE(Sheet1!G35:J35)/4*100)</f>
        <v/>
      </c>
    </row>
    <row r="36" spans="2:2" x14ac:dyDescent="0.25">
      <c r="B36" t="str">
        <f>IF(Sheet1!A36="","",AVERAGE(Sheet1!G36:J36)/4*100)</f>
        <v/>
      </c>
    </row>
    <row r="37" spans="2:2" x14ac:dyDescent="0.25">
      <c r="B37" t="str">
        <f>IF(Sheet1!A37="","",AVERAGE(Sheet1!G37:J37)/4*100)</f>
        <v/>
      </c>
    </row>
    <row r="38" spans="2:2" x14ac:dyDescent="0.25">
      <c r="B38" t="str">
        <f>IF(Sheet1!A38="","",AVERAGE(Sheet1!G38:J38)/4*100)</f>
        <v/>
      </c>
    </row>
    <row r="39" spans="2:2" x14ac:dyDescent="0.25">
      <c r="B39" t="str">
        <f>IF(Sheet1!A39="","",AVERAGE(Sheet1!G39:J39)/4*100)</f>
        <v/>
      </c>
    </row>
    <row r="40" spans="2:2" x14ac:dyDescent="0.25">
      <c r="B40" t="str">
        <f>IF(Sheet1!A40="","",AVERAGE(Sheet1!G40:J40)/4*100)</f>
        <v/>
      </c>
    </row>
    <row r="41" spans="2:2" x14ac:dyDescent="0.25">
      <c r="B41" t="str">
        <f>IF(Sheet1!A41="","",AVERAGE(Sheet1!G41:J41)/4*100)</f>
        <v/>
      </c>
    </row>
    <row r="42" spans="2:2" x14ac:dyDescent="0.25">
      <c r="B42" t="str">
        <f>IF(Sheet1!A42="","",AVERAGE(Sheet1!G42:J42)/4*100)</f>
        <v/>
      </c>
    </row>
    <row r="43" spans="2:2" x14ac:dyDescent="0.25">
      <c r="B43" t="str">
        <f>IF(Sheet1!A43="","",AVERAGE(Sheet1!G43:J43)/4*100)</f>
        <v/>
      </c>
    </row>
    <row r="44" spans="2:2" x14ac:dyDescent="0.25">
      <c r="B44" t="str">
        <f>IF(Sheet1!A44="","",AVERAGE(Sheet1!G44:J44)/4*100)</f>
        <v/>
      </c>
    </row>
    <row r="45" spans="2:2" x14ac:dyDescent="0.25">
      <c r="B45" t="str">
        <f>IF(Sheet1!A45="","",AVERAGE(Sheet1!G45:J45)/4*100)</f>
        <v/>
      </c>
    </row>
    <row r="46" spans="2:2" x14ac:dyDescent="0.25">
      <c r="B46" t="str">
        <f>IF(Sheet1!A46="","",AVERAGE(Sheet1!G46:J46)/4*100)</f>
        <v/>
      </c>
    </row>
    <row r="47" spans="2:2" x14ac:dyDescent="0.25">
      <c r="B47" t="str">
        <f>IF(Sheet1!A47="","",AVERAGE(Sheet1!G47:J47)/4*100)</f>
        <v/>
      </c>
    </row>
    <row r="48" spans="2:2" x14ac:dyDescent="0.25">
      <c r="B48" t="str">
        <f>IF(Sheet1!A48="","",AVERAGE(Sheet1!G48:J48)/4*100)</f>
        <v/>
      </c>
    </row>
    <row r="49" spans="2:2" x14ac:dyDescent="0.25">
      <c r="B49" t="str">
        <f>IF(Sheet1!A49="","",AVERAGE(Sheet1!G49:J49)/4*100)</f>
        <v/>
      </c>
    </row>
    <row r="50" spans="2:2" x14ac:dyDescent="0.25">
      <c r="B50" t="str">
        <f>IF(Sheet1!A50="","",AVERAGE(Sheet1!G50:J50)/4*100)</f>
        <v/>
      </c>
    </row>
    <row r="51" spans="2:2" x14ac:dyDescent="0.25">
      <c r="B51" t="str">
        <f>IF(Sheet1!A51="","",AVERAGE(Sheet1!G51:J51)/4*100)</f>
        <v/>
      </c>
    </row>
    <row r="52" spans="2:2" x14ac:dyDescent="0.25">
      <c r="B52" t="str">
        <f>IF(Sheet1!A52="","",AVERAGE(Sheet1!G52:J52)/4*100)</f>
        <v/>
      </c>
    </row>
    <row r="53" spans="2:2" x14ac:dyDescent="0.25">
      <c r="B53" t="str">
        <f>IF(Sheet1!A53="","",AVERAGE(Sheet1!G53:J53)/4*100)</f>
        <v/>
      </c>
    </row>
    <row r="54" spans="2:2" x14ac:dyDescent="0.25">
      <c r="B54" t="str">
        <f>IF(Sheet1!A54="","",AVERAGE(Sheet1!G54:J54)/4*100)</f>
        <v/>
      </c>
    </row>
    <row r="55" spans="2:2" x14ac:dyDescent="0.25">
      <c r="B55" t="str">
        <f>IF(Sheet1!A55="","",AVERAGE(Sheet1!G55:J55)/4*100)</f>
        <v/>
      </c>
    </row>
    <row r="56" spans="2:2" x14ac:dyDescent="0.25">
      <c r="B56" t="str">
        <f>IF(Sheet1!A56="","",AVERAGE(Sheet1!G56:J56)/4*100)</f>
        <v/>
      </c>
    </row>
    <row r="57" spans="2:2" x14ac:dyDescent="0.25">
      <c r="B57" t="str">
        <f>IF(Sheet1!A57="","",AVERAGE(Sheet1!G57:J57)/4*100)</f>
        <v/>
      </c>
    </row>
    <row r="58" spans="2:2" x14ac:dyDescent="0.25">
      <c r="B58" t="str">
        <f>IF(Sheet1!A58="","",AVERAGE(Sheet1!G58:J58)/4*100)</f>
        <v/>
      </c>
    </row>
    <row r="59" spans="2:2" x14ac:dyDescent="0.25">
      <c r="B59" t="str">
        <f>IF(Sheet1!A59="","",AVERAGE(Sheet1!G59:J59)/4*100)</f>
        <v/>
      </c>
    </row>
    <row r="60" spans="2:2" x14ac:dyDescent="0.25">
      <c r="B60" t="str">
        <f>IF(Sheet1!A60="","",AVERAGE(Sheet1!G60:J60)/4*100)</f>
        <v/>
      </c>
    </row>
    <row r="61" spans="2:2" x14ac:dyDescent="0.25">
      <c r="B61" t="str">
        <f>IF(Sheet1!A61="","",AVERAGE(Sheet1!G61:J61)/4*100)</f>
        <v/>
      </c>
    </row>
    <row r="62" spans="2:2" x14ac:dyDescent="0.25">
      <c r="B62" t="str">
        <f>IF(Sheet1!A62="","",AVERAGE(Sheet1!G62:J62)/4*100)</f>
        <v/>
      </c>
    </row>
    <row r="63" spans="2:2" x14ac:dyDescent="0.25">
      <c r="B63" t="str">
        <f>IF(Sheet1!A63="","",AVERAGE(Sheet1!G63:J63)/4*100)</f>
        <v/>
      </c>
    </row>
    <row r="64" spans="2:2" x14ac:dyDescent="0.25">
      <c r="B64" t="str">
        <f>IF(Sheet1!A64="","",AVERAGE(Sheet1!G64:J64)/4*100)</f>
        <v/>
      </c>
    </row>
    <row r="65" spans="2:2" x14ac:dyDescent="0.25">
      <c r="B65" t="str">
        <f>IF(Sheet1!A65="","",AVERAGE(Sheet1!G65:J65)/4*100)</f>
        <v/>
      </c>
    </row>
    <row r="66" spans="2:2" x14ac:dyDescent="0.25">
      <c r="B66" t="str">
        <f>IF(Sheet1!A66="","",AVERAGE(Sheet1!G66:J66)/4*100)</f>
        <v/>
      </c>
    </row>
    <row r="67" spans="2:2" x14ac:dyDescent="0.25">
      <c r="B67" t="str">
        <f>IF(Sheet1!A67="","",AVERAGE(Sheet1!G67:J67)/4*100)</f>
        <v/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Satisfaction Scores 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Lapat Jitwongwai (Jitwongwai Lapat)</cp:lastModifiedBy>
  <cp:revision/>
  <dcterms:created xsi:type="dcterms:W3CDTF">2026-03-30T14:45:32Z</dcterms:created>
  <dcterms:modified xsi:type="dcterms:W3CDTF">2026-09-02T08:03:18Z</dcterms:modified>
  <cp:category/>
  <cp:contentStatus/>
</cp:coreProperties>
</file>